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 Precios" sheetId="1" r:id="rId5"/>
    <sheet state="visible" name="ADMGlobal" sheetId="2" r:id="rId6"/>
    <sheet state="visible" name="BUSCARV" sheetId="3" r:id="rId7"/>
    <sheet state="visible" name="BuscarV Stock" sheetId="4" r:id="rId8"/>
    <sheet state="visible" name="Validación" sheetId="5" r:id="rId9"/>
    <sheet state="visible" name="Categorías" sheetId="6" r:id="rId10"/>
    <sheet state="visible" name="Aplicación" sheetId="7" r:id="rId11"/>
    <sheet state="visible" name="Ajuste" sheetId="8" r:id="rId12"/>
  </sheets>
  <definedNames>
    <definedName name="Categoria">'Validación'!$A$2:$A$10</definedName>
    <definedName name="Tipo">'Validación'!$B$2:$B$4</definedName>
    <definedName name="Subcategoria">'Validación'!$C$2:$C$28</definedName>
    <definedName hidden="1" localSheetId="0" name="_xlnm._FilterDatabase">'Global Precios'!$A$1:$Z$991</definedName>
    <definedName hidden="1" localSheetId="3" name="_xlnm._FilterDatabase">'BuscarV Stock'!$A$1:$C$1000</definedName>
  </definedNames>
  <calcPr/>
</workbook>
</file>

<file path=xl/sharedStrings.xml><?xml version="1.0" encoding="utf-8"?>
<sst xmlns="http://schemas.openxmlformats.org/spreadsheetml/2006/main" count="8976" uniqueCount="4854">
  <si>
    <t>ID</t>
  </si>
  <si>
    <t>ARTÍCULO</t>
  </si>
  <si>
    <t>Costo c/iva</t>
  </si>
  <si>
    <t>Producto</t>
  </si>
  <si>
    <t>Stock</t>
  </si>
  <si>
    <t>BERMAT ORAL X 1 LTS</t>
  </si>
  <si>
    <t>Castración Gata</t>
  </si>
  <si>
    <t>Castración perra hasta 10 kg</t>
  </si>
  <si>
    <t>Codigo de barras</t>
  </si>
  <si>
    <t>Castración perra hasta 20 kg</t>
  </si>
  <si>
    <t>Castración perra hasta 30 kg</t>
  </si>
  <si>
    <t>Castración perra hasta 40 kg</t>
  </si>
  <si>
    <t>Tipo</t>
  </si>
  <si>
    <t>Castración perra hasta 50 kg</t>
  </si>
  <si>
    <t>DERRIBANTE ACA X 4 LTS (AMITRAZ 12,5%)</t>
  </si>
  <si>
    <t>Marca</t>
  </si>
  <si>
    <t>Castración perra hasta 60 kg</t>
  </si>
  <si>
    <t>Categoría</t>
  </si>
  <si>
    <t>Subcategoría</t>
  </si>
  <si>
    <t>DERRIBANTE IXO PO X 5 LTS (FLUAZ. 2,5%)</t>
  </si>
  <si>
    <t>DERRIBANTE POUR ON X 1 LT</t>
  </si>
  <si>
    <t>Costo unitario s/iva</t>
  </si>
  <si>
    <t>Corte de colitas camadas hasta 3 cachorros</t>
  </si>
  <si>
    <t>DERRIBANTE POUR ON X 5 LT</t>
  </si>
  <si>
    <t>Descuento</t>
  </si>
  <si>
    <t>DERRIBANTE SM X 5 LTS</t>
  </si>
  <si>
    <t>Corte de colitas camadas hasta 4 cachorros</t>
  </si>
  <si>
    <t>DERRIBANTE TAKLE X 1 LT</t>
  </si>
  <si>
    <t>Costo c/Iva</t>
  </si>
  <si>
    <t>DERRIBANTE TAKLE X 5 LTS</t>
  </si>
  <si>
    <t>Margen</t>
  </si>
  <si>
    <t>Eutanasia hasta 10 kg</t>
  </si>
  <si>
    <t>IMIDAC X 100 ML (IMIDOCARB 12%)</t>
  </si>
  <si>
    <t>INANDEX 1% X 500 ML</t>
  </si>
  <si>
    <t>Eutanasia hasta 20 kg</t>
  </si>
  <si>
    <t>INANDEX 3.15 X 500 ML</t>
  </si>
  <si>
    <t>Precio al publico c/iva</t>
  </si>
  <si>
    <t>Eutanasia hasta 30 kg</t>
  </si>
  <si>
    <t>OPTIMISOL X 500 ML</t>
  </si>
  <si>
    <t>OXILONG X 250 ML</t>
  </si>
  <si>
    <t>Eutanasia hasta 40 kg</t>
  </si>
  <si>
    <t>UNICLON X 5 LTS</t>
  </si>
  <si>
    <t>Eutanasia hasta 50 kg</t>
  </si>
  <si>
    <t>ACA AF MIX ABQ FEEDLOT PLT "NNP" X 35 KG</t>
  </si>
  <si>
    <t>Presentación</t>
  </si>
  <si>
    <t>ACA AF MIX ABQ FEEDLOT PLT X 35 KG</t>
  </si>
  <si>
    <t>Unidad</t>
  </si>
  <si>
    <t>consulta + Internación medio día PROMEDIO</t>
  </si>
  <si>
    <t>ACA AF MIX ABQ FEEDLOT X 25 KG</t>
  </si>
  <si>
    <t>Medio día sin consulta PROMEDIO</t>
  </si>
  <si>
    <t>ACA AF MIX ADQ LACTANCIA X 25 KG</t>
  </si>
  <si>
    <t>KG al publico</t>
  </si>
  <si>
    <t>ACA AF MIX ADQ PREPARTO ANIONICA X 25 KG</t>
  </si>
  <si>
    <t>ACA ARRANQUE TERNEROS X 25 KG</t>
  </si>
  <si>
    <t>Consulta + día completo PROMEDIO</t>
  </si>
  <si>
    <t>ACA REHIDRATANTE PARA TERNEROS X 1 KG</t>
  </si>
  <si>
    <t>ACA RUTER VG X 15 KG</t>
  </si>
  <si>
    <t>Día completo sin consulta PROMEDIO</t>
  </si>
  <si>
    <t>Ultima Actualización</t>
  </si>
  <si>
    <t>ACA SUSTITUO AF X 25 KG</t>
  </si>
  <si>
    <t>ACA SUSTITUTO CLASICO X 25 KG</t>
  </si>
  <si>
    <t>Corte de uñas</t>
  </si>
  <si>
    <t>APTO POLVO X 150 GRS</t>
  </si>
  <si>
    <t>APTO X 160 COMP</t>
  </si>
  <si>
    <t>Consulta clinica</t>
  </si>
  <si>
    <t>APTO X 40 COMP</t>
  </si>
  <si>
    <t>Longitud</t>
  </si>
  <si>
    <t>DENTAL PLAX X 250 ML</t>
  </si>
  <si>
    <t>EXCELLENT PUPPY(r.medianas y grandes) Present:15kg</t>
  </si>
  <si>
    <t>DERMIL CREMA POTE X 50 ML</t>
  </si>
  <si>
    <t>Frec. de actu</t>
  </si>
  <si>
    <t>DERMIL INYECTABLE</t>
  </si>
  <si>
    <t>DERMIL X 100 COMP</t>
  </si>
  <si>
    <t>DERMIL X 400 COMP</t>
  </si>
  <si>
    <t>DEXA 2000 SHOCK INY X 25 ML (AFFORD)</t>
  </si>
  <si>
    <t>FIT UP SPRAY</t>
  </si>
  <si>
    <t>FLOXACIN 100 MG X 100 COMP</t>
  </si>
  <si>
    <t>FLOXACIN 50 MG X 100 COMP</t>
  </si>
  <si>
    <t>EXCELLENT ADULT.(r. medianas y grandes) Pres:15kg</t>
  </si>
  <si>
    <t>NOVUL COMPRIMIDOS X 100 COMP</t>
  </si>
  <si>
    <t>Limpio de lista</t>
  </si>
  <si>
    <t>NOVUL COMPRIMIDOS X 400 COMP</t>
  </si>
  <si>
    <t>EXCELLENT KITTEN Present: 7,5kg</t>
  </si>
  <si>
    <t>NOVUL INYECTABLE 12 FCOS X 1 ML</t>
  </si>
  <si>
    <t>TRIBIOTIC LA INY X 100 ML</t>
  </si>
  <si>
    <t>EXCELLENT ADULT CAT Present: 7,5kg</t>
  </si>
  <si>
    <t>TRIBIOTIC LA INY X 25 ML</t>
  </si>
  <si>
    <t>Dividir por:</t>
  </si>
  <si>
    <t>BIO COBRE X 500 ML</t>
  </si>
  <si>
    <t>TIDY CATS Piedra Convencional 2KG</t>
  </si>
  <si>
    <t>BREATH UP X 100 ML</t>
  </si>
  <si>
    <t>CALTRION X 500 ML.</t>
  </si>
  <si>
    <t>CHROMACTIV X 100 ML</t>
  </si>
  <si>
    <t>CORTROVET B1 X 500 ML</t>
  </si>
  <si>
    <t>CUPROHORMONE X 500 ML</t>
  </si>
  <si>
    <t>FANTEL 3,15 % X 500 ML</t>
  </si>
  <si>
    <t>Costo c/iva a pasar:</t>
  </si>
  <si>
    <t>FARANTEL EQUINOS PASTA X 38 GR</t>
  </si>
  <si>
    <t>GLICOPHOS VIAL X 100 ML</t>
  </si>
  <si>
    <t>HEMO PLUS FORTE X 100 ML</t>
  </si>
  <si>
    <t>% de aumento</t>
  </si>
  <si>
    <t>IODOHORMONE X 100 ML</t>
  </si>
  <si>
    <t>IODOHORMONE X 500 ML</t>
  </si>
  <si>
    <t>MAGNECAL 3000 X 100 ML</t>
  </si>
  <si>
    <t>MAGNECAL ZINC X 500 ML</t>
  </si>
  <si>
    <t>Foto Producto</t>
  </si>
  <si>
    <t>MUCOLISIN VIAL X 100 ML</t>
  </si>
  <si>
    <t>NORMOHEPAT X 100 ML</t>
  </si>
  <si>
    <t>FELIX Sensaciones de Pez x sobre de 0.85 g</t>
  </si>
  <si>
    <t>NORMOHEPAT X 500 ML</t>
  </si>
  <si>
    <t>Uso</t>
  </si>
  <si>
    <t>OPTIMIZADOR BIO X 500 ML</t>
  </si>
  <si>
    <t>YENU ADULTO(todos los t.) Present: 17kg</t>
  </si>
  <si>
    <t>PHOSFORMONE X 500 ML</t>
  </si>
  <si>
    <t>PROBIOS BAC JERINGA X 34 GR</t>
  </si>
  <si>
    <t>Codigo proveedor</t>
  </si>
  <si>
    <t>RECOVERY ORAL X 1 LT</t>
  </si>
  <si>
    <t>YENU ADULTO M.P Present: 3kg</t>
  </si>
  <si>
    <t>RECOVERY X 500 ML</t>
  </si>
  <si>
    <t>SELFOS X 500 ML</t>
  </si>
  <si>
    <t>SYNPITAN X 10 ML</t>
  </si>
  <si>
    <t>YENU CACHORROS(todos los t) Present: 10kg</t>
  </si>
  <si>
    <t>VERMISOLE X 500 ML</t>
  </si>
  <si>
    <t>VITAPROFENO FORTE AGROINSUMOS X 100 ML</t>
  </si>
  <si>
    <t>YENU CACHORROS M.P Present: 3kg</t>
  </si>
  <si>
    <t>ACAROX "OVINOS" X 5 LTS</t>
  </si>
  <si>
    <t>ACAROX AMBIENTAL X 100 ML</t>
  </si>
  <si>
    <t>ACAROX FC X 5 LTS</t>
  </si>
  <si>
    <t>YENU GATOS ADULTOS Present: 7,5kg</t>
  </si>
  <si>
    <t>ADEKFARMA X 500 ML</t>
  </si>
  <si>
    <t>AGRONYL PO X 5 LTS</t>
  </si>
  <si>
    <t>AIR BRON X 500 GR</t>
  </si>
  <si>
    <t>YENU GATOS CACHORROS Present: 7,5kg</t>
  </si>
  <si>
    <t>ANTIGENO BPA X 10 ML - AGROPHARMA</t>
  </si>
  <si>
    <t>ARFLEX INY X 25 ML</t>
  </si>
  <si>
    <t>ATRISAN X 100 ML</t>
  </si>
  <si>
    <t>AGILITY ADULTO Present: 15kg</t>
  </si>
  <si>
    <t>BIO-ENZIMIX X 100 ML</t>
  </si>
  <si>
    <t>BIO-ENZIMIX X 60 ML</t>
  </si>
  <si>
    <t>AGILITY ADULTO Present: 20kg</t>
  </si>
  <si>
    <t>BRUCELOSIS AGROPHARMA X 10 DS</t>
  </si>
  <si>
    <t>BULLSYNCH N X 100 CC</t>
  </si>
  <si>
    <t>AGILITY CACHORROS Present: 15kg</t>
  </si>
  <si>
    <t>CARDIOTONICO CUME INY X 100 ML</t>
  </si>
  <si>
    <t>CLOPROSTENOL X 100 ML</t>
  </si>
  <si>
    <t>AGILITY CACHORROS Present: 20kg</t>
  </si>
  <si>
    <t>COFOLIC X 50 ML</t>
  </si>
  <si>
    <t>COMBIO B-2000 FCO AMPOLLA</t>
  </si>
  <si>
    <t>CUMEFLY PLUS X 1 LT</t>
  </si>
  <si>
    <t>AGILITY CATS ADULTO Present: 10kg</t>
  </si>
  <si>
    <t>CUMEFLY PLUS X 5 LTS</t>
  </si>
  <si>
    <t>CUMEPINA COMPUESTA X 100 ML</t>
  </si>
  <si>
    <t>AGILITY CATS KITTEN Present: 10kg</t>
  </si>
  <si>
    <t>CUMEPRAZOL PASTA JERINGA X 6,5 GRS</t>
  </si>
  <si>
    <t>CUMESTROL X 50 ML</t>
  </si>
  <si>
    <t>CUMETHOPAN B12 X 50 ML</t>
  </si>
  <si>
    <t>CUMETYL 300 X 100 ML</t>
  </si>
  <si>
    <t>CUMETYL 300 X 250 ML</t>
  </si>
  <si>
    <t>EXPECTORANTE X 100 ML (LAIKA)</t>
  </si>
  <si>
    <t>CUMETYL DUO X 100 ML</t>
  </si>
  <si>
    <t>CUMEVERM EQUINOS SUSPENSION X 500 ML</t>
  </si>
  <si>
    <t>KILL AG X 440 ML</t>
  </si>
  <si>
    <t>CUMEVERN EQUINOS JERINGA X 25 CC</t>
  </si>
  <si>
    <t>CUMIODINE X 100 ML</t>
  </si>
  <si>
    <t>CUPRIFARMA "MAX" X 500 ML</t>
  </si>
  <si>
    <t>LAXAVET X 40 GR</t>
  </si>
  <si>
    <t>CUPRIFARMA PLUS X 250 ML</t>
  </si>
  <si>
    <t>DESBRIDAN-T X 100 ML</t>
  </si>
  <si>
    <t>FORTIPET ELMER</t>
  </si>
  <si>
    <t>D-NORMALINA INY X 100 ML</t>
  </si>
  <si>
    <t>DUVA REHIDRATANTE X 500 ML</t>
  </si>
  <si>
    <t>ECTHOL 5 AP X 70 ML</t>
  </si>
  <si>
    <t>DUVABRON 5.000.000</t>
  </si>
  <si>
    <t>DUVADEXA DEPOT FRASCO X 10 ML</t>
  </si>
  <si>
    <t>ECTHOL 5 AP X 120 ML</t>
  </si>
  <si>
    <t>DUVADEXA DEPOT X 50 CC</t>
  </si>
  <si>
    <t>DUVAMICINA 5.000.000</t>
  </si>
  <si>
    <t>PREDNISOLONA PYO 10 X 100 COMPRIMIDOS</t>
  </si>
  <si>
    <t>FOSFIVET X 100 ML</t>
  </si>
  <si>
    <t>PREDNISOLONA PYO 20 X BLISTER 10 COMPRIMIDOS</t>
  </si>
  <si>
    <t>PYO DERM 125 X BLISTER 10 COMP</t>
  </si>
  <si>
    <t>HEPAVIT B-12/B15 X FRASCO X 10 ML</t>
  </si>
  <si>
    <t>Servicio</t>
  </si>
  <si>
    <t>HIALUSINT INY 6 FCOS X 2 ML</t>
  </si>
  <si>
    <t>PYO DERM 500 X BLISTER x 10 COMP</t>
  </si>
  <si>
    <t>INFLUENZA EQUINA AGROPHARMA X 1 DS</t>
  </si>
  <si>
    <t>INFLUENZA EQUINA AGROPHARMA X 5 DS</t>
  </si>
  <si>
    <t>OTOVIER "NF" X 25 ML</t>
  </si>
  <si>
    <t>IVERTON 3.5% GOLD X 500 ML (AGROPHARMA)</t>
  </si>
  <si>
    <t>Arlekyn</t>
  </si>
  <si>
    <t>OTOVIER SOLUCION LIMPIA OREJAS X 120 ML</t>
  </si>
  <si>
    <t>IVERTON EQUINO PLUS JGA X 6,5 GRS</t>
  </si>
  <si>
    <t>JARABE RESPIROTONICO X 500 ML</t>
  </si>
  <si>
    <t>OTOVIER SOLUCION LIMPIA OREJAS X 40 ML</t>
  </si>
  <si>
    <t>KILONAT X 500 ML</t>
  </si>
  <si>
    <t>KIT BULLSYNCH X 100 DS</t>
  </si>
  <si>
    <t>COLOTRIN PALATABLE BLISTER X 6 COM</t>
  </si>
  <si>
    <t>LAYOCAL (CALCIO) X 500 ML</t>
  </si>
  <si>
    <t>LAYOCAL MG 3500 X 500 ML</t>
  </si>
  <si>
    <t>COMPLEJO VITAMINICO JM X 100 ML</t>
  </si>
  <si>
    <t>LAYOCAL PLUS MAGNESIADO X 500 ML</t>
  </si>
  <si>
    <t>MERCAPTIN F X 100 ML</t>
  </si>
  <si>
    <t>NEUMOENTEROVAC X 50 DS</t>
  </si>
  <si>
    <t>HEPATOPROTECTOR JM X 15 ML</t>
  </si>
  <si>
    <t>Clinica</t>
  </si>
  <si>
    <t>NEWBESTRIN CON VIT B12 X 20 ML</t>
  </si>
  <si>
    <t>OLIVIT SE X 250 ML</t>
  </si>
  <si>
    <t>MELOXIVET COMPRIMIDO X 1 COMP</t>
  </si>
  <si>
    <t>OLIVIT SE X 500 ML</t>
  </si>
  <si>
    <t>OXIFARMA LA X 250 ML</t>
  </si>
  <si>
    <t>MELOXIVET GOTAS X 10 ML</t>
  </si>
  <si>
    <t>OXIFARMA LA X 50 ML</t>
  </si>
  <si>
    <t>NUTRIPET PALATABLE X 40 GRS</t>
  </si>
  <si>
    <t>OXITON INYECTABLE X 50 ML</t>
  </si>
  <si>
    <t>OXITON INYECTABLE X 250 ML</t>
  </si>
  <si>
    <t>OXITON OVULOS</t>
  </si>
  <si>
    <t>TRAMADOL HOSPITALARIO X BLISTER X 10 COMP</t>
  </si>
  <si>
    <t>REUMALISINA 200 X 100 ML</t>
  </si>
  <si>
    <t>DOMINAL MAX GATO HASTA 4 KG</t>
  </si>
  <si>
    <t>SUERO GLUCOSADO X 500 ML AGROPHARMA</t>
  </si>
  <si>
    <t>TONIQUETAS INYECTABLE X 50 ML</t>
  </si>
  <si>
    <t>DOMINAL MAX GATO MAS DE 4 KG</t>
  </si>
  <si>
    <t>TRIPLEVAC X 50 DS (AGROPHARMA)</t>
  </si>
  <si>
    <t>VITAMINA B12 50.000 X 50 ML AGROPHARMA</t>
  </si>
  <si>
    <t>DOMINAL MAX PERRO 5-10 KG</t>
  </si>
  <si>
    <t>ZOLEDRON X 10 ML</t>
  </si>
  <si>
    <t>***OLIVITASAN "PLUS" X 250 ML</t>
  </si>
  <si>
    <t>AMANTINA PREMIUN X 100 ML</t>
  </si>
  <si>
    <t>DOMINAL MAX PERRO HASTA 5 KG</t>
  </si>
  <si>
    <t>AMANTINA PREMIUN X 250 ML</t>
  </si>
  <si>
    <t>AMANTINA X 250 ML</t>
  </si>
  <si>
    <t>EUTAZUM X 120 ML</t>
  </si>
  <si>
    <t>AMANTINA X 500 ML</t>
  </si>
  <si>
    <t>AMINOACIDO ORAL X 1 LT</t>
  </si>
  <si>
    <t>AMINOACIDO ORAL X 100 ML</t>
  </si>
  <si>
    <t>ENROFLOXACINA KUALKOS 50 MG X Blister x 10 COMP</t>
  </si>
  <si>
    <t>AMINOACIDO ORAL X 50 ML</t>
  </si>
  <si>
    <t>CALCITROVIT X 500 ML</t>
  </si>
  <si>
    <t>KUALCODERM CREMA X 40 GRS</t>
  </si>
  <si>
    <t>CETRIAMON X 1 LT</t>
  </si>
  <si>
    <t>CETRIAMON X 5 LTS</t>
  </si>
  <si>
    <t>CETRIAMON X 50 ML</t>
  </si>
  <si>
    <t>FELINE ENDOSPOT 02-05 KG</t>
  </si>
  <si>
    <t>COMPLEJO B ALEBET C/HIERRO P/CERDOS X 100 ML</t>
  </si>
  <si>
    <t>COMPLEJO B ALEBET C/HIERRO P/CERDOS X 25 ML</t>
  </si>
  <si>
    <t>FELINE ENDOSPOT MÁS DE 5 KG</t>
  </si>
  <si>
    <t>COMPLEJO B ALEBET C/HIERRO P/EQUINOS X 100 ML</t>
  </si>
  <si>
    <t>COMPLEJO B ALEBET C/HIERRO P/EQUINOS X 25 ML</t>
  </si>
  <si>
    <t>TAU CON ESTEROIDES X 10 ML</t>
  </si>
  <si>
    <t>COMPLEJO B B12 B15 ALEBET X 100 ML</t>
  </si>
  <si>
    <t>COMPLEJO B B12 B15 ALEBET X 20 ML</t>
  </si>
  <si>
    <t>TAU SIN ESTEROIDES X 10 ML.</t>
  </si>
  <si>
    <t>ENERGIZANTE DESFATIGANTE X 25 ML</t>
  </si>
  <si>
    <t>ENERGIZANTE DESFATIGANTE X 100 ML</t>
  </si>
  <si>
    <t>BRONCO TOS FORTE X 100 ML</t>
  </si>
  <si>
    <t>ENERGIZANTE DESFATIGANTE X 250 ML</t>
  </si>
  <si>
    <t>OLIVITASAN "PLUS" X 50 ML</t>
  </si>
  <si>
    <t>OLIVITASAN "PLUS" X 500 ML</t>
  </si>
  <si>
    <t>CLINDAMICIN 110 MG X BLISTER X 10 COMP</t>
  </si>
  <si>
    <t>OLIVITASAN X 100 ML</t>
  </si>
  <si>
    <t>OLIVITASAN X 25 ML</t>
  </si>
  <si>
    <t>OLIVITASAN X 500 ML</t>
  </si>
  <si>
    <t>DOMINAL MAX PERRO 10-25 KG</t>
  </si>
  <si>
    <t>TILCOSAN X 100 (ALEBET)</t>
  </si>
  <si>
    <t>VITAMINA B1 X 100 (ALEBET)</t>
  </si>
  <si>
    <t>DOMINAL MAX PERRO 25-40 KG</t>
  </si>
  <si>
    <t>CAPRILAC X 10 KG</t>
  </si>
  <si>
    <t>CAPRILAC X 25 KG</t>
  </si>
  <si>
    <t>CER-LAC X 10 KG</t>
  </si>
  <si>
    <t>ENROFLOXACINA 150 MG X BLISTER X 10 COMP (LAMAR)</t>
  </si>
  <si>
    <t>GATOLAC X 350 GRS</t>
  </si>
  <si>
    <t>MAMADERAS CON LOGO</t>
  </si>
  <si>
    <t>DOMINAL MAX PERRO MAS 40 KG</t>
  </si>
  <si>
    <t>PAPILLA DESTETE X 1,5 KG</t>
  </si>
  <si>
    <t>PERROLAC X 500 GRS</t>
  </si>
  <si>
    <t>PERFOS GATO HASTA 4 KG</t>
  </si>
  <si>
    <t>POTRILAC X 10 KG</t>
  </si>
  <si>
    <t>AGUA DESTILADA X 250 CC</t>
  </si>
  <si>
    <t>AGUA DESTILADA X 500 CC</t>
  </si>
  <si>
    <t>PERFOS GATO MAS 4 KG</t>
  </si>
  <si>
    <t>ALCOHOL YODADO X 1 LT</t>
  </si>
  <si>
    <t>AMOXICILINA 20 % X 100 ML (ALFASAN)</t>
  </si>
  <si>
    <t>PERFOS MAX CANINOS 10-20 KG</t>
  </si>
  <si>
    <t>ANTIANEMICO P/TERNERO X 25 CC</t>
  </si>
  <si>
    <t>ANTIANEMICO P/TERNEROS X 250 CC</t>
  </si>
  <si>
    <t>ANTIANEMICO X 50 CC</t>
  </si>
  <si>
    <t>PERFOS MAX CANINOS 20-40 KG</t>
  </si>
  <si>
    <t>ANTIHISTAMINICO X 20 CC</t>
  </si>
  <si>
    <t>ANTITOXICO AZUL X 20 ML</t>
  </si>
  <si>
    <t>ANTITOXICO HEPATOPROTECTOR X 25 ML (RJ)</t>
  </si>
  <si>
    <t>PERFOS MAX CANINOS 5-10 KG</t>
  </si>
  <si>
    <t>ANTITOXICO VERDE X 20 ML</t>
  </si>
  <si>
    <t>ANTITOXIL X 440 ML</t>
  </si>
  <si>
    <t>ANTITOXIL X 1 LITRO</t>
  </si>
  <si>
    <t>ENTEROSULFATRIN SUSP X 100 ML</t>
  </si>
  <si>
    <t>ATROPINA AL 1% X 10 ML (RJ)</t>
  </si>
  <si>
    <t>AUT PIETIN X 250 ML</t>
  </si>
  <si>
    <t>METOCLOPRAMIDA GOTAS X 15 ML</t>
  </si>
  <si>
    <t>AUT PIETIN X 500 ML</t>
  </si>
  <si>
    <t>BICHO LUZ CURABICHERA LIQ X 1 LITRO</t>
  </si>
  <si>
    <t>MOXIDEX PLUS HOSPITALARIO X 1 COMPRIMIDO</t>
  </si>
  <si>
    <t>BICHO LUZ CURABICHERA LIQ X 250 ML</t>
  </si>
  <si>
    <t>BICHO LUZ CURABICHERA LIQ X 500 ML</t>
  </si>
  <si>
    <t>BREBAJE PARA TERNEROS EN POLVO</t>
  </si>
  <si>
    <t>TOLTRAZOL "PLUS" SUSPENSION X 10 ML</t>
  </si>
  <si>
    <t>BREBAJE PARA TERNEROS JARABE X 1 LTS</t>
  </si>
  <si>
    <t>CAFEINA AL 20% INY X 10 ML</t>
  </si>
  <si>
    <t>SHAMPOO AMITRAZ AL 0.25% X 250 ML</t>
  </si>
  <si>
    <t>CALCIO VACA CAIDA 50% X 100 ML</t>
  </si>
  <si>
    <t>CALCIO VACA CAIDA X 500 ML</t>
  </si>
  <si>
    <t>CAUSTICO P/VERRUGAS X 100 CC</t>
  </si>
  <si>
    <t>SHAMPOO CLOREXPRO X 250 ML</t>
  </si>
  <si>
    <t>CEFTIOFUR X 100 CC (RJ)</t>
  </si>
  <si>
    <t>c/u</t>
  </si>
  <si>
    <t>CEFTIOFUR X 250 CC (RJ)</t>
  </si>
  <si>
    <t>SHAMPOO MEDICADO HIPOALERGENICO X 250 ML</t>
  </si>
  <si>
    <t>COLIRIO X 120 ML C/VAL. APLICADORA</t>
  </si>
  <si>
    <t>SHAMPOO PARA CACHORROS X 250 ML</t>
  </si>
  <si>
    <t>COMPLEJO VITAMINICO "B" TRAINING X 50 ML.</t>
  </si>
  <si>
    <t>CREMA DE ORDEÑE RJ CON ALOE VERA X 240 GRS</t>
  </si>
  <si>
    <t>SHAMPOO PERFUMADO MIX FRUTAL X 250 ML</t>
  </si>
  <si>
    <t>CREMA DE ORDEÑE RJ CON ALOE VERA X 480 GRS</t>
  </si>
  <si>
    <t>CREMA DE ORDEÑE RJ CON ANESTESICO X 480 GR</t>
  </si>
  <si>
    <t>SIMPARICA 10 MG (2,5 A 5 KG)</t>
  </si>
  <si>
    <t>CURABICHERA POMADA RJ X 1 KG</t>
  </si>
  <si>
    <t>CURABICHERA POMADA RJ X 240 GRS</t>
  </si>
  <si>
    <t>SIMPARICA 20 MG (5 A 10 KG)</t>
  </si>
  <si>
    <t>CURABICHERA POMADA RJ X 480 GRS</t>
  </si>
  <si>
    <t>CURITIBA ANTIBIOTICO X 250 ML</t>
  </si>
  <si>
    <t>CURITIBA GOTERO X 30 ML</t>
  </si>
  <si>
    <t>SIMPARICA 40 MG (10 A 20 KG)</t>
  </si>
  <si>
    <t>DEXAMETASONA RJ X 10 ML</t>
  </si>
  <si>
    <t>DEXAMETASONA RJ X 100 ML</t>
  </si>
  <si>
    <t>DIFENIHIDRAMINA X 20 ML</t>
  </si>
  <si>
    <t>ESTRADIOL 10 X 10 ML (RJ)</t>
  </si>
  <si>
    <t>ESTRADIOL 17 BETA X 10 ML</t>
  </si>
  <si>
    <t>FENILBUTAZONA 20% X 100 ML. (ALFASAN)</t>
  </si>
  <si>
    <t>FUROSEMIDA X 50 ML (ALFASAN)</t>
  </si>
  <si>
    <t>GENTAMICINA RJ 40 X 100 ML</t>
  </si>
  <si>
    <t>GV4 X 1 LTS</t>
  </si>
  <si>
    <t>IODO COBALTO X 1 LTS</t>
  </si>
  <si>
    <t>IODO COBALTO X 5 LTS</t>
  </si>
  <si>
    <t>IODURO DE SODIO RJ 60% X 50 ML</t>
  </si>
  <si>
    <t>SIMPARICA 80 MG (20 A 40 KG)</t>
  </si>
  <si>
    <t>LACTOCILINA RAPIDA 5.000.000</t>
  </si>
  <si>
    <t>LAPIZ DESCORNADOR RJ CAUSTICO EN BARRA</t>
  </si>
  <si>
    <t>LICOR DE VILLATE RJ X 500 ML</t>
  </si>
  <si>
    <t>PETS PROTECTOR SPRAY X 100 ML</t>
  </si>
  <si>
    <t>LINCOMICINA ESPECTINOMICINA X 100 ML</t>
  </si>
  <si>
    <t>LOCION SCABIEI SPRAY X 60 ML</t>
  </si>
  <si>
    <t>QUANTUM DA2 PPVL X DS</t>
  </si>
  <si>
    <t>MAGNESIO HIPOFOSFITO</t>
  </si>
  <si>
    <t>MARBOFLOXACINA X 100 ML</t>
  </si>
  <si>
    <t>MIOTONICO X 10 ML</t>
  </si>
  <si>
    <t>NIKETAMIDA X 10 ML</t>
  </si>
  <si>
    <t>PENICILINA ESTREPTO RJ (FRASCO X 5.000.000)</t>
  </si>
  <si>
    <t>PILOCARPINA AL 2 %</t>
  </si>
  <si>
    <t>PROGESTERONA INY X 100 ML (RJ)</t>
  </si>
  <si>
    <t>PROGESTERONA MAD4 X 100 ML (RJ)</t>
  </si>
  <si>
    <t>PROSTAGLANDINA X 10 ML (RJ)</t>
  </si>
  <si>
    <t>QUERATOFIN X 100 CC</t>
  </si>
  <si>
    <t>RIOCAINA X 100 ML</t>
  </si>
  <si>
    <t>RIODIPIRONA X 100 ML</t>
  </si>
  <si>
    <t>RIOFLUNIXIN X 100 ML</t>
  </si>
  <si>
    <t>RIOFLUNIXIN X 250 ML</t>
  </si>
  <si>
    <t>RIOFLUNIXIN X 50 ML</t>
  </si>
  <si>
    <t>RIOVERMIN INY X 100 ML</t>
  </si>
  <si>
    <t>RIOVERMIN INY X 500 ML</t>
  </si>
  <si>
    <t>FELINE FULLSPOT 02-05 KG</t>
  </si>
  <si>
    <t>ROYTAC X 1 LITRO</t>
  </si>
  <si>
    <t>RUMIOTONIC X 10 ML</t>
  </si>
  <si>
    <t>LAPIPETA DE 11 A 20 KG</t>
  </si>
  <si>
    <t>SAL DE EPSON X 480 GRS</t>
  </si>
  <si>
    <t>SOLUCION GLUCOSADA AL 50% X 250 ML (RJ)</t>
  </si>
  <si>
    <t>SOLUCION GLUCOSADA AL 50% X 500 ML (RJ)</t>
  </si>
  <si>
    <t>LAPIPETA DE 2 A 10 KG</t>
  </si>
  <si>
    <t>STRESIN LA RJ X 100 ML</t>
  </si>
  <si>
    <t>SULFAMETAZINA AL 30% INY. X 100 ML</t>
  </si>
  <si>
    <t>SULFAMETAZINA AL 30% INY. X 250 ML</t>
  </si>
  <si>
    <t>LAPIPETA DE 21 A 40 KG</t>
  </si>
  <si>
    <t>SULFAMETAZINA AL 30% INY. X 500 ML</t>
  </si>
  <si>
    <t>TACORPE (CAJA X 2 UNIDADES)</t>
  </si>
  <si>
    <t>LAPIPETA GATOS 0 A 4 KG</t>
  </si>
  <si>
    <t>TIAMINA CLORHIDRATO 5 GRS. FCO X 50 ML (RJ)</t>
  </si>
  <si>
    <t>TILMICOSINA X 100 ML (RJ)</t>
  </si>
  <si>
    <t>LAPIPETA GATOS 4 A 8 KG</t>
  </si>
  <si>
    <t>TILOSINA X 100 ML (RJ)</t>
  </si>
  <si>
    <t>TILOSINA X 250 CC (RJ)</t>
  </si>
  <si>
    <t>TINTURA DE YODO FUERTE X 100 ML (RJ)</t>
  </si>
  <si>
    <t>LAPIPETA MÁS DE 40 KG</t>
  </si>
  <si>
    <t>TINTURA DE YODO FUERTE X 250 ML (RJ)</t>
  </si>
  <si>
    <t>TINTURA DE YODO FUERTE X 500 ML (RJ)</t>
  </si>
  <si>
    <t>EPISOL X 9 COMP</t>
  </si>
  <si>
    <t>TIRMICINA FCO X 50 ML</t>
  </si>
  <si>
    <t>TONANVIT X 1 LT</t>
  </si>
  <si>
    <t>FRONTLINE SPRAY X 100 ML</t>
  </si>
  <si>
    <t>TONANVIT X 500 ML</t>
  </si>
  <si>
    <t>VITAMINICO ADE CALCIFICANTE X 100 ML</t>
  </si>
  <si>
    <t>VITAMINICO ADE CALCIFICANTE X 250 ML</t>
  </si>
  <si>
    <t>ANULADO</t>
  </si>
  <si>
    <t>VITAMINICO ADE SELENIO Y ZINC X 250 ML</t>
  </si>
  <si>
    <t>XILACINA 2% X 30 ML (ALFASAN)</t>
  </si>
  <si>
    <t>YOHIMBINE RJ X 10 ML</t>
  </si>
  <si>
    <t>BRECACYN LAIKA JARABE X 100 ML</t>
  </si>
  <si>
    <t>CALCIFICANTE VITAMINICO POTE X 100 GRS (LAIKA)</t>
  </si>
  <si>
    <t>COLIRIO GOTEROS X 20 ML (LAIKA)</t>
  </si>
  <si>
    <t>PIMODEN 10 MG X Blister x 10 COMP.</t>
  </si>
  <si>
    <t>DERMOMICINA LAIKA X 60 ML</t>
  </si>
  <si>
    <t>DEXAMETASONA RJ 40 MG X 10 ML (LAIKA)</t>
  </si>
  <si>
    <t>DEXAMETASONA RJ 40 MG X 25 ML (LAIKA)</t>
  </si>
  <si>
    <t>Cardinas medianas</t>
  </si>
  <si>
    <t>EMPLASTO CICATRIZANTE X 100 ML</t>
  </si>
  <si>
    <t>Cardina grande</t>
  </si>
  <si>
    <t>MEDROXIPROGESTERONA X 3 ML (LAIKA)</t>
  </si>
  <si>
    <t>MELOXI LAICA JARABE X 100 ML</t>
  </si>
  <si>
    <t>TONANVIT X 100 ML</t>
  </si>
  <si>
    <t>Collar c/ pañuelo blondi talle 0</t>
  </si>
  <si>
    <t>ARSAPROST X 20 CC</t>
  </si>
  <si>
    <t>ARSAPROST X 50 CC</t>
  </si>
  <si>
    <t>CEFTIOFUR ARSA X 100 CC</t>
  </si>
  <si>
    <t>Collar c/ pañuelo blondi talle 1</t>
  </si>
  <si>
    <t>GELAMIN SOL X 500 CC</t>
  </si>
  <si>
    <t>GESTRAN PLUS X 20 CC</t>
  </si>
  <si>
    <t>Collar c/ pañuelo blondi talle 2</t>
  </si>
  <si>
    <t>GUANTES DESC. FLEX BOLSA X 50 UNIDADES</t>
  </si>
  <si>
    <t>GUANTES DESC. FLEX X 100 UNIDADES</t>
  </si>
  <si>
    <t>GUANTES DESC. SUPER FLEX X 100 UNIDADES</t>
  </si>
  <si>
    <t>Collar c/ apliques canis talle</t>
  </si>
  <si>
    <t>TOPILARSA X 500 ML</t>
  </si>
  <si>
    <t>ATONIL FRASCO X 100 ML</t>
  </si>
  <si>
    <t>Colla cuerina c/moño</t>
  </si>
  <si>
    <t>BACTOFAGO 6 AMPOLLAS X 3 ML</t>
  </si>
  <si>
    <t>CALCIVET FORTE FRASCO X 150 GRS</t>
  </si>
  <si>
    <t>Collar nylon reforzado talle 6</t>
  </si>
  <si>
    <t>CALCIVET FORTE FRASCO X 250 GRS</t>
  </si>
  <si>
    <t>CALCIVET FRASCO X 50 COMPRIMIDOS</t>
  </si>
  <si>
    <t>collar nylon talle 1</t>
  </si>
  <si>
    <t>COPRODIGEST X 21 COMP</t>
  </si>
  <si>
    <t>DAVITAN C X 60 COMPRIMIDOS</t>
  </si>
  <si>
    <t>collar nylon talle 2</t>
  </si>
  <si>
    <t>DERMOTAL CAJA 6 POMOS X 15 GRS</t>
  </si>
  <si>
    <t>DERMOTAL POMO X 30 GRS</t>
  </si>
  <si>
    <t>DEXAMETASONA 0,5 MG X 100 COMPRIMIDOS (ATON)</t>
  </si>
  <si>
    <t>collar nylon talle 3</t>
  </si>
  <si>
    <t>INMUNOGAM 5 AMPOLLAS X 5 ML</t>
  </si>
  <si>
    <t>PREDNISOLONA ATON X 100 COMP</t>
  </si>
  <si>
    <t>PROFEDYL 100 MG X 60 COMP</t>
  </si>
  <si>
    <t>collar nylon talle 4</t>
  </si>
  <si>
    <t>PROFEDYL 25 MG X 60 COMP</t>
  </si>
  <si>
    <t>Activo</t>
  </si>
  <si>
    <t>PROFEDYL 75 MG X 60 COMP</t>
  </si>
  <si>
    <t>collar nylon talle 5</t>
  </si>
  <si>
    <t>PRONAL 6 AMPOLLAS X 1 ML</t>
  </si>
  <si>
    <t>TRIDOL ANTIFLOGISTICO 5 FCOS X 10 ML</t>
  </si>
  <si>
    <t>collar nylon blondi talle 6</t>
  </si>
  <si>
    <t>VIRACEL 10 AMPOLLAS X 1 ML</t>
  </si>
  <si>
    <t>AVIFLOX 10% X 1 LT (ENRO 10%)</t>
  </si>
  <si>
    <t>collar nylon blondi talle 8</t>
  </si>
  <si>
    <t>AVIMETRIN POUR ON X 1 LT</t>
  </si>
  <si>
    <t>AVIMETRIN POUR ON X 5 LTS</t>
  </si>
  <si>
    <t>collar nylon blondi talle 9</t>
  </si>
  <si>
    <t>BENZALCONIO 50% X 1 LT</t>
  </si>
  <si>
    <t>BENZALCONIO 50% X 5 LTS</t>
  </si>
  <si>
    <t>BLOAT AID 25% X 20 LTS</t>
  </si>
  <si>
    <t>collares con cascabel</t>
  </si>
  <si>
    <t>BLOAT AID 80% X 20 LTS</t>
  </si>
  <si>
    <t>BLOAT AID POLVO X 20 KG</t>
  </si>
  <si>
    <t>Collar y correa blondi animal print</t>
  </si>
  <si>
    <t>BUTRIN C POUR ON X 1 LT</t>
  </si>
  <si>
    <t>BUTRIN C POUR ON X 5 LTS</t>
  </si>
  <si>
    <t>Pretal+correa regulable talle 1</t>
  </si>
  <si>
    <t>CEFAPLUS 5% X 100 ML</t>
  </si>
  <si>
    <t>CEFAPLUS DUO X 100 ML (CEFT 5% + KETOPROFENO 10%)</t>
  </si>
  <si>
    <t>Pretal nylon talle 3</t>
  </si>
  <si>
    <t>CEFAPLUS LA X 100 ML</t>
  </si>
  <si>
    <t>CYNLARVIN G BOLSA X 20 KG</t>
  </si>
  <si>
    <t>FLORAVIN X 100 ML</t>
  </si>
  <si>
    <t>Pretal nylon talle6</t>
  </si>
  <si>
    <t>FLUNIXIN AV X 50 ML</t>
  </si>
  <si>
    <t>IVERPLUS PREMIX AV 0,6% X 25 KG</t>
  </si>
  <si>
    <t>Correa Nylon talle 1</t>
  </si>
  <si>
    <t>IVERPLUS PREMIX AV 0,6% X 5 KG</t>
  </si>
  <si>
    <t>MENBUTONA AVIAR X 100 ML</t>
  </si>
  <si>
    <t>Correa Nylon talle 2</t>
  </si>
  <si>
    <t>MOSCAPLUS "AG" X 1 KG</t>
  </si>
  <si>
    <t>MOSCAPLUS "AG" X 450 GRS</t>
  </si>
  <si>
    <t>MOSCAPLUS "AG" X 5 KG</t>
  </si>
  <si>
    <t>Correa Nylon talle 3</t>
  </si>
  <si>
    <t>MOSCAPLUS POLVO AZ X 1 KG</t>
  </si>
  <si>
    <t>MOSCAPLUS POLVO X 1 KG</t>
  </si>
  <si>
    <t>MOSCAPLUS ZURON 0,67% X 25 KG</t>
  </si>
  <si>
    <t>Correa Elastizada azul universal</t>
  </si>
  <si>
    <t>MOSCAPLUS ZURON 8% X 5 KG</t>
  </si>
  <si>
    <t>OXITETRACICLINA AVIAR 100% X 25 KG</t>
  </si>
  <si>
    <t>OXITETRACICLINA AVIAR 100% X 5 KG</t>
  </si>
  <si>
    <t>Poncho Talle 3 cani</t>
  </si>
  <si>
    <t>PHARMASIN 200 X 250 ML (TILOSINA 20%)</t>
  </si>
  <si>
    <t>SELLA 2.0 AEROSOL AV X 440 ML</t>
  </si>
  <si>
    <t>Poncho talle 5 cani</t>
  </si>
  <si>
    <t>SINCOCCIN T X 1 LT (TOLTRAZULRIL 2,5%)</t>
  </si>
  <si>
    <t>TILOPLUS 300 X 100 ML</t>
  </si>
  <si>
    <t>TILOPLUS DUO X 10 ML</t>
  </si>
  <si>
    <t>Poncho talle 6 cani</t>
  </si>
  <si>
    <t>TILOPLUS DUO X 100 ML</t>
  </si>
  <si>
    <t>TILOPLUS DUO X 250 ML</t>
  </si>
  <si>
    <t>Poncho talle 7 cani</t>
  </si>
  <si>
    <t>UNIPLATA AEROSOL X 440 ML</t>
  </si>
  <si>
    <t>VETRIMICIN PLUS LA X 250 ML</t>
  </si>
  <si>
    <t>NUPRE CALF X 2 KG</t>
  </si>
  <si>
    <t>Poncho Talle 8 cani</t>
  </si>
  <si>
    <t>NUPRE HIDRA X 2 KG</t>
  </si>
  <si>
    <t>VITAL HORSE N3 BIDON X 2 LTS</t>
  </si>
  <si>
    <t>BAYCOX 5% X 1 LT</t>
  </si>
  <si>
    <t>Poncho Talle 40 blondi</t>
  </si>
  <si>
    <t>BAYTRIL INYECTABLE 5% X 100 ML</t>
  </si>
  <si>
    <t>BAYTRIL MAX X 100 ML</t>
  </si>
  <si>
    <t>BAYVERM PI 15% X 500 ML</t>
  </si>
  <si>
    <t>Poncho Talle 50 blondi</t>
  </si>
  <si>
    <t>CATOSAL B12 X 100 ML</t>
  </si>
  <si>
    <t>OXITETRACICLINA LA X 250 ML (BAYER)</t>
  </si>
  <si>
    <t>VIGANTOL ADE X 100 ML</t>
  </si>
  <si>
    <t>Cucha Numero 1</t>
  </si>
  <si>
    <t>BIT FIPRO GATO X PIPETA</t>
  </si>
  <si>
    <t>BIT FIPRO PERRO 1-10 KG X PIPETA</t>
  </si>
  <si>
    <t>Cucha Numero 4</t>
  </si>
  <si>
    <t>BIT FIPRO PERRO 11-20 KG X PIPETA</t>
  </si>
  <si>
    <t>BIT FIPRO PERRO 21-40 KG X PIPETA</t>
  </si>
  <si>
    <t>Baño Perro chico</t>
  </si>
  <si>
    <t>BIT FIPRO PERRO 41-60 KG X PIPETA</t>
  </si>
  <si>
    <t>CEFALEXINA SUSPENSION BECH LAB</t>
  </si>
  <si>
    <t>CESNEFIN X 100 COMP (ALB+PRZQ)</t>
  </si>
  <si>
    <t>Baño Perro mediano</t>
  </si>
  <si>
    <t>CISTICALM X 60 CAPSULAS</t>
  </si>
  <si>
    <t>CONDROVITAL POLVO X 110 GR</t>
  </si>
  <si>
    <t>Baño Perro grande</t>
  </si>
  <si>
    <t>COPROBECH X 100 GRS</t>
  </si>
  <si>
    <t>DEXA 4 MG X 50 ML (BECHLAB)</t>
  </si>
  <si>
    <t>Corte y baño perro chico</t>
  </si>
  <si>
    <t>DEXASHOK INY X 20 ML (BECHLAB)</t>
  </si>
  <si>
    <t>DOXIBECH "COMPLEX" 100 MG X 50 COMP</t>
  </si>
  <si>
    <t>Corte y baño perro mediano</t>
  </si>
  <si>
    <t>DOXIBECH "COMPLEX" 200 MG X 50 COMP</t>
  </si>
  <si>
    <t>DOXIBECH 100 MG X 100 COMP</t>
  </si>
  <si>
    <t>DOXIBECH 200 MG X 100 COMP</t>
  </si>
  <si>
    <t>Corte y baño perro grande</t>
  </si>
  <si>
    <t>ENROMED 100 MG X 100 COMP</t>
  </si>
  <si>
    <t>ENROMED 200 MG X 100 COMP</t>
  </si>
  <si>
    <t>Castración Gato MACHO</t>
  </si>
  <si>
    <t>ENROMED 50 MG X 100 COMP</t>
  </si>
  <si>
    <t>GABALBECH ORAL X 30 ML</t>
  </si>
  <si>
    <t>Castración perro MACHO hasta 10 kg</t>
  </si>
  <si>
    <t>HEMOSPEED X 100 ML</t>
  </si>
  <si>
    <t>Castración perro MACHO hasta 20 kg</t>
  </si>
  <si>
    <t>KETOBECH 200 MG X 100 COMP</t>
  </si>
  <si>
    <t>MATERNIL FORT X 250 GR</t>
  </si>
  <si>
    <t>METROBECH 250 MG X 50 COMP</t>
  </si>
  <si>
    <t>Castración perro MACHO hasta 30 kg</t>
  </si>
  <si>
    <t>METROBECH 500 MG X 40 COMP</t>
  </si>
  <si>
    <t>METROBECH INY 5 MG X 100 ML</t>
  </si>
  <si>
    <t>Castración perro MACHO hasta 40 kg</t>
  </si>
  <si>
    <t>OTIBECH GOTAS OTICAS X 30 ML</t>
  </si>
  <si>
    <t>Castración perro MACHO hasta 50 kg</t>
  </si>
  <si>
    <t>PREDNISOLONA BECHLAB 10 MG X 100 COMP</t>
  </si>
  <si>
    <t>PREDNISOLONA BECHLAB 20 MG X 100 COMP</t>
  </si>
  <si>
    <t>Castración perro MACHO 60 kg</t>
  </si>
  <si>
    <t>PREGALBECH ORAL X 30 ML</t>
  </si>
  <si>
    <t>Inyectable</t>
  </si>
  <si>
    <t>RENAL ADVANCED POLVO X 100 GRS</t>
  </si>
  <si>
    <t>RESVITAL OMEGA ANTIOXIDANTE X 120 ML</t>
  </si>
  <si>
    <t>Insumos Veterinarios</t>
  </si>
  <si>
    <t>SALES ISOTONIC 10 SOBRES X 20 GRS</t>
  </si>
  <si>
    <t>SARRI500 SOLUCION ANTISEPTICA X 200 ML</t>
  </si>
  <si>
    <t>TIOCTIC X 50 COMP</t>
  </si>
  <si>
    <t>Vacuna Quantum (Sextuple)</t>
  </si>
  <si>
    <t>TRILOBECH 10 MG X 30 COMP</t>
  </si>
  <si>
    <t>TRILOBECH 30 MG X 30 COMP</t>
  </si>
  <si>
    <t>Vacuna antirrabica</t>
  </si>
  <si>
    <t>TRILOBECH 5 MG X 30 COMP</t>
  </si>
  <si>
    <t>URSOMARINA 10 KG X 50 COMP</t>
  </si>
  <si>
    <t>Vacuna DHPPI (quintuple)</t>
  </si>
  <si>
    <t>URSOMARINA 20 KG X 50 COMP (PERRO MED Y GDE)</t>
  </si>
  <si>
    <t>URSOMARINA SUSPENSION X 100 ML</t>
  </si>
  <si>
    <t>VITABIOTIC X 1 KG</t>
  </si>
  <si>
    <t>Antiparasitario Alfa-C x comprimido</t>
  </si>
  <si>
    <t>ACA NO EDUCATIVO AEROSOL</t>
  </si>
  <si>
    <t>ACA NO JARRA X 1 LT</t>
  </si>
  <si>
    <t>Interpets suspención 15 ml</t>
  </si>
  <si>
    <t>ACA NO JARRA X 450 ML</t>
  </si>
  <si>
    <t>ESPUMA SECA BIMEDA X 210 ML</t>
  </si>
  <si>
    <t>FINN GEL CUCARACHICIDA X 30 GR</t>
  </si>
  <si>
    <t>Golosinas palitos</t>
  </si>
  <si>
    <t>FUMIGATOR FOGGER AEROSOL X 410 ML</t>
  </si>
  <si>
    <t>GEL CUCARACHICIDA VIGILANTE JGA X 6 GRS</t>
  </si>
  <si>
    <t>MOSQUICIDA ULTRA SOBRE X 30 GRS</t>
  </si>
  <si>
    <t>Bandeja + palita</t>
  </si>
  <si>
    <t>RATICIDA PANIC BLOCK BALDE X 5 KG</t>
  </si>
  <si>
    <t>RATICIDA PANIC BLOCK X 1 KG</t>
  </si>
  <si>
    <t>Bandeja</t>
  </si>
  <si>
    <t>RATICIDA PANIC CAJA X 100 GRS</t>
  </si>
  <si>
    <t>RATICIDA ULTRA BIDON TRIGO X 1 KG</t>
  </si>
  <si>
    <t>Pretal gato</t>
  </si>
  <si>
    <t>RATICIDA ULTRA BLOCKS PARAFINICO X 1 KG</t>
  </si>
  <si>
    <t>RATICIDA ULTRA DISPENSER 30 X 50 GRS</t>
  </si>
  <si>
    <t>Juguete chico gato</t>
  </si>
  <si>
    <t>RATICIDA ULTRA X 25 KG</t>
  </si>
  <si>
    <t>ULTRA PLAF HORMIGUICIDA JERINGA X 6 GRS</t>
  </si>
  <si>
    <t>Comedero chico</t>
  </si>
  <si>
    <t>ACIENDEL COMUN X 1 LT</t>
  </si>
  <si>
    <t>ACIENDEL COMUN X 5 LTS</t>
  </si>
  <si>
    <t>Extracción</t>
  </si>
  <si>
    <t>ACIENDEL PLUS X 1 LT</t>
  </si>
  <si>
    <t>ACIENDEL PLUS X 2.5 LTS</t>
  </si>
  <si>
    <t>ADAPTADORES MIN-VIT</t>
  </si>
  <si>
    <t>SUELTO X 1 KG - EXCELLENT PUPPY(r.med. y grandes)</t>
  </si>
  <si>
    <t>ARRASA OVINOS X 2,5 LTS</t>
  </si>
  <si>
    <t>ARRASA X 1 LT</t>
  </si>
  <si>
    <t>ARRASA X 2,5 LTS</t>
  </si>
  <si>
    <t>SUELTO X 1 KG - EXCELLENT ADULT.(r. med y grandes)</t>
  </si>
  <si>
    <t>ARRASA X 5 LTS</t>
  </si>
  <si>
    <t>SUELTO X 1 KG - EXCELLENT KITTEN</t>
  </si>
  <si>
    <t>ASPERSIN X 250 ML</t>
  </si>
  <si>
    <t>ASPERSIN X 5 LTS</t>
  </si>
  <si>
    <t>BAGO AD3E INY X 250 ML</t>
  </si>
  <si>
    <t>SUELTO X 1 KG - EXCELLENT ADULT CAT</t>
  </si>
  <si>
    <t>BAGODRYL LIQUIDO X 5 LTS</t>
  </si>
  <si>
    <t>BAGOMECTINA 1% X 50 ML</t>
  </si>
  <si>
    <t>SUELTO X 1 KG - YENU ADULTO(todos los t.)</t>
  </si>
  <si>
    <t>BAGOMECTINA 1% X 500 ML</t>
  </si>
  <si>
    <t>BAGOMECTINA STAR X 500 ML</t>
  </si>
  <si>
    <t>BIOABORTOGEN H FRASCO X 25 DS</t>
  </si>
  <si>
    <t>SUELTO X 1 KG - YENU CACHORROS(todos los t)</t>
  </si>
  <si>
    <t>BIOABORTOGEN H FRASCO X 50 DS</t>
  </si>
  <si>
    <t>BIOCARBOGEN X 50 DS</t>
  </si>
  <si>
    <t>SUELTO X 1 KG - YENU GATOS ADULTOS</t>
  </si>
  <si>
    <t>BIOCLOSTRIGEN J5 FRASCO X 25 DS</t>
  </si>
  <si>
    <t>BIOCLOSTRIGEN J5 FRASCO X 60 DS</t>
  </si>
  <si>
    <t>SUELTO X 1 KG - YENU GATOS CACHORROS</t>
  </si>
  <si>
    <t>BIOENTEROTEC X 20 DS</t>
  </si>
  <si>
    <t>BIOESTROGEN X 100 ML</t>
  </si>
  <si>
    <t>SUELTO X 1 KG - AGILITY ADULTO</t>
  </si>
  <si>
    <t>BIOFASIOLEX 10% BIDON 2.5 LTS</t>
  </si>
  <si>
    <t>BIOLEPTOGEN FRASCO X 25 DS</t>
  </si>
  <si>
    <t>BIOLEPTOGEN FRASCO X 50 DS</t>
  </si>
  <si>
    <t>SUELTO X 1 KG - AGILITY CACHORROS</t>
  </si>
  <si>
    <t>BIOPOLIGEN "Q" X 50 DS</t>
  </si>
  <si>
    <t>BIOPOLIGEN AIR X 40 DS</t>
  </si>
  <si>
    <t>SUELTO X 1 KG - AGILITY CATS ADULTO</t>
  </si>
  <si>
    <t>BIOPOLIGEN AIR X 80 DS</t>
  </si>
  <si>
    <t>BIOPOLIGEN HS FRASCO X 25 DS</t>
  </si>
  <si>
    <t>BIOPOLIGEN HS FRASCO X 50 DS</t>
  </si>
  <si>
    <t>SUELTO X 1 KG - AGILITY CATS KITTEN</t>
  </si>
  <si>
    <t>BIOQUERATOGEN OLEO MAX FRASCO X 40 DS</t>
  </si>
  <si>
    <t>BIOQUERATOGEN OLEO MAX FRASCO X 80 DS</t>
  </si>
  <si>
    <t>CEFTIOMAX X 100 ML</t>
  </si>
  <si>
    <t>Cirugia</t>
  </si>
  <si>
    <t>CIPERSIN X 5 LTS</t>
  </si>
  <si>
    <t>CRONI-CIP X 100 ML</t>
  </si>
  <si>
    <t>AGILITY CATS URINARY Present: 10kg</t>
  </si>
  <si>
    <t>CRONIPRES 1 GRS X 10 DISPOSITIVOS</t>
  </si>
  <si>
    <t>CRONIPRES MONODOSIS 0,5 G X 10 UNIDADES</t>
  </si>
  <si>
    <t>ECEGON 5.000 U.I.</t>
  </si>
  <si>
    <t>FELINE FULLSPOT MÁS DE 5 KG</t>
  </si>
  <si>
    <t>ECEGON RTU 5.000</t>
  </si>
  <si>
    <t>ENZAPROST DC X 100 ML</t>
  </si>
  <si>
    <t>PREDNISOL GOTAS JM X 15 ML</t>
  </si>
  <si>
    <t>ENZAPROST DC X 20 ML</t>
  </si>
  <si>
    <t>ESTREPTOCARBOCAFTIAZOL X 1 LT</t>
  </si>
  <si>
    <t>MELTRA SPOT ON GATO 4 a 8 KG</t>
  </si>
  <si>
    <t>ESTREPTOPENDIBEN 5M UI X FRASCO</t>
  </si>
  <si>
    <t>FLOK 1% X 500 ML</t>
  </si>
  <si>
    <t>MELTRA SPOT ON GATO HASTA 4 KG</t>
  </si>
  <si>
    <t>FLOK 3,15% X 500 ML</t>
  </si>
  <si>
    <t>FLOK X 50 ML</t>
  </si>
  <si>
    <t>FLOROXIN X 100 ML BB</t>
  </si>
  <si>
    <t>EXCELLENT ADULT DOG Razas Pequeñas Present: 15 kg</t>
  </si>
  <si>
    <t>FORBOX "FT" X 2.5 LTS</t>
  </si>
  <si>
    <t>FORBOX "FT" X 5 LTS</t>
  </si>
  <si>
    <t>SUELTO X 1 KG - EXCELLENT ADULT DOG R Pequeñas</t>
  </si>
  <si>
    <t>FORTIUM GEL X 240 ML</t>
  </si>
  <si>
    <t>FOSFAMISOL MV X 500 ML</t>
  </si>
  <si>
    <t>PRO PLAN PUPPY DOG RAZA PEQUEÑA Present: 7,5kg</t>
  </si>
  <si>
    <t>GALGOSANTEL ORAL AL 15% (BIDON X 2.5 LTS)</t>
  </si>
  <si>
    <t>GALMETRIN PLUS SPRAY X 440 ML</t>
  </si>
  <si>
    <t>GALMETRIN POMADA - POTE 1 KG</t>
  </si>
  <si>
    <t>PRO PLAN PUPPY DOG RAZA GRANDE Present: 15 kg</t>
  </si>
  <si>
    <t>GONAXAL X 50 ML</t>
  </si>
  <si>
    <t>ROYAL CANIN CACHORRO RAZA PEQUEÑA Present: 7.5 kg</t>
  </si>
  <si>
    <t>KETOPROFENO BB X 100 ML</t>
  </si>
  <si>
    <t>KETOPROFENO BB X 50 ML</t>
  </si>
  <si>
    <t>ROYAL CANIN ADULTO RAZA PEQUEÑA Present: 7.5 kg</t>
  </si>
  <si>
    <t>MAXIBIOTIC LA X 250 ML</t>
  </si>
  <si>
    <t>MAXITYL PLATINUM X 100 ML</t>
  </si>
  <si>
    <t>PROTELIV GOTAS x 15 ml</t>
  </si>
  <si>
    <t>MAXITYL X 100 ML</t>
  </si>
  <si>
    <t>PACK REPROD. BIOGENESIS 0,5 GR 100 TRAT. CON CIPIO</t>
  </si>
  <si>
    <t>ODONTOBIOTIC Blister x 10 Comp</t>
  </si>
  <si>
    <t>PACK REPROD. BIOGENESIS 1 GR 100 TRAT. CON CIPIONA</t>
  </si>
  <si>
    <t>PARAXANE INY X 1 LT</t>
  </si>
  <si>
    <t>OPTIMUM SOBRE CACHORRO POLLO 100 gr</t>
  </si>
  <si>
    <t>POLICALCINA FORTE X 500 ML</t>
  </si>
  <si>
    <t>OPTIMUM SOBRE ADULTO RAZAS PEQUEÑAS POLLO 100 gr</t>
  </si>
  <si>
    <t>POLICLOSTRIGEN X 25 DS</t>
  </si>
  <si>
    <t>POLICLOSTRIGEN X 50 DS</t>
  </si>
  <si>
    <t>RABIA PARESIANTE BB X 25 DS</t>
  </si>
  <si>
    <t>OPTIMUM SOBRE ADULTO RAZAS MED/GRAND POLLO 100 gr</t>
  </si>
  <si>
    <t>REVERVAC HEMOGLOBINURIA X 80 DOSIS</t>
  </si>
  <si>
    <t>ROTATEC J5 FRASCO X 40 DS</t>
  </si>
  <si>
    <t>OPTIMUM SOBRE GATITO POLLO 85 gr</t>
  </si>
  <si>
    <t>ROTATEC J5 FRASCO X 80 DS</t>
  </si>
  <si>
    <t>STAND UP X 100 ML</t>
  </si>
  <si>
    <t>OPTIMUM SOBRE GATO ADULT POLLO 85 gr</t>
  </si>
  <si>
    <t>SUPLENUT "SE" X 500 ML</t>
  </si>
  <si>
    <t>OPTIMUM SOBRE GATOS CASTRADOS POLLO 85 gr</t>
  </si>
  <si>
    <t>SUPLENUT X 500 ML</t>
  </si>
  <si>
    <t>TUBERCULINA BIOGENESIS X 100 DS</t>
  </si>
  <si>
    <t>OPTIMUM CACHORRO RAZAS PEQUEÑAS POLLO Y ARROZ 3 kg</t>
  </si>
  <si>
    <t>TUBERCULINA BIOGENESIS X 50 DS</t>
  </si>
  <si>
    <t>UBREDEM X 25 ML</t>
  </si>
  <si>
    <t>OPTIMUM CACHORRO RAZAS MED./GRND POLLO Y ARROZ 3KG</t>
  </si>
  <si>
    <t>UBRESAN LAC JERINGA X 5G (EN BALDE X 60)</t>
  </si>
  <si>
    <t>OPTIMUM ADULTO RAZAS PEQUEÑAS POLLO Y ARROZ 3KG</t>
  </si>
  <si>
    <t>UBRESAN SEC JERINGA (EN CAJA X 100)</t>
  </si>
  <si>
    <t>UBRESAN SELL JERINGA X 4G (EN BALDE X 100)</t>
  </si>
  <si>
    <t>EQVALAN GOLD JERINGA</t>
  </si>
  <si>
    <t>OPTIMUM ADULTO RAZAS MED/GRANDES POLLO Y ARROZ 3KG</t>
  </si>
  <si>
    <t>EQVALAN JERINGA</t>
  </si>
  <si>
    <t>OPTIMUM GATITOS POLLO 1KG</t>
  </si>
  <si>
    <t>PROTEQ FLU-T X 1 DS</t>
  </si>
  <si>
    <t>VETERA X 10 DS</t>
  </si>
  <si>
    <t>OPTIMUM GATOS ADULTOS POLLO 1KG</t>
  </si>
  <si>
    <t>ALLIANCE FEEDLOT PLUS X 50 DOSIS (BOHERINGER)</t>
  </si>
  <si>
    <t>ALLIANCE REPRODUCTIVA X 50 DOSIS</t>
  </si>
  <si>
    <t>OPTIMUM GATOS ADULTOS POLLO 3KG</t>
  </si>
  <si>
    <t>ALLIANCE RESPIRATORIA X 50 DOSIS</t>
  </si>
  <si>
    <t>BOVIKALC CAJA X 4 BOLOS</t>
  </si>
  <si>
    <t>OPTIMUM GATOS CASTRADOS POLLO 1KG</t>
  </si>
  <si>
    <t>DIAKUR PLUS 24 SOBRES X 100 GRS</t>
  </si>
  <si>
    <t>DIAKUR PLUS BALDE X 3 KG</t>
  </si>
  <si>
    <t>ECTOLINE SPRAY X 500 ML</t>
  </si>
  <si>
    <t>OPTIMUM GATOS CASTRADOS POLLO 3KG</t>
  </si>
  <si>
    <t>ECTOLINE X 5 LTS</t>
  </si>
  <si>
    <t>EMEMAST PLUS X JERINGA (CAJA X 160)</t>
  </si>
  <si>
    <t>OPTIMUM CACHORRO RAZAS PEQUEÑAS POLLO Y ARROZ 15KG</t>
  </si>
  <si>
    <t>EMEMAST PLUS X JERINGA (CAJA X 20)</t>
  </si>
  <si>
    <t>INTRASIL X JERINGA</t>
  </si>
  <si>
    <t>OPTIMUM CACHORRO RAZAS MED/GRND POLLO Y ARROZ 15KG</t>
  </si>
  <si>
    <t>IVOMEC "F" X 500 ML</t>
  </si>
  <si>
    <t>IVOMEC GOLD X 500 ML</t>
  </si>
  <si>
    <t>OPTIMUM ADULTO RAZAS PEQUEÑAS POLLO Y ARROZ 15KG</t>
  </si>
  <si>
    <t>IVOMEC X 50 ML</t>
  </si>
  <si>
    <t>IVOMEC X 1 LITRO</t>
  </si>
  <si>
    <t>OPTIMUM ADULTO RAZAS MED/GRND POLLO Y ARROZ 15KG</t>
  </si>
  <si>
    <t>IVOMEC X 500 ML</t>
  </si>
  <si>
    <t>MAMYZIN P X FRASCO AMPOLLA</t>
  </si>
  <si>
    <t>OPTIMUM GATOS ADULTOS POLLO 10KG</t>
  </si>
  <si>
    <t>MAMYZIN S X JERINGA</t>
  </si>
  <si>
    <t>TONICO TOTAL X 200 ML</t>
  </si>
  <si>
    <t>ROMAGEL X JERINGA (CAJA X 160)</t>
  </si>
  <si>
    <t>ROMAGEL X JERINGA (CAJA X 20 )</t>
  </si>
  <si>
    <t>AGILITY DERMAPROTECT X 3 KG</t>
  </si>
  <si>
    <t>UBROLEXIN X JERINGA</t>
  </si>
  <si>
    <t>UBROSEAL X JERINGA (CAJA X 120 POMOS)</t>
  </si>
  <si>
    <t>SHAMPOO TRADICIONAL X 250 ML</t>
  </si>
  <si>
    <t>ZACTRAN X 100 ML</t>
  </si>
  <si>
    <t>FRONTLINE PLUS GATO</t>
  </si>
  <si>
    <t>Vacuna antitetanica</t>
  </si>
  <si>
    <t>FRONTLINE PLUS PERRO CHICO (H10 KG)</t>
  </si>
  <si>
    <t>FRONTLINE PLUS PERRO GRANDE (20-40 KG)</t>
  </si>
  <si>
    <t>BEBE LOCION X 130 ML</t>
  </si>
  <si>
    <t>NEXGARD G (10,1 A 25 KG) L</t>
  </si>
  <si>
    <t>FRONTLINE PLUS PERRO MEDIANO (10-20 KG)</t>
  </si>
  <si>
    <t>FRONTLINE PLUS PERRO XL</t>
  </si>
  <si>
    <t>EXCELLENT ADULT MAINTENANCE FORMULA Present: 20 kg</t>
  </si>
  <si>
    <t>FRONTLINE SPOT-ON GATOS</t>
  </si>
  <si>
    <t>FRONTLINE SPOT-ON PERRO CHICO (H 10 KG)</t>
  </si>
  <si>
    <t>FRONTLINE SPOT-ON PERRO GRANDE (H 40 KG)</t>
  </si>
  <si>
    <t>SUELTO X 1 KG - EXCELLENT ADULT MAINTENANC FORMULA</t>
  </si>
  <si>
    <t>FRONTLINE SPOT-ON PERRO MEDIANO (H 20 KG)</t>
  </si>
  <si>
    <t>FRONTLINE SPOT-ON XL (H 60 KG)</t>
  </si>
  <si>
    <t>OTOVET x 20 ML</t>
  </si>
  <si>
    <t>FRONTLINE SPRAY X 250 ML</t>
  </si>
  <si>
    <t>ROYAL CANIN MINI ADULT Present: 3 kg</t>
  </si>
  <si>
    <t>NEXGARD COMBO L X 0,9 ML</t>
  </si>
  <si>
    <t>NEXGARD COMBO S X 0,3 ML</t>
  </si>
  <si>
    <t>ROYAL CANIN MINI PUPPY Present: 3 kg</t>
  </si>
  <si>
    <t>NEXGARD GG (25 A 50 KG)</t>
  </si>
  <si>
    <t>ROYAL CANIN VET-CAT WEIGHT CONTROL Present: 3 kg</t>
  </si>
  <si>
    <t>NEXGARD M (4,1 A 10 KG)</t>
  </si>
  <si>
    <t>NEXGARD P (2 A 4 KG)</t>
  </si>
  <si>
    <t>Insumo Peluquería</t>
  </si>
  <si>
    <t>NEXGARD SPECTRA PP (2 A 3,5 KG.)</t>
  </si>
  <si>
    <t>NEXGARD SPECTRA G (15,1 A 30 KG.)</t>
  </si>
  <si>
    <t>NEXGARD SPECTRA GG (30,1 A 60 KG.)</t>
  </si>
  <si>
    <t>Yerba gatera</t>
  </si>
  <si>
    <t>NEXGARD SPECTRA M (7,6 A 15 KG.)</t>
  </si>
  <si>
    <t>NEXGARD SPECTRA P (3,6 A 7,5 KG.)</t>
  </si>
  <si>
    <t>PREVICOX PERRO CHICO 57 MG X 30 COMP</t>
  </si>
  <si>
    <t>PREVICOX PERRO GRANDE 227 MG X 30 COMP</t>
  </si>
  <si>
    <t>Vacuna TRIPLE FELINA</t>
  </si>
  <si>
    <t>PUREVAX FEL X DOSIS</t>
  </si>
  <si>
    <t>RABISIN X DOSIS</t>
  </si>
  <si>
    <t>SIMPARICA 120 MG (40 a 60 KG)</t>
  </si>
  <si>
    <t>RECOMBITEK C4</t>
  </si>
  <si>
    <t>RECOMBITEK C6</t>
  </si>
  <si>
    <t>RECOMBITEK C8</t>
  </si>
  <si>
    <t>SIEGER ADULTOS MORDIDA PEQUEÑA Present: 3 KG</t>
  </si>
  <si>
    <t>SEMINTRA X 30 ML</t>
  </si>
  <si>
    <t>SERAQUIN TABS X 60 COMP</t>
  </si>
  <si>
    <t>SOSTEN CG ORAL X Blister de 10 COMP</t>
  </si>
  <si>
    <t>ENTERISOL ILEITIS X 100 ML. (50 DOSIS)</t>
  </si>
  <si>
    <t>ENTERISOL ILEITIS X 20 ML. (10 DOSIS)</t>
  </si>
  <si>
    <t>ITRACONAZOL 100 MG X 10 COMP PREMIUM</t>
  </si>
  <si>
    <t>INGELVAC CIRCOFLEX X 50 DOSIS</t>
  </si>
  <si>
    <t>INGELVAC MYCOFLEX HSB X 50 DOSIS</t>
  </si>
  <si>
    <t>COPITAS REPUESTO METRISCAN</t>
  </si>
  <si>
    <t>CARDIOVIER E 20 KG X blister 10 Comprimidos</t>
  </si>
  <si>
    <t>ETIQUETAS BOVIMARKER X 20 UNIDADES CELESTE</t>
  </si>
  <si>
    <t>ETIQUETAS BOVIMARKER X 20 UNIDADES FUSCIA</t>
  </si>
  <si>
    <t>CLORMADINONA Blister x 10 compr</t>
  </si>
  <si>
    <t>ETIQUETAS BOVIMARKER X 20 UNIDADES NARANJA</t>
  </si>
  <si>
    <t>ETIQUETAS BOVIMARKER X 20 UNIDADES VERDE</t>
  </si>
  <si>
    <t>RELAY C X x 1 comprimido</t>
  </si>
  <si>
    <t>IDENTIFICADOR DETECTOR DE MONTA COLOR FUCSIA</t>
  </si>
  <si>
    <t>METRISCAN INYECTOR</t>
  </si>
  <si>
    <t>Orejas de vaca</t>
  </si>
  <si>
    <t>PINTURA BOVIMARKER AMARILLA X 500 ML</t>
  </si>
  <si>
    <t>PINTURA BOVIMARKER CELESTE X 500 ML</t>
  </si>
  <si>
    <t>PINTURA BOVIMARKER ROJA X 500 ML</t>
  </si>
  <si>
    <t>Cinto de seguridad p auto</t>
  </si>
  <si>
    <t>PINTURA BOVIMARKER VERDE X 500 ML</t>
  </si>
  <si>
    <t>ACEDERM SPRAY</t>
  </si>
  <si>
    <t>Conjunto pretal estampado Talle M</t>
  </si>
  <si>
    <t>ARTRIN PALATABLE X 30 COMPRIMIDOS</t>
  </si>
  <si>
    <t>ARTRIN PLUS X 18 COMPRIMIDOS</t>
  </si>
  <si>
    <t>Conjunto pretal estampado Talle L</t>
  </si>
  <si>
    <t>DERMOMAX X 15 GR</t>
  </si>
  <si>
    <t>DERMOMAX X 40 GR</t>
  </si>
  <si>
    <t>Mordillo mancuerna</t>
  </si>
  <si>
    <t>DEXAFLOX X 5 ML</t>
  </si>
  <si>
    <t>DOLOALIVIO X 15 COMPRIMIDOS</t>
  </si>
  <si>
    <t>DYNAMIDE X 30 COMPRIMIDOS</t>
  </si>
  <si>
    <t>Pelota con huellitas</t>
  </si>
  <si>
    <t>EUTHANYLE X 15 ML</t>
  </si>
  <si>
    <t>FENOBARBITAL P 100 MG X 30 COMP</t>
  </si>
  <si>
    <t>FENOBARBITAL PG 40 MG X 30 COMP</t>
  </si>
  <si>
    <t>Pelota de tenis</t>
  </si>
  <si>
    <t>FORT-E-PEN X 100 ML</t>
  </si>
  <si>
    <t>HIALURINA BROUWER X 10 ML</t>
  </si>
  <si>
    <t>Correa extencible x 3 metros</t>
  </si>
  <si>
    <t>KIL AMITRAZ X 20 ML</t>
  </si>
  <si>
    <t>KIL TALCO X 100 ML</t>
  </si>
  <si>
    <t>MELTRA GOLD COMP 10 A 20 KG</t>
  </si>
  <si>
    <t>MELTRA GOLD COMP 40 A 60 KG</t>
  </si>
  <si>
    <t>MELTRA SPOT ON GATO 4 A 8 KG</t>
  </si>
  <si>
    <t>MELTRA SUSPENSION X 15 ML</t>
  </si>
  <si>
    <t>NEO DIMETROGIN X 6 COMP</t>
  </si>
  <si>
    <t>NEO VITAPEL X 30 COMPRIMIDOS</t>
  </si>
  <si>
    <t>NEUROALIVIO X 30 COMPRIMIDOS</t>
  </si>
  <si>
    <t>OCLADERM 16 MG X 20 COMPRIMIDOS</t>
  </si>
  <si>
    <t>OCLADERM 3,6 MG X 20 COMPRIMIDOS</t>
  </si>
  <si>
    <t>OCLADERM 5,4 MG X 20 COMPRIMIDOS</t>
  </si>
  <si>
    <t>OCUFLOX X 5 ML</t>
  </si>
  <si>
    <t>Comedero portatil de goma</t>
  </si>
  <si>
    <t>OPTER X 25 ML</t>
  </si>
  <si>
    <t>PIMOBENDAN 10 MG X 20 COMPRIMIDOS</t>
  </si>
  <si>
    <t>ACEDAN GOTAS PALATABLES X 10 ML</t>
  </si>
  <si>
    <t>PIMOBENDAN 2,5 MG X 20 COMPRIMIDOS</t>
  </si>
  <si>
    <t>PIMOBENDAN 5 MG X 20 COMPRIMIDOS</t>
  </si>
  <si>
    <t>POWER COMPRIMIDOS 1400MG 10 A 20 KG</t>
  </si>
  <si>
    <t>Huesos porta bolsa</t>
  </si>
  <si>
    <t>POWER COMPRIMIDOS 2100MG 20 A 30 KG</t>
  </si>
  <si>
    <t>POWER COMPRIMIDOS 2800MG 30 A 40 KG</t>
  </si>
  <si>
    <t>POWER COMPRIMIDOS 350MG 2,5 A 5 KG</t>
  </si>
  <si>
    <t>Repuesto de bolsas para huesos</t>
  </si>
  <si>
    <t>POWER COMPRIMIDOS 700MG 5 A 10 KG</t>
  </si>
  <si>
    <t>POWER F SPRAY X 100 ML</t>
  </si>
  <si>
    <t>Bombacha p/celo n°2</t>
  </si>
  <si>
    <t>POWER MET HASTA 4 KG</t>
  </si>
  <si>
    <t>POWER MET HASTA 8 KG</t>
  </si>
  <si>
    <t>Bombacha p/celo n°3</t>
  </si>
  <si>
    <t>POWER SPOT ON GATOS 4 A 8 KG</t>
  </si>
  <si>
    <t>POWER SPOT ON GATOS HASTA 4 KG</t>
  </si>
  <si>
    <t>Bombacha p/celo n°4</t>
  </si>
  <si>
    <t>POWER ULTRA 10 A 20 KG</t>
  </si>
  <si>
    <t>POWER ULTRA 2 A 4 KG</t>
  </si>
  <si>
    <t>Bombacha p/celo n°5</t>
  </si>
  <si>
    <t>POWER ULTRA 20 A 40 KG</t>
  </si>
  <si>
    <t>TOLTRAZOL X 1 COMP.</t>
  </si>
  <si>
    <t>POWER ULTRA 40 A 60 KG</t>
  </si>
  <si>
    <t>POWER ULTRA 5 A 10 KG</t>
  </si>
  <si>
    <t>DOXICICLINA KUALCOS 50 MG X BLISTER 10 COMP</t>
  </si>
  <si>
    <t>ACEPROMAZINA X 50 ML</t>
  </si>
  <si>
    <t>ALBENDAZOL HAMPTON X 1 LT</t>
  </si>
  <si>
    <t>KUALCOVIT B JARABE X 100 ML</t>
  </si>
  <si>
    <t>ALBENDAZOL HAMPTON X 5 LTS</t>
  </si>
  <si>
    <t>ARTROCAL HAMPTON X 5 DOSIS DE 5 ML</t>
  </si>
  <si>
    <t>PERROLAC x 500 Gr. Leche en polvo</t>
  </si>
  <si>
    <t>ARTROCAL PLUS POTE X 500 GRS</t>
  </si>
  <si>
    <t>ASPARTATO B15 X 50 ML</t>
  </si>
  <si>
    <t>BARRO HAMPTON X 1 KG</t>
  </si>
  <si>
    <t>GATOLAC x 500 Gr Leche en Polvo</t>
  </si>
  <si>
    <t>BARRO HAMPTON X 4 KG</t>
  </si>
  <si>
    <t>BROMHEXINA HAMPTON X 300 GRS</t>
  </si>
  <si>
    <t>CALCIFOS LA X 250 ML</t>
  </si>
  <si>
    <t>T4 "F" x 10 Comprimidos</t>
  </si>
  <si>
    <t>CALENDAR X 1 KG</t>
  </si>
  <si>
    <t>CALENDAR X 5 KG</t>
  </si>
  <si>
    <t>LOCION NATURAL NEEM x 125 ml</t>
  </si>
  <si>
    <t>CARDIOTONICO HAMPTON X 100 ML</t>
  </si>
  <si>
    <t>CAUSTICO ROJO X 50 GRS</t>
  </si>
  <si>
    <t>CICATRIZOL X 100 ML</t>
  </si>
  <si>
    <t>ARTROSAN CANINO X 1 ML. (1 APLICACIÓN)</t>
  </si>
  <si>
    <t>CICATRIZOL X 250 ML</t>
  </si>
  <si>
    <t>COMPLEJO B X 100 ML (CALASTREME)</t>
  </si>
  <si>
    <t>ARTROSAN CANINO X 10 ML.</t>
  </si>
  <si>
    <t>COMPLEJO B X 50 ML (CALASTREME)</t>
  </si>
  <si>
    <t>COPRIM PLUS X 500 ML</t>
  </si>
  <si>
    <t>DEXACAL 40 X 50 ML</t>
  </si>
  <si>
    <t>CONTAL 60 X 10 Comprimidos</t>
  </si>
  <si>
    <t>DIFEBUZOL COMPRIMIDOS 1 GR X 50 COMP</t>
  </si>
  <si>
    <t>DIFEBUZOL COMPUESTO X 100 ML</t>
  </si>
  <si>
    <t>SHAMPOO DOUBLE 2 EN 1 X 250 ML</t>
  </si>
  <si>
    <t>DIFEBUZOL INY X 100 ML</t>
  </si>
  <si>
    <t>EMBROCACION INGLESA X 150 GRS.</t>
  </si>
  <si>
    <t>EMBROCACION INGLESA X 500 GRS.</t>
  </si>
  <si>
    <t>COLLAR ISABELINO N° 0</t>
  </si>
  <si>
    <t>ESTANOZOLOL OLEOSO X 10 ML</t>
  </si>
  <si>
    <t>FEBENDAZOL-E X 1 LT</t>
  </si>
  <si>
    <t>COLLAR ISABELINO N° 1</t>
  </si>
  <si>
    <t>FEBENDAZOL-E X 5 LTS</t>
  </si>
  <si>
    <t>FOSFO-ATP 5 UNIDADES X 10 ML</t>
  </si>
  <si>
    <t>FOSFO-ATP X 50 ML</t>
  </si>
  <si>
    <t>COLLAR ISABELINO N° 2</t>
  </si>
  <si>
    <t>FUROCAL X 10 ML</t>
  </si>
  <si>
    <t>GENTAMICINA CALASTREME 8% X 100 ML</t>
  </si>
  <si>
    <t>COLLAR ISABELINO N° 3</t>
  </si>
  <si>
    <t>GENTAMICINA CALASTREME 8% X 250 ML</t>
  </si>
  <si>
    <t>GERMOVITOL E X 500 ML</t>
  </si>
  <si>
    <t>HAMPTONSAL X 800 GRS.</t>
  </si>
  <si>
    <t>COLLAR ISABELINO N° 4</t>
  </si>
  <si>
    <t>HEPARMIN PLUS X 100 ML</t>
  </si>
  <si>
    <t>HEPARMIN PLUS X 250 ML</t>
  </si>
  <si>
    <t>COLLAR ISABELINO N° 5</t>
  </si>
  <si>
    <t>HEPATORAL HAMPTON X 1 LITRO</t>
  </si>
  <si>
    <t>HEPATORAL HAMPTON X 5 LITRO</t>
  </si>
  <si>
    <t>HEPATORAL HAMPTON X 500 ML</t>
  </si>
  <si>
    <t>COLLAR ISABELINO N° 6</t>
  </si>
  <si>
    <t>HIALURONATO DE SODIO X 2 ML</t>
  </si>
  <si>
    <t>IVERCAL 1% X 50 ML</t>
  </si>
  <si>
    <t>COLLAR ISABELINO N° 7</t>
  </si>
  <si>
    <t>LARYNGINE X 250 GRS</t>
  </si>
  <si>
    <t>LIDOCAL HAMPTON X 100 ML</t>
  </si>
  <si>
    <t>COMEDERO GRANDE</t>
  </si>
  <si>
    <t>NANDROLONA X 5 ML</t>
  </si>
  <si>
    <t>NEOFOSFAN X 500 ML</t>
  </si>
  <si>
    <t>NEOTETRA LA 200 X 250</t>
  </si>
  <si>
    <t>COMEDERO COME LENTO</t>
  </si>
  <si>
    <t>NEUROLIS X 50 ML</t>
  </si>
  <si>
    <t>POMADA MADURATIVA X 200 GRS.</t>
  </si>
  <si>
    <t>COMEDERO MEDIANO</t>
  </si>
  <si>
    <t>RED CALL X 1 LITRO</t>
  </si>
  <si>
    <t>REPELENTE CANOPUS X 1 LT</t>
  </si>
  <si>
    <t>REPELENTE CANOPUS X 500 CC</t>
  </si>
  <si>
    <t>YENU REDUCIDO EN CALORIAS Present: 3 kg</t>
  </si>
  <si>
    <t>SEPTICEMINA X 100 ML</t>
  </si>
  <si>
    <t>SOLIPEDINA X 1 KG</t>
  </si>
  <si>
    <t>PEINE SACA NUDOS</t>
  </si>
  <si>
    <t>SONASUL GEL X 100 GRS</t>
  </si>
  <si>
    <t>SUB ACETATO DE PLOMO X 500 ML.</t>
  </si>
  <si>
    <t>SOGA CON 2 NUDOS CHICO</t>
  </si>
  <si>
    <t>SULFAKYL INY X 100 ML</t>
  </si>
  <si>
    <t>SULFAKYL INY X 50 ML</t>
  </si>
  <si>
    <t>CORREA CORTA</t>
  </si>
  <si>
    <t>SULFAKYL TOPICO X 100 ML</t>
  </si>
  <si>
    <t>SULFATRIM POTE X 450 GR</t>
  </si>
  <si>
    <t>SULPLATA HAMPTON X 150 GRS</t>
  </si>
  <si>
    <t>KUALCODERM CREMA X 20 GRS</t>
  </si>
  <si>
    <t>SULPLATA HAMPTON X 500 GRS.</t>
  </si>
  <si>
    <t>TESTOSTERONA X 25 ML</t>
  </si>
  <si>
    <t>SHAMPOO A2 X 250 ML</t>
  </si>
  <si>
    <t>TIAMINA HAMPTON X 100 ML</t>
  </si>
  <si>
    <t>TILMICOSINA PLUS CALASTREME X 100 ML</t>
  </si>
  <si>
    <t>TIU 2 BL X 1 COMPRIMIDO</t>
  </si>
  <si>
    <t>TILMICOSINA PLUS CALASTREME X 250 ML</t>
  </si>
  <si>
    <t>TNM INY X 10 ML</t>
  </si>
  <si>
    <t>TRIAMCINOLONA HAMPTON X 5 ML</t>
  </si>
  <si>
    <t>FELILAX X 40 GRS</t>
  </si>
  <si>
    <t>UROCAL X 100 ML</t>
  </si>
  <si>
    <t>VENTICAL X 500 GRS</t>
  </si>
  <si>
    <t>GALMETRIN PLUS SPRAY X 440 ML.</t>
  </si>
  <si>
    <t>VETARSIL X 100 ML</t>
  </si>
  <si>
    <t>VIT POWER X 500 ML</t>
  </si>
  <si>
    <t>VITACE X 100 ML</t>
  </si>
  <si>
    <t>ODONTOLIMP NOVO X 60 ML</t>
  </si>
  <si>
    <t>VITAMINA B12 50.000 X 50 ML CALASTREME</t>
  </si>
  <si>
    <t>BOTA CALFOR MARINE AZUL T 35</t>
  </si>
  <si>
    <t>TALCO RUMINAL X 100 GRS</t>
  </si>
  <si>
    <t>BOTA CALFOR MARINE AZUL T 36</t>
  </si>
  <si>
    <t>BOTA CALFOR MARINE AZUL T 37</t>
  </si>
  <si>
    <t>CORULETS POMADA OFTALMICA X 5 ML</t>
  </si>
  <si>
    <t>BOTA CALFOR MARINE AZUL T 38</t>
  </si>
  <si>
    <t>BOTA CALFOR MARINE AZUL T 39</t>
  </si>
  <si>
    <t>PROPLAN VETERINARY URINARY</t>
  </si>
  <si>
    <t>BOTA CALFOR MARINE AZUL T 40</t>
  </si>
  <si>
    <t>BOTA CALFOR MARINE AZUL T 41</t>
  </si>
  <si>
    <t>BOTA CALFOR MARINE AZUL T 42</t>
  </si>
  <si>
    <t>FELIX Sensaciones ATUN x sobre de 0.85 g</t>
  </si>
  <si>
    <t>BOTA CALFOR MARINE AZUL T 43</t>
  </si>
  <si>
    <t>BOTA CALFOR MARINE AZUL T 44</t>
  </si>
  <si>
    <t>FELIX Sensaciones SALMON x sobre de 0.85 g</t>
  </si>
  <si>
    <t>BOTA CALFOR MARINE AZUL T 45</t>
  </si>
  <si>
    <t>BOTA CALFOR MARINE AZUL T 46</t>
  </si>
  <si>
    <t>BOTA CALFOR NAUTICA RAIN DAY CON CUELLO T 35</t>
  </si>
  <si>
    <t>FELIX Sensaciones SARDINA x sobre de 0.85 g</t>
  </si>
  <si>
    <t>BOTA CALFOR NAUTICA RAIN DAY CON CUELLO T 36</t>
  </si>
  <si>
    <t>HEPATOVET-C x blister de 10 comp.</t>
  </si>
  <si>
    <t>BOTA CALFOR NAUTICA RAIN DAY CON CUELLO T 37</t>
  </si>
  <si>
    <t>BOTA CALFOR NAUTICA RAIN DAY CON CUELLO T 38</t>
  </si>
  <si>
    <t>BOTA CALFOR NAUTICA RAIN DAY CON CUELLO T 39</t>
  </si>
  <si>
    <t>ASPERPUL ANTIPARACITARIO EXTERNO</t>
  </si>
  <si>
    <t>BOTA CALFOR NAUTICA RAIN DAY CON CUELLO T 40</t>
  </si>
  <si>
    <t>BOTA CALFOR NAUTICA RAIN DAY CON CUELLO T 41</t>
  </si>
  <si>
    <t>CEPILLOS DE DIENTES PACK X 2</t>
  </si>
  <si>
    <t>BOTA CALFOR NAUTICA RAIN DAY CON CUELLO T 42</t>
  </si>
  <si>
    <t>BOTA CALFOR NAUTICA RAIN DAY CON CUELLO T 43</t>
  </si>
  <si>
    <t>MANOPLA DE GOMA</t>
  </si>
  <si>
    <t>BOTA CALFOR NAUTICA RAIN DAY CON CUELLO T 44</t>
  </si>
  <si>
    <t>BOTA CALFOR NAUTICA RAIN DAY CON CUELLO T 45</t>
  </si>
  <si>
    <t>MOISES NIDO REGULABLE</t>
  </si>
  <si>
    <t>BOTA CALFOR NAUTICA RAIN DAY CON CUELLO T 46</t>
  </si>
  <si>
    <t>BOTA CALFOR NAUTICA RAIN DAY S/CUELLO T 35</t>
  </si>
  <si>
    <t>GOLOCAN</t>
  </si>
  <si>
    <t>BOTA CALFOR NAUTICA RAIN DAY S/CUELLO T 36</t>
  </si>
  <si>
    <t>BOTA CALFOR NAUTICA RAIN DAY S/CUELLO T 37</t>
  </si>
  <si>
    <t>PELOTA OVAL RUGBY CON SOGA</t>
  </si>
  <si>
    <t>BOTA CALFOR NAUTICA RAIN DAY S/CUELLO T 38</t>
  </si>
  <si>
    <t>BOTA CALFOR NAUTICA RAIN DAY S/CUELLO T 39</t>
  </si>
  <si>
    <t>BOTA CALFOR NAUTICA RAIN DAY S/CUELLO T 40</t>
  </si>
  <si>
    <t>PEPINILLO</t>
  </si>
  <si>
    <t>BOTA CALFOR NAUTICA RAIN DAY S/CUELLO T 41</t>
  </si>
  <si>
    <t>BOTA CALFOR NAUTICA RAIN DAY S/CUELLO T 42</t>
  </si>
  <si>
    <t>MOISES CUADRADO N° 1</t>
  </si>
  <si>
    <t>BOTA CALFOR NAUTICA RAIN DAY S/CUELLO T 43</t>
  </si>
  <si>
    <t>MOISES CUADRADO N° 2</t>
  </si>
  <si>
    <t>BOTA CALFOR NAUTICA RAIN DAY S/CUELLO T 44</t>
  </si>
  <si>
    <t>MOISES CUADRADO N°3</t>
  </si>
  <si>
    <t>BOTA CALFOR NAUTICA RAIN DAY S/CUELLO T 45</t>
  </si>
  <si>
    <t>BOTA CALFOR NAUTICA RAIN DAY S/CUELLO T 46</t>
  </si>
  <si>
    <t>JUGUETE DOSIFICADOR PARA RELLENAR</t>
  </si>
  <si>
    <t>BOTA CALFOR PAMPEANA T 34/35</t>
  </si>
  <si>
    <t>CONJUNTO PRETAL Y CORREA ESTAMP XL</t>
  </si>
  <si>
    <t>BOTA CALFOR PAMPEANA T 36/37</t>
  </si>
  <si>
    <t>BOTA CALFOR PAMPEANA T 38</t>
  </si>
  <si>
    <t>ARO MULTICOLOR GRANDE</t>
  </si>
  <si>
    <t>BOTA CALFOR PAMPEANA T 39</t>
  </si>
  <si>
    <t>ARO MULTICOLOR CHICO</t>
  </si>
  <si>
    <t>BOTA CALFOR PAMPEANA T 40</t>
  </si>
  <si>
    <t>MORDILLO PESA</t>
  </si>
  <si>
    <t>BOTA CALFOR PAMPEANA T 41</t>
  </si>
  <si>
    <t>PRETAL TALLE 5</t>
  </si>
  <si>
    <t>BOTA CALFOR PAMPEANA T 42</t>
  </si>
  <si>
    <t>CONJUNTO PRETAL Y CORREA ESTAMP TALLE S</t>
  </si>
  <si>
    <t>BOTA CALFOR PAMPEANA T 43</t>
  </si>
  <si>
    <t>BOTA CALFOR PAMPEANA T 44</t>
  </si>
  <si>
    <t>BOTA CALFOR PAMPEANA T 45/46</t>
  </si>
  <si>
    <t>BOTA FRIGORIFICA CALFOR C/PUNTERA BRONCE T 39</t>
  </si>
  <si>
    <t>BOTA FRIGORIFICA CALFOR C/PUNTERA BRONCE T 40</t>
  </si>
  <si>
    <t>BRAVECTO 40 a 56 kg x 1 compr.</t>
  </si>
  <si>
    <t>BOTA FRIGORIFICA CALFOR C/PUNTERA BRONCE T 41</t>
  </si>
  <si>
    <t>BOTA FRIGORIFICA CALFOR C/PUNTERA BRONCE T 42</t>
  </si>
  <si>
    <t>SEDAGOTAS X 10 ML</t>
  </si>
  <si>
    <t>BOTA FRIGORIFICA CALFOR C/PUNTERA BRONCE T 43</t>
  </si>
  <si>
    <t>No Va repelente x 500 ml</t>
  </si>
  <si>
    <t>BOTA FRIGORIFICA CALFOR C/PUNTERA BRONCE T 44</t>
  </si>
  <si>
    <t>BOTA FRIGORIFICA CALFOR CAÑA LARGA T 34/35</t>
  </si>
  <si>
    <t>Desactivado</t>
  </si>
  <si>
    <t>ENROFLOXACINA KUALKOS 200 MG x 10 Comp</t>
  </si>
  <si>
    <t>BOTA FRIGORIFICA CALFOR CAÑA LARGA T 36/37</t>
  </si>
  <si>
    <t>BOTA FRIGORIFICA CALFOR CAÑA LARGA T 38</t>
  </si>
  <si>
    <t>BOTA FRIGORIFICA CALFOR CAÑA LARGA T 39</t>
  </si>
  <si>
    <t>BOTA FRIGORIFICA CALFOR CAÑA LARGA T 40</t>
  </si>
  <si>
    <t>BOTA FRIGORIFICA CALFOR CAÑA LARGA T 41</t>
  </si>
  <si>
    <t>URSOMARINA x Blister 10 COMP</t>
  </si>
  <si>
    <t>BOTA FRIGORIFICA CALFOR CAÑA LARGA T 42</t>
  </si>
  <si>
    <t>BOTA FRIGORIFICA CALFOR CAÑA LARGA T 43</t>
  </si>
  <si>
    <t>T4 comun x Blister 10 Comp</t>
  </si>
  <si>
    <t>BOTA FRIGORIFICA CALFOR CAÑA LARGA T 44</t>
  </si>
  <si>
    <t>BOTA FRIGORIFICA CALFOR CAÑA LARGA T 45/46</t>
  </si>
  <si>
    <t>SACANUDOS DESLANADOR</t>
  </si>
  <si>
    <t>BENZOATO DE ESTRADIOL CALIER X 100 ML</t>
  </si>
  <si>
    <t>BIOMACROTIL 200 X 250 ML</t>
  </si>
  <si>
    <t>CAT NIP SPRAY X 60 ML</t>
  </si>
  <si>
    <t>CALCIO CAL FORTE X 250 ML</t>
  </si>
  <si>
    <t>CALI - DEX 200 X 100 ML</t>
  </si>
  <si>
    <t>DIPIRONA 400 MG BLISTER X 10 COMP</t>
  </si>
  <si>
    <t>CALIERXICAM X 50 ML (MELOXICAM)</t>
  </si>
  <si>
    <t>CALIMEC X 500 ML</t>
  </si>
  <si>
    <t>FUROSEMIDA 40 MG BLISTER X 10 COMP</t>
  </si>
  <si>
    <t>CALIMICINA LA X 200 ML</t>
  </si>
  <si>
    <t>CEFTION AGUDA X JERINGA (CAJAX 12 JERINGA)</t>
  </si>
  <si>
    <t>METOCLOPRAMIDA GOTAS</t>
  </si>
  <si>
    <t>CEFTION DUO X 100 ML</t>
  </si>
  <si>
    <t>CEFTION X 100 ML</t>
  </si>
  <si>
    <t>PREDNISOLONA 10 MG X BLISTER 10 COMP</t>
  </si>
  <si>
    <t>CIPIONATO DE ESTRADIOL CALIER X 100 ML</t>
  </si>
  <si>
    <t>CLOXACUM JERINGA (EN CAJA X 240 POMOS)</t>
  </si>
  <si>
    <t>CAT CHOW GATO ESTERILIZADO POUCH X 85 GRS</t>
  </si>
  <si>
    <t>CLOXACUM MAX "P" X JGA (BALDE X 120 POMOS)</t>
  </si>
  <si>
    <t>CLOXAMBIOTIC X JERINGA (CAJA X 120 POMOS)</t>
  </si>
  <si>
    <t>DOG CHOW ADULT POUCH X 100 GRS</t>
  </si>
  <si>
    <t>DECOMOTON X 10 ML</t>
  </si>
  <si>
    <t>DESPADAC X 25 LTS</t>
  </si>
  <si>
    <t>CAT CHOW ADULTOS PESCADO X 85 GRS</t>
  </si>
  <si>
    <t>DESPADAC X 5 LTS</t>
  </si>
  <si>
    <t>DETECTOR CITOSIS</t>
  </si>
  <si>
    <t>RASCADOR DE CARTON CORRUGADO GATOS</t>
  </si>
  <si>
    <t>DEXAMAN X 50 ML</t>
  </si>
  <si>
    <t>DIAFRAGMA CALIER DRENCH</t>
  </si>
  <si>
    <t>CONJUNTO SOFT - PRETAL CON CORREA TALLE S</t>
  </si>
  <si>
    <t>ESPES 5.000.000 (POLVO + DILUYENTE)</t>
  </si>
  <si>
    <t>ESPES X 100 ML</t>
  </si>
  <si>
    <t>HUESO DE CUERO 3/4</t>
  </si>
  <si>
    <t>ESPIRAGEN X 100 ML</t>
  </si>
  <si>
    <t>GENTACALIER X 100 ML</t>
  </si>
  <si>
    <t>INDIGEST CALIER X 100 ML</t>
  </si>
  <si>
    <t>HUESO DE CUERO 5/6</t>
  </si>
  <si>
    <t>INMODULEN X 50 ML</t>
  </si>
  <si>
    <t>LINALTEN 300 X 100 ML (CALIER)</t>
  </si>
  <si>
    <t>HUESO DE CUERO 11/12</t>
  </si>
  <si>
    <t>LINALTEN LACTANCIA X JERINGA (BALDE X 120 POMOS)</t>
  </si>
  <si>
    <t>LINALTEN LACTANCIA X JGA (CAJA X 24 POMOS)</t>
  </si>
  <si>
    <t>PELOTA SOGA CHICA</t>
  </si>
  <si>
    <t>NEUMOFLOR X 100 ML</t>
  </si>
  <si>
    <t>NIGLUMINE X 50 ML</t>
  </si>
  <si>
    <t>OXITOCINA CALIER X 50 ML</t>
  </si>
  <si>
    <t>PELOTA SOGA MEDIANA</t>
  </si>
  <si>
    <t>PACK REPRODUCTIVO CALIER 0,6 G X 100 TRAT</t>
  </si>
  <si>
    <t>PACK REPRODUCTIVO CALIER 1,2 TAMBO X 50 TR</t>
  </si>
  <si>
    <t>CAJA CAT NIP</t>
  </si>
  <si>
    <t>PACK REPRODUCTIVO CALIER 0,6 G J-SYNCH</t>
  </si>
  <si>
    <t>PLUSELAR 0,6 GR X 10 DISP.</t>
  </si>
  <si>
    <t>PRETAL NILON N° 1</t>
  </si>
  <si>
    <t>PLUSELAR 1,2 GR X 10 DISP.</t>
  </si>
  <si>
    <t>PLUSERELINA X 50 ML</t>
  </si>
  <si>
    <t>PLUSET CALIER</t>
  </si>
  <si>
    <t>VARITA GATO RATITA</t>
  </si>
  <si>
    <t>PROMOTOR L X 1 LT</t>
  </si>
  <si>
    <t>PROMOTOR L X 5 LTS</t>
  </si>
  <si>
    <t>RICOBEN INY FCO X 500 ML</t>
  </si>
  <si>
    <t>PESA/MANCUERNA CON PINCHE Y CHIFLE</t>
  </si>
  <si>
    <t>ROBORANTE CALIER X 250 ML</t>
  </si>
  <si>
    <t>ROXACIN X 100 ML</t>
  </si>
  <si>
    <t>TILCOMINA FLUX X 100 ML</t>
  </si>
  <si>
    <t>PRO PLAN GASTROENTERICO GATOS 1.5 KG</t>
  </si>
  <si>
    <t>TILCOMINA X 100 ML</t>
  </si>
  <si>
    <t>TIRAS REACTIVAS CETOSIS</t>
  </si>
  <si>
    <t>PRO PLAN CARDIOLOGICO PERRO 2 KG</t>
  </si>
  <si>
    <t>TRIBEN CALIER 10% ORAL X 2.5 LTS</t>
  </si>
  <si>
    <t>VETEGLAN X 20 ML</t>
  </si>
  <si>
    <t>ROCHY AEROSOL X 267 GR</t>
  </si>
  <si>
    <t>VETEGLAN X 50 ML</t>
  </si>
  <si>
    <t>VETEGON ECG X 5000 UI</t>
  </si>
  <si>
    <t>HECTOPAR PUNTA OREJA X 5 ML</t>
  </si>
  <si>
    <t>YODIMASPEN X 2 FCOS</t>
  </si>
  <si>
    <t>BIOMACROTIL PREMIX X 25 KG</t>
  </si>
  <si>
    <t>CALIERCLOR 20% PREMIX X 25 KG</t>
  </si>
  <si>
    <t>CREMA DERMOMAX X 40 GR</t>
  </si>
  <si>
    <t>CALIERDOXINA 50% X 10 KG</t>
  </si>
  <si>
    <t>CALIERMUTIN 10% PREMIX NACIONAL X 25 KG</t>
  </si>
  <si>
    <t>CALIERMUTIN 10% PREMIX X 25 KG</t>
  </si>
  <si>
    <t>SIEGER ADULTOS RAZAS MEDIANAS Y GRANDES Present: 3 KG</t>
  </si>
  <si>
    <t>CALIERMUTIN 10% PREMIX X 5 KG</t>
  </si>
  <si>
    <t>HYDRA TRANS PLUS X 20 LTS</t>
  </si>
  <si>
    <t>AMOXICILINA 875+AC CLAVULANICO TIRA X 7 COMPR.</t>
  </si>
  <si>
    <t>HYDRA-TRANS BOMBA APLICADORA</t>
  </si>
  <si>
    <t>NEUMOFLOR ORAL X 1 LT</t>
  </si>
  <si>
    <t>PONCHO TALLE 1</t>
  </si>
  <si>
    <t>TILCOMINA ORAL X 1 LT</t>
  </si>
  <si>
    <t>TILCOMINA PREMIX X 25 KG</t>
  </si>
  <si>
    <t>PONCHO TALLE 2</t>
  </si>
  <si>
    <t>ZOOBIOTIC 50% ORAL X 20 KG</t>
  </si>
  <si>
    <t>ZOOBIOTIC 50% ORAL X 5 KG</t>
  </si>
  <si>
    <t>PONCHO TALLE 4</t>
  </si>
  <si>
    <t>PELLCAT 2,6 DM X 1,7 KG</t>
  </si>
  <si>
    <t>PELLCAT 5,2 DM X 3,7 KG</t>
  </si>
  <si>
    <t>PONCHO TALLE 4 SOFT</t>
  </si>
  <si>
    <t>PELLCAT BENTONITA X 2,5 KG</t>
  </si>
  <si>
    <t>PELLCAT X 15 KG</t>
  </si>
  <si>
    <t>JUGUETE SISAL CON RESORTE</t>
  </si>
  <si>
    <t>AGUJA HIPOD. "CR" 10X18 X 12 UNID</t>
  </si>
  <si>
    <t>PRETAL Y CORREA CON PATITAS N°5</t>
  </si>
  <si>
    <t>AGUJA HIPOD. "CR" 12 X18 X 12 UNID</t>
  </si>
  <si>
    <t>AGUJA HIPOD. "CR" 12X15 X 12 UNID</t>
  </si>
  <si>
    <t>PRETAL Y CORREA CON PATITAS N°4</t>
  </si>
  <si>
    <t>AGUJA HIPOD. "CR" 15 X18 X 12 UNID</t>
  </si>
  <si>
    <t>AGUJA HIPOD. "CR" 15X15 X 12 UNID</t>
  </si>
  <si>
    <t>PECHERA ACOLCHADA TALLE S</t>
  </si>
  <si>
    <t>AGUJA HIPOD. "CR" 15X20 X 12 UNID</t>
  </si>
  <si>
    <t>AGUJA HIPOD. "CR" 20X15 X 12 UNID</t>
  </si>
  <si>
    <t>PECHERA ACOLCHADA TALLE M</t>
  </si>
  <si>
    <t>AGUJA HIPOD. "CR" 20X20 X 12 UNID</t>
  </si>
  <si>
    <t>SULFATRIM "F" X Blister de 10 Comp</t>
  </si>
  <si>
    <t>AGUJA HIPOD. "CR" 30X15 X 12 UNID</t>
  </si>
  <si>
    <t>PRO PLAN URINARY GATOS Present.: 1.5 kg</t>
  </si>
  <si>
    <t>AGUJA HIPOD. "CR" 40X15 X 12 UNID</t>
  </si>
  <si>
    <t>DENTALIFE PERRO RAZA PEQUEÑA X UNIDAD</t>
  </si>
  <si>
    <t>AGUJA HIPOD. "CR" 40X20 X 12 UNID</t>
  </si>
  <si>
    <t>AGUJA HIPOD. "CR" 50X20 X 12 UNID</t>
  </si>
  <si>
    <t>DENTALIFE PERRO RAZA MEDIANA X UNIDAD</t>
  </si>
  <si>
    <t>AGUJA HIPOD. "CR" 5X0,6 X 12 UNID</t>
  </si>
  <si>
    <t>COLCHONETA CLASICA N° 2</t>
  </si>
  <si>
    <t>AGUJA HIPOD. PREMIIUN "CR" 20X2 X 12 UNID</t>
  </si>
  <si>
    <t>COLCHONETA CLASICA N° 3</t>
  </si>
  <si>
    <t>AGUJA INTRARRUMINAL</t>
  </si>
  <si>
    <t>AGUJAS P/SUTURA CURVA CHICA X 12 UNID. (11 AL 16)</t>
  </si>
  <si>
    <t>COLCHONETA CLASICA N° 4</t>
  </si>
  <si>
    <t>AGUJAS P/SUTURA CURVA EXTRA GRANDE X 12 UNID</t>
  </si>
  <si>
    <t>COLCHONETA CLASICA N° 5</t>
  </si>
  <si>
    <t>AGUJAS P/SUTURA CURVA GRANDE X 12 UNID. (1 AL 4)</t>
  </si>
  <si>
    <t>AGUJAS P/SUTURA CURVA MED. 1/2 X 12 UNID.(5 AL 10</t>
  </si>
  <si>
    <t>MOISES 40</t>
  </si>
  <si>
    <t>AGUJAS P/SUTURA CURVA MED. 3/8 X 12 UNID. (5 AL 1</t>
  </si>
  <si>
    <t>MOISES 50</t>
  </si>
  <si>
    <t>AGUJAS P/SUTURA RECTA CHICA X 12 UNID. (5 Y 6)</t>
  </si>
  <si>
    <t>MOISES 60</t>
  </si>
  <si>
    <t>AGUJAS P/SUTURA RECTA GRANDE X 12 UNID. (1 AL 3)</t>
  </si>
  <si>
    <t>AGUJAS P/SUTURA RECTA MEDIANA X 12 UNID. (4)</t>
  </si>
  <si>
    <t>COLCHONETA CUERINA DOBLE N°3</t>
  </si>
  <si>
    <t>AISLADOR BOBINA/ROLDANA PORCELANA (NAC)</t>
  </si>
  <si>
    <t>AISLADOR CAMPANITA PLYRAP</t>
  </si>
  <si>
    <t>VARITA CON PLUMAS GATO</t>
  </si>
  <si>
    <t>AISLADOR ESQUINERO PORCELANA (NAC.)</t>
  </si>
  <si>
    <t>RATITA CON CATNIP</t>
  </si>
  <si>
    <t>AISLADOR LOYTO</t>
  </si>
  <si>
    <t>AISLADOR N° 4 REG. C/GANCHO PLYRAP X 100 UN.</t>
  </si>
  <si>
    <t>PONCHO LUMPY T. 40</t>
  </si>
  <si>
    <t>AISLADOR P/CLAVAR PLYRAP</t>
  </si>
  <si>
    <t>AISLADOR PLASTICO CAMPANITA GRANDE</t>
  </si>
  <si>
    <t>RATITA SISAL CON RESORTE</t>
  </si>
  <si>
    <t>AISLADOR REGULABLE C/TUERCA PLYRAP</t>
  </si>
  <si>
    <t>MV PERROS GASTROINTESTINAL</t>
  </si>
  <si>
    <t>AISLADOR RIENDA PLYRAP</t>
  </si>
  <si>
    <t>AISLADOR ROLDANA PLYRAP N° 1</t>
  </si>
  <si>
    <t>CAT CHOW ADULTO CARNE Y POLLO</t>
  </si>
  <si>
    <t>AISLADOR SUPER RIENDA MAX - N6M PLYRAP</t>
  </si>
  <si>
    <t>COLLARES CON CASCABEL</t>
  </si>
  <si>
    <t>AISLADORES PLYRAP_GANCHO CON MARIPOSA</t>
  </si>
  <si>
    <t>ANILLOS ELASTRATOR X 100 UNID. IMP.</t>
  </si>
  <si>
    <t>PECHERA ACOLCHADA XS</t>
  </si>
  <si>
    <t>ARGOLLA NASAL DE BRONCE 75X8 MM.</t>
  </si>
  <si>
    <t>ARO DE LATEX PROTECTOR DE HOMBROS</t>
  </si>
  <si>
    <t>ARNES CAMUFLADO XXL</t>
  </si>
  <si>
    <t>ARREADOR FLEXIBLE PLYRAP EXTRA LARGO 1,10 MT</t>
  </si>
  <si>
    <t>PASTA DENTAL</t>
  </si>
  <si>
    <t>ARREADOR PIC RAF LARGO X 1,15 MTS</t>
  </si>
  <si>
    <t>COMEDERO ACERO INOXIDABLE CHICO</t>
  </si>
  <si>
    <t>AUTODOSIFICADOR DOSI PRIMOR X 50 CC</t>
  </si>
  <si>
    <t>AUTODOSIFICADOR FIX COMBI X 10 CC</t>
  </si>
  <si>
    <t>GOLOSINA CATNIP</t>
  </si>
  <si>
    <t>AUTODOSIFICADOR FIX COMBI X 20 CC</t>
  </si>
  <si>
    <t>CONJUNTO PRETAL+CORREA ARCO IRIS CHICO</t>
  </si>
  <si>
    <t>AUTODOSIFICADOR FIX DOSI X 50 CC</t>
  </si>
  <si>
    <t>AUTODOSIFICADOR PRIMOR MATIC X 20 CC</t>
  </si>
  <si>
    <t>HUESO CHICO MORDILLO</t>
  </si>
  <si>
    <t>BALDE PLASTICO AMARILLO REFORZADO (P/ESTACA)</t>
  </si>
  <si>
    <t>BALDE PLASTICO NEGRO REFORZADO (P/ESTACA)</t>
  </si>
  <si>
    <t>MEDALLA</t>
  </si>
  <si>
    <t>BEBEDERO DE ACERO INOX. PARA CERDOS</t>
  </si>
  <si>
    <t>BEBEDERO DE ACERO INOX. PARA LECHONES</t>
  </si>
  <si>
    <t>HUESO DOSIFICADOR</t>
  </si>
  <si>
    <t>BEBEDERO DE BRONCE P/LECHONES</t>
  </si>
  <si>
    <t>TOLZURIL x 1 comprimido</t>
  </si>
  <si>
    <t>BOBINA HILO CAMPO ARG X 4500 MT P/ARROLLADORA 5 KG</t>
  </si>
  <si>
    <t>PREVICOX 227 x 1 comprimido</t>
  </si>
  <si>
    <t>BOBINA HILO ELECT. PREMIUM BLCO(12 HILOS) X 500 MT</t>
  </si>
  <si>
    <t>BOBINA HILO ELECT. PREMIUM ROJO(12 HILOS) X 300MTS</t>
  </si>
  <si>
    <t>DOXICICLINA 200 x 10 comp</t>
  </si>
  <si>
    <t>BOBINA HILO ELECT. PREMIUM ROJO(12 HILOS) X 500MTS</t>
  </si>
  <si>
    <t>BOBINA HILO ELECT. PREMIUM ROJO(12 HILOS) X 700MTS</t>
  </si>
  <si>
    <t>BOBINA HILO ELECTRICO CLASICO (6 HILOS) X 250 MTS</t>
  </si>
  <si>
    <t>CALCIO JARABE X 100 ML</t>
  </si>
  <si>
    <t>BOBINA HILO ELECTRICO CLASICO (6 HILOS) X 500 MTS</t>
  </si>
  <si>
    <t>BOBINA HILO ELECTRICO CLASICO (6 HILOS) X 700 MTS</t>
  </si>
  <si>
    <t>ESPUMA SECA FAUNA QUICK X 162 GR</t>
  </si>
  <si>
    <t>BOBINA HILO ELECTRICO CLASICO (7 HILOS) X 1000 MTS</t>
  </si>
  <si>
    <t>BOBINA HILO ELECTRICO CLASICO (7 HILOS) X 200 MTS</t>
  </si>
  <si>
    <t>BOBINA HILO ELECTRICO CLASICO (7 HILOS) X 250 MTS</t>
  </si>
  <si>
    <t>BRAVECTO 20 A 40 KG x 1 comprimido</t>
  </si>
  <si>
    <t>BOBINA HILO ELECTRICO CLASICO (7 HILOS) X 300 MTS</t>
  </si>
  <si>
    <t>TRIVERMEX SUSPENSIÓN</t>
  </si>
  <si>
    <t>BOBINA HILO ELECTRICO CLASICO (7 HILOS) X 500 MTS</t>
  </si>
  <si>
    <t>AGILITY CATS SARDINA X 340 GR</t>
  </si>
  <si>
    <t>BOBINA HILO ELECTRICO CLASICO (7 HILOS) X 700 MTS</t>
  </si>
  <si>
    <t>BOBINA HILO ELECTRICO EXTRA (9 HILOS) X 300 MTS</t>
  </si>
  <si>
    <t>AGILITY CATS MERLUZA X 340 GR</t>
  </si>
  <si>
    <t>BOBINA HILO ELECTRICO EXTRA (9 HILOS) X 500 MTS</t>
  </si>
  <si>
    <t>BOBINA HILO PARA ARROLLADORA LA RESERVA X 3.500 MS</t>
  </si>
  <si>
    <t>AGILITY CATS MERLUZA</t>
  </si>
  <si>
    <t>BOBINA HILO PARA ARROLLADORA LA RESERVA X 5.000 MS</t>
  </si>
  <si>
    <t>SIEGER REDUCED CALORIE</t>
  </si>
  <si>
    <t>BOBINA PLASTICA VACIA P/HILO ELECT. GRANDE</t>
  </si>
  <si>
    <t>BOTON P. DE METAL VERDE OSCURO</t>
  </si>
  <si>
    <t>METRONIDAZOL 500 x 10 comprimidos</t>
  </si>
  <si>
    <t>CADENA CON MOSQUETON PLYRAP</t>
  </si>
  <si>
    <t>CAJA DE ACERO INOXIDABLE 20 X 10 X 4</t>
  </si>
  <si>
    <t>DOMICILIO</t>
  </si>
  <si>
    <t>CANULA BUCAL CORTA OVINO C/ OLIVA</t>
  </si>
  <si>
    <t>CANULA BUCAL CORTA VACUNO C/ OLIVA</t>
  </si>
  <si>
    <t>TRASLADO</t>
  </si>
  <si>
    <t>CANULA GANCHO UNIVERSAL</t>
  </si>
  <si>
    <t>CAÑO RIEGO CRIST/VERDE X 25 MTS - REFORZADO</t>
  </si>
  <si>
    <t>MORDILLO ESTRELLA</t>
  </si>
  <si>
    <t>CARAVANA ARGENT FLEX BOT+TARJ AMARILLA R. 257</t>
  </si>
  <si>
    <t>CARAVANA ARGENT FLEX BOTON AMARILLA R. 257</t>
  </si>
  <si>
    <t>MORDILLO REDONDO</t>
  </si>
  <si>
    <t>CARAVANA ARGENT FLEX BOTON BOTON NUMERADA AMARILLA</t>
  </si>
  <si>
    <t>CARAVANA ARGENT FLEX BOTON BOTON NUMERADA BLANCA</t>
  </si>
  <si>
    <t>HUESO GRANDE CHIFLE</t>
  </si>
  <si>
    <t>CARAVANA ARGENT FLEX BOTON BOTON NUMERADA CELESTE</t>
  </si>
  <si>
    <t>CARAVANA ARGENT FLEX BOTON BOTON NUMERADA LILA</t>
  </si>
  <si>
    <t>PROPLAN PPVD URINARY X 1,5 KG</t>
  </si>
  <si>
    <t>CARAVANA ARGENT FLEX BOTON BOTON NUMERADA ROJA</t>
  </si>
  <si>
    <t>FUROSEMIDA 40 MG X 20 COMPRIMIDOS</t>
  </si>
  <si>
    <t>CARAVANA ARGENT FLEX BOTON BOTON NUMERADA ROSADO</t>
  </si>
  <si>
    <t>CARAVANA ARGENT FLEX BOTON BOTON NUMERADA VERDE</t>
  </si>
  <si>
    <t>SERENEX SPRAY FELINO X 70 C.C</t>
  </si>
  <si>
    <t>CARAVANA ARGENT FLEX BOTON BOTON S/N AMARILLA</t>
  </si>
  <si>
    <t>CARAVANA ARGENT FLEX BOTON BOTON S/N BLANCA</t>
  </si>
  <si>
    <t>OP. CORDERO Y ARROZ ADULTO SMALL</t>
  </si>
  <si>
    <t>CARAVANA ARGENT FLEX BOTON BOTON S/N CELESTE</t>
  </si>
  <si>
    <t>CARAVANA ARGENT FLEX BOTON BOTON S/N LILA</t>
  </si>
  <si>
    <t>CARAVANA ARGENT FLEX BOTON BOTON S/N MAGENTA</t>
  </si>
  <si>
    <t>CARAVANA ARGENT FLEX BOTON BOTON S/N NARANJA</t>
  </si>
  <si>
    <t>CARAVANA ARGENT FLEX BOTON BOTON S/N ROJA</t>
  </si>
  <si>
    <t>CARAVANA ARGENT FLEX BOTON BOTON S/N ROSA</t>
  </si>
  <si>
    <t>OP. CORDERO Y ARROZ MEDIUM Y LARGE</t>
  </si>
  <si>
    <t>CARAVANA ARGENT FLEX BOTON BOTON S/N VERDE</t>
  </si>
  <si>
    <t>CARAVANA ARGENT FLEX CHICA NUMERADA AMARILLA</t>
  </si>
  <si>
    <t>SIEGER ADULT MEDIUM Y LARGE BREED X 15 KG</t>
  </si>
  <si>
    <t>CARAVANA ARGENT FLEX CHICA NUMERADA AZUL</t>
  </si>
  <si>
    <t>CARAVANA ARGENT FLEX CHICA NUMERADA BLANCA</t>
  </si>
  <si>
    <t>CHALECO INFLABLE T. 3</t>
  </si>
  <si>
    <t>CARAVANA ARGENT FLEX CHICA NUMERADA CELESTE</t>
  </si>
  <si>
    <t>CAMPERA INFLABLE T. 4</t>
  </si>
  <si>
    <t>CARAVANA ARGENT FLEX CHICA NUMERADA LILA</t>
  </si>
  <si>
    <t>CARAVANA ARGENT FLEX CHICA NUMERADA NARANJA</t>
  </si>
  <si>
    <t>COLLAR C/PAÑUELO TALLE 3</t>
  </si>
  <si>
    <t>CARAVANA ARGENT FLEX CHICA NUMERADA ROJA</t>
  </si>
  <si>
    <t>CARAVANA ARGENT FLEX CHICA NUMERADA ROSADA</t>
  </si>
  <si>
    <t>RATÓN A CUERDA</t>
  </si>
  <si>
    <t>CARAVANA ARGENT FLEX CHICA NUMERADA VERDE CLAR</t>
  </si>
  <si>
    <t>CARAVANA ARGENT FLEX CHICA S/N AMARILLA</t>
  </si>
  <si>
    <t>ENZIMOL X COMPRIMIDO</t>
  </si>
  <si>
    <t>CARAVANA ARGENT FLEX CHICA S/N AZUL</t>
  </si>
  <si>
    <t>CARAVANA ARGENT FLEX CHICA S/N BLANCA</t>
  </si>
  <si>
    <t>ITRACONAZOL SUSPENSION ORAL X 15 ML</t>
  </si>
  <si>
    <t>CARAVANA ARGENT FLEX CHICA S/N CELESTE</t>
  </si>
  <si>
    <t>PREVICOX 57 mg X COMPRIMIDO</t>
  </si>
  <si>
    <t>CARAVANA ARGENT FLEX CHICA S/N LILA</t>
  </si>
  <si>
    <t>CARAVANA ARGENT FLEX CHICA S/N MAGENTA</t>
  </si>
  <si>
    <t>Pechera acolchada T. L</t>
  </si>
  <si>
    <t>CARAVANA ARGENT FLEX CHICA S/N NARANJA</t>
  </si>
  <si>
    <t>CARAVANA ARGENT FLEX CHICA S/N ROJA</t>
  </si>
  <si>
    <t>CARAVANA ARGENT FLEX CHICA S/N ROSADO</t>
  </si>
  <si>
    <t>CARAVANA ARGENT FLEX CHICA S/N VERDE CLARO</t>
  </si>
  <si>
    <t>Nogastrol</t>
  </si>
  <si>
    <t>CARAVANA ARGENT FLEX EXTRA MAXI NUMERADA BLANCA</t>
  </si>
  <si>
    <t>CARAVANA ARGENT FLEX EXTRA MAXI NUMERADA CELESTE</t>
  </si>
  <si>
    <t>NOGASTROL X 10 COMPRIMIDOS</t>
  </si>
  <si>
    <t>CARAVANA ARGENT FLEX EXTRA MAXI NUMERADA LILA</t>
  </si>
  <si>
    <t>0.6</t>
  </si>
  <si>
    <t>CARAVANA ARGENT FLEX EXTRA MAXI NUMERADA ROSADA</t>
  </si>
  <si>
    <t>MV RENAL CANINOS X 2 KG</t>
  </si>
  <si>
    <t>CARAVANA ARGENT FLEX EXTRA MAXI NUMERADA VERDE</t>
  </si>
  <si>
    <t>CARAVANA ARGENT FLEX FEEDLOT GRANDE AMARRILLA C/N</t>
  </si>
  <si>
    <t>CARAVANA ARGENT FLEX FEEDLOT GRANDE CELESTE C/N</t>
  </si>
  <si>
    <t>RECOVERY LATA</t>
  </si>
  <si>
    <t>DOXICICLINA SUSPENSIÓN X 20 ML</t>
  </si>
  <si>
    <t>DENTASTIX RAZAS PEQUEÑAS X 3</t>
  </si>
  <si>
    <t>DENTASTIX RAZAS MEDIANAS X 3</t>
  </si>
  <si>
    <t>CARAVANA ARGENT FLEX FEEDLOT GRANDE NARANJA C/N</t>
  </si>
  <si>
    <t>CARAVANA ARGENT FLEX GRANDE NUMERADA AMARILLA</t>
  </si>
  <si>
    <t>RODEO CARNE/POLLO</t>
  </si>
  <si>
    <t>CARAVANA ARGENT FLEX GRANDE NUMERADA AZUL</t>
  </si>
  <si>
    <t>CARAVANA ARGENT FLEX GRANDE NUMERADA BLANCA</t>
  </si>
  <si>
    <t>MV URINARY GATOS</t>
  </si>
  <si>
    <t>CARAVANA ARGENT FLEX GRANDE NUMERADA CELESTE</t>
  </si>
  <si>
    <t>CARAVANA ARGENT FLEX GRANDE NUMERADA NARANJA</t>
  </si>
  <si>
    <t>BRAVECTO GATOS PIPETA 2,8 A 6,25 KG</t>
  </si>
  <si>
    <t>CARAVANA ARGENT FLEX GRANDE NUMERADA ROJA</t>
  </si>
  <si>
    <t>CARAVANA ARGENT FLEX GRANDE NUMERADA ROSA</t>
  </si>
  <si>
    <t>CARAVANA ARGENT FLEX GRANDE NUMERADA S</t>
  </si>
  <si>
    <t>CORTE DE UÑAS Y RECORTE DE PELO PERRO CHICO</t>
  </si>
  <si>
    <t>CARAVANA ARGENT FLEX GRANDE NUMERADA VERDE CLARO</t>
  </si>
  <si>
    <t>CARAVANA ARGENT FLEX GRANDE S/N AMARILLA</t>
  </si>
  <si>
    <t>CORTE DE UÑAS Y RECORTE DE PELO PERRO MEDIANO</t>
  </si>
  <si>
    <t>CARAVANA ARGENT FLEX GRANDE S/N AZUL</t>
  </si>
  <si>
    <t>CARAVANA ARGENT FLEX GRANDE S/N BLANCA</t>
  </si>
  <si>
    <t>CORTE DE UÑAS Y RECORTE DE PELO PERRO GRANDE</t>
  </si>
  <si>
    <t>CARAVANA ARGENT FLEX GRANDE S/N CELESTE</t>
  </si>
  <si>
    <t>SPINOMAX DUO 4-9 KG X COMPRIMIDO</t>
  </si>
  <si>
    <t>CARAVANA ARGENT FLEX GRANDE S/N LILA</t>
  </si>
  <si>
    <t>CARAVANA ARGENT FLEX GRANDE S/N NARANJA</t>
  </si>
  <si>
    <t>CARAVANA ARGENT FLEX GRANDE S/N ROJA</t>
  </si>
  <si>
    <t>SPINOMAX DUO DE 2-4 KG X COMPRIMIDO</t>
  </si>
  <si>
    <t>CARAVANA ARGENT FLEX GRANDE S/N ROSADA</t>
  </si>
  <si>
    <t>CARAVANA ARGENT FLEX GRANDE S/N VERDE CLARO</t>
  </si>
  <si>
    <t>TEST SPEED DUO FELV/FIV</t>
  </si>
  <si>
    <t>CARAVANA ARGENT FLEX MAXI NUMERADA AMARILLA</t>
  </si>
  <si>
    <t>CARAVANA ARGENT FLEX MAXI NUMERADA NARANJA</t>
  </si>
  <si>
    <t>VACUNA PUREVAX FELV</t>
  </si>
  <si>
    <t>CARAVANA ARGENT FLEX MAXI NUMERADA ROJA</t>
  </si>
  <si>
    <t>CARAVANA ARGENT FLEX MAXI S/N AMARILLA</t>
  </si>
  <si>
    <t>EXCELLENT URINRY CAT X 1 KG</t>
  </si>
  <si>
    <t>CARAVANA ARGENT FLEX MAXI S/N AZUL</t>
  </si>
  <si>
    <t>CARAVANA ARGENT FLEX MAXI S/N BLANCA</t>
  </si>
  <si>
    <t>SUELTO X 1 KG AGILITY CAT URINARY</t>
  </si>
  <si>
    <t>CARAVANA ARGENT FLEX MAXI S/N CELESTE</t>
  </si>
  <si>
    <t>CARAVANA ARGENT FLEX MAXI S/N NARANJA</t>
  </si>
  <si>
    <t>DESPARASITACIÓN</t>
  </si>
  <si>
    <t>CARAVANA ARGENT FLEX MAXI S/N ROJA</t>
  </si>
  <si>
    <t>CARAVANA ARGENT FLEX MAXI S/N VERDE CLARO</t>
  </si>
  <si>
    <t>MV PERRO RENAL X 10 KG</t>
  </si>
  <si>
    <t>CARAVANA BIO ARGENT FLEX CHICA NUMERADA AMARILLA</t>
  </si>
  <si>
    <t>CARAVANA PREMIUM ARGENT FLEX NUMERADA AMARILLA</t>
  </si>
  <si>
    <t>PIEDRAS SANITARIAS ALTA GAMA LAVANDA X 2 KG</t>
  </si>
  <si>
    <t>CARAVANA PREMIUM ARGENT FLEX NUMERADA AZUL</t>
  </si>
  <si>
    <t>CARAVANA PREMIUM ARGENT FLEX NUMERADA CELESTE</t>
  </si>
  <si>
    <t>PIEDRAS SANITARIAS ALTA GAMA LAVANDA X 3.6 KG</t>
  </si>
  <si>
    <t>CARAVANA PREMIUM ARGENT FLEX NUMERADA MAGENTA</t>
  </si>
  <si>
    <t>CARAVANA PREMIUM ARGENT FLEX NUMERADA VERDE CLARO</t>
  </si>
  <si>
    <t>PIEDRAS SANITARIAS MICHI FELÍZ X 2 KG</t>
  </si>
  <si>
    <t>CARAVANA PREMIUM ARGENT FLEX S/N AMARILLA</t>
  </si>
  <si>
    <t>CARAVANA PREMIUM ARGENT FLEX S/N BLANCA</t>
  </si>
  <si>
    <t>CARAVANA PREMIUM ARGENT FLEX S/N VERDE</t>
  </si>
  <si>
    <t>PROPLAN VETERINARYDIETS HA X 2 KG PERROS</t>
  </si>
  <si>
    <t>CARRETEL C/HILO ELECT. EXTRA X 300MTS</t>
  </si>
  <si>
    <t>CARRETEL C/HILO ELECT. EXTRA X 500MTS</t>
  </si>
  <si>
    <t>MV GATO RENAL X 2 KG</t>
  </si>
  <si>
    <t>CARRETEL C/HILO ELECT.PREMIUM. X500MTS</t>
  </si>
  <si>
    <t>CARRETEL PLAST.C/HILO ELECT.CLAS.(6 HILOS) X400MTS</t>
  </si>
  <si>
    <t>MV GATO GASTROINTESTINAL X 2 KG</t>
  </si>
  <si>
    <t>CARRETEL PLAST.C/HILO ELECT.CLAS.(7 HILOS) X300MTS</t>
  </si>
  <si>
    <t>OP. CORDERO Y ARROZ SMALL BREED X 15 KG</t>
  </si>
  <si>
    <t>CARRETEL PLAST.C/HILO ELECT.CLAS.(7 HILOS) X500MTS</t>
  </si>
  <si>
    <t>CARRETEL PLASTICO VACIO GRANDE</t>
  </si>
  <si>
    <t>CASTRADOR EMASCULATOR REIMER MG-PA-116</t>
  </si>
  <si>
    <t>CHUPETE DE LATEX GASCOIGNE</t>
  </si>
  <si>
    <t>CHUPETE DE LATEX PARA BOTELLA</t>
  </si>
  <si>
    <t>AMIODARONA 200 MG X 10 COMPRIMIDOS</t>
  </si>
  <si>
    <t>CHUPETE DE LATEX TIPO MERIEL</t>
  </si>
  <si>
    <t>CINTA ELECTROPLASTICA X 200 MTS. X 1.5 CM</t>
  </si>
  <si>
    <t>FULL HEPAT X 10 COMPRIMIDOS</t>
  </si>
  <si>
    <t>COLLARES P/TERNEROS DE POLIPROPILENO DE 3 X 65 CM</t>
  </si>
  <si>
    <t>COLLARES P/TERNEROS PLYRAP</t>
  </si>
  <si>
    <t>PROTECH GATOS DE 2 A 5 KG</t>
  </si>
  <si>
    <t>COMEDERO FEEDLOT DC X 25 MT</t>
  </si>
  <si>
    <t>COMEDERO FEEDLOT DC X 50 MT</t>
  </si>
  <si>
    <t>PROTECH GATOS MÁS DE 5 KG</t>
  </si>
  <si>
    <t>CONJUNTO PISTON ESCALA FIX X 3 CC</t>
  </si>
  <si>
    <t>CORTA PAJUELA NACIONAL</t>
  </si>
  <si>
    <t>CUCHILLA ANDIS N°10 ULTRAEDGE</t>
  </si>
  <si>
    <t>ESTUDIOS COMPLEMENTARIOS</t>
  </si>
  <si>
    <t>CUENTA GANADO</t>
  </si>
  <si>
    <t>DELANTAL PVC AZ/BLC 90X120 CM C/REF.</t>
  </si>
  <si>
    <t>HEPATIC ROYAL CANIN X 10 KG</t>
  </si>
  <si>
    <t>DESTETADOR PLAST. SIMIL WALMUR</t>
  </si>
  <si>
    <t>DESTETADOR PLASTICO SIMIL ALEFA</t>
  </si>
  <si>
    <t>PETS PROTECTOR MAX 5 A 10 KG</t>
  </si>
  <si>
    <t>ELECTRIFICADOR PLYRAP 10 KM 12/220 DUAL</t>
  </si>
  <si>
    <t>ELECTRIFICADOR PLYRAP 10 KM 12V</t>
  </si>
  <si>
    <t>ELECTRIFICADOR PLYRAP 120 KM 12V</t>
  </si>
  <si>
    <t>PETS PROPECTOR MAX 2 A 5 KG</t>
  </si>
  <si>
    <t>ELECTRIFICADOR PLYRAP 200 KM X 220 V</t>
  </si>
  <si>
    <t>ELECTRIFICADOR PLYRAP 40 KM "DUAL" X 12/220V</t>
  </si>
  <si>
    <t>PETS PROTECTOR MAX 10 A 20 KG</t>
  </si>
  <si>
    <t>ELECTRIFICADOR PLYRAP 40 KM X 12 V</t>
  </si>
  <si>
    <t>ELECTRIFICADOR PLYRAP 40 KM X 220 V</t>
  </si>
  <si>
    <t>OSTEOCARD PLUS X 10 COMPIRMIDOS</t>
  </si>
  <si>
    <t>ELECTRIFICADOR PLYRAP 400 KM X 220 V</t>
  </si>
  <si>
    <t>ELECTRIFICADOR PLYRAP 5 KM 220V</t>
  </si>
  <si>
    <t>HUESO 8/9</t>
  </si>
  <si>
    <t>ELECTRIFICADOR PLYRAP 70 KM 12/220V</t>
  </si>
  <si>
    <t>ELECTRIFICADOR PLYRAP 70 KM X 220 V</t>
  </si>
  <si>
    <t>ESCALA GRADUADORA</t>
  </si>
  <si>
    <t>OP. PUPPIES SMALL BREED X 3 KG</t>
  </si>
  <si>
    <t>ESCROTIMETRO METALICO</t>
  </si>
  <si>
    <t>ESTACA P/CRIANZA CON CADENA PLIRAP</t>
  </si>
  <si>
    <t>PIPETA DEFENDER 20 A 40 KG</t>
  </si>
  <si>
    <t>ESTACA P/CRIANZA CON CADENA Y CANASTO (CARRETELES)</t>
  </si>
  <si>
    <t>ESTACA P/CRIANZA SIN CADENA PLIRAP</t>
  </si>
  <si>
    <t>CYTOPOINT 20 MG X 2 VIALES</t>
  </si>
  <si>
    <t>GRAMPAS P/CERDOS Nº 3 X 100 UNID</t>
  </si>
  <si>
    <t>GRAMPAS P/CERDOS Nº 5 X 100 UNID</t>
  </si>
  <si>
    <t>SPEED EHRLI KIT X 1 TEST</t>
  </si>
  <si>
    <t>GUBIA BAHCO DOBLE FILO</t>
  </si>
  <si>
    <t>GUBIA DIAMOND DOBLE FILO</t>
  </si>
  <si>
    <t>GERIOOX x 10 Comprimidos</t>
  </si>
  <si>
    <t>GUBIA DIAMOND NAROW DERECHA</t>
  </si>
  <si>
    <t>GUBIA DIAMOND NAROW IZQUIERDA</t>
  </si>
  <si>
    <t>HILO CATGUT P/ SUTURA N° 1</t>
  </si>
  <si>
    <t>HILO CATGUT P/ SUTURA N° 2</t>
  </si>
  <si>
    <t>HILO CATGUT P/ SUTURA N° 3</t>
  </si>
  <si>
    <t>HILO CATGUT P/ SUTURA N° 4</t>
  </si>
  <si>
    <t>PROPLAN HA HIDROLIZADO GATOS X 1,5 KG</t>
  </si>
  <si>
    <t>HILO DE LINO EN CARRETEL N°14 (C3)</t>
  </si>
  <si>
    <t>HILO DE LINO EN CARRETEL N°40 (C3)</t>
  </si>
  <si>
    <t>HORQUILLA BLANCA</t>
  </si>
  <si>
    <t>OHM PASTA GATOS X 7 GRS</t>
  </si>
  <si>
    <t>INYECTOR DE CALCIO SUPER G</t>
  </si>
  <si>
    <t>JERINGA AUT. FIX X 3 CC PARA TUBERCULINA</t>
  </si>
  <si>
    <t>LIMPIEZA DE DIENTES</t>
  </si>
  <si>
    <t>JERINGA AUT. FIX X 50 CC MASTER C/METAL</t>
  </si>
  <si>
    <t>SIEGER PUPPY X 1 KG MINI SMALL</t>
  </si>
  <si>
    <t>JERINGA AUT. FIX X 50 CC MASTER C/PLAST.</t>
  </si>
  <si>
    <t>JERINGA AUT. PRIMOR P/TUBERCULINA X 1 CC</t>
  </si>
  <si>
    <t>JERINGA INSEMINACIÓN UNIVERSAL WALMUR</t>
  </si>
  <si>
    <t>CLORHEXIDINA GEL ANTIPLACA X 20 ML</t>
  </si>
  <si>
    <t>JERINGA PRIMOR DIAL MILLENIUM PLASTICA X 50 ML</t>
  </si>
  <si>
    <t>JUEGO DE ABC P/TATUAR WALMUR 10MM</t>
  </si>
  <si>
    <t>JUEGO DE GATILLO 70 X 50</t>
  </si>
  <si>
    <t>DERMOMAX X 15 GRS</t>
  </si>
  <si>
    <t>JUEGO DE NROS P/TATUAR</t>
  </si>
  <si>
    <t>KIT SOLAR PLYRAP 20 KM</t>
  </si>
  <si>
    <t>KIT SOLAR PLYRAP 35 KM</t>
  </si>
  <si>
    <t>KIT SOLAR PLYRAP 45 KM</t>
  </si>
  <si>
    <t>KIT SOLAR PLYRAP 7 KM</t>
  </si>
  <si>
    <t>AMOXICILINA 500 MG+AC. CLAVULÁNICO 125 MG X 10 COMPRIMIDOS</t>
  </si>
  <si>
    <t>LEVANTA VACAS NACIONAL</t>
  </si>
  <si>
    <t>LUBRICANTE SILICONADO X 100 CC</t>
  </si>
  <si>
    <t>LUBRICANTE SILICONADO X 30 CC</t>
  </si>
  <si>
    <t>RANITIDINA GOTAS JM X 30 ML</t>
  </si>
  <si>
    <t>MACHO-CARAVANA ARGENT FLEX PUNTA DE ACERO AMARILLO</t>
  </si>
  <si>
    <t>NEXGARD S (2 A 4 KG)</t>
  </si>
  <si>
    <t>MACHO-CARAVANA ARGENT FLEX PUNTA DE ACERO ROJO</t>
  </si>
  <si>
    <t>DERMOSEDAN CHAMPU AVENA + ALOE X 200 GRS</t>
  </si>
  <si>
    <t>MAMADERA C/CANOLA ESOFASICA TETINA</t>
  </si>
  <si>
    <t>MANGO DE BISTURI</t>
  </si>
  <si>
    <t>MANIJA AISLANTE MAX C/RESORTE PLYRAP</t>
  </si>
  <si>
    <t>SIEGER PUPPY MEDIUM Y LARGE BREED X 3 KG</t>
  </si>
  <si>
    <t>MANIJA PUNTERA PLASTICA P/CARRET. PLYRAP</t>
  </si>
  <si>
    <t>MOCHETA CORTA A RESORTE CROMADA</t>
  </si>
  <si>
    <t>MOCHETA CORTA C/ TRABA CROMADA</t>
  </si>
  <si>
    <t>PALA PLASTICA CARBONERA BLANCA</t>
  </si>
  <si>
    <t>PANEL SOLAR KS-10 SOLARTEC (S/SOPORTE)</t>
  </si>
  <si>
    <t>PANEL SOLAR KS-20 - SOLARTEC (S/SOPORTE)</t>
  </si>
  <si>
    <t>MV PERRO GASTROINTESTINAL X 10 KG</t>
  </si>
  <si>
    <t>PANEL SOLAR KS66T SOLARTEC KIT290 (S/SOPORTE)</t>
  </si>
  <si>
    <t>PICO MEDIA VUELTA CON ORING (LIDER)</t>
  </si>
  <si>
    <t>PICO MEDIA VUELTA FIX -_ADAPTADOR LUER-LOCK (DB080</t>
  </si>
  <si>
    <t>AGILITY CATS CARNE X 340 GR</t>
  </si>
  <si>
    <t>PINZA ALLIS X 15 CM</t>
  </si>
  <si>
    <t>PINZA APLIC. ELASTRATOR PREMIUMIDEAL</t>
  </si>
  <si>
    <t>7 VIDAS GATOS ADULTOS CARNE Y POLLO X 1 KG</t>
  </si>
  <si>
    <t>PINZA APLICADORA ARGENT FLEX</t>
  </si>
  <si>
    <t>PINZA APLICADORA ELASTRATOR IMP.</t>
  </si>
  <si>
    <t>7 VIDAD GATOS ADULTOS SALMON X 1 KG</t>
  </si>
  <si>
    <t>PINZA DISECCION P/EXTRAER PAJUELAS</t>
  </si>
  <si>
    <t>PINZA P/TATUAR IDEAL 4 DIGITOS 3/8</t>
  </si>
  <si>
    <t>PINZA P/TATUAR STONE 4 DIGITOS 3/8</t>
  </si>
  <si>
    <t>PINZA PARA GRAMPAS PINTADA</t>
  </si>
  <si>
    <t>PINZA PARA TATUAR STONE 5 DIG. 5/16</t>
  </si>
  <si>
    <t>PINZA TATUAJE 10 MM WALMUR</t>
  </si>
  <si>
    <t>PIPETA PLASTICA DESCARTABLE X 10 UNID.</t>
  </si>
  <si>
    <t>PLUVIOMETRO PLASTICO GRANDE</t>
  </si>
  <si>
    <t>PLUVIOMETRO PLASTICO RECT. P158 X 150 MM</t>
  </si>
  <si>
    <t>VACUNA LEPTO NOVIBAC</t>
  </si>
  <si>
    <t>PORTA AGUJAS MAYO 16</t>
  </si>
  <si>
    <t>RASPADOR PREPUCIO DESC X 10 UNIDADES (60 CM LARGO)</t>
  </si>
  <si>
    <t>RASQUETA DE GOMA NEGRA C/PASAMANO</t>
  </si>
  <si>
    <t>REP JGA FIX C/PLAST_BIS MANGO GRANDE (F-1)</t>
  </si>
  <si>
    <t>REP. AUTODOS. FIX COMBIX10_CUERPO PLASTICO (F-34)</t>
  </si>
  <si>
    <t>REP. AUTODOS. FIX COMBIX10_PORTA VALVULA (F-31)</t>
  </si>
  <si>
    <t>REP. AUTODOS. FIX COMBIX10_SOBRE DE GOMAS FIX</t>
  </si>
  <si>
    <t>REP. AUTODOS. FIX COMBIX20_CUERPO PLASTICO (F-50)</t>
  </si>
  <si>
    <t>REP. AUTODOS. FIX COMBIX20_VALVULA (F-35)</t>
  </si>
  <si>
    <t>REP. AUTODOS. FIX DOSI_CUERO PLASTICO (F-114)</t>
  </si>
  <si>
    <t>REP. JGA FIX METAL_BOLITA CON RESORTE (F-8)</t>
  </si>
  <si>
    <t>REP. JGA FIX PLAST_AGUJA PUNTA TAPON (F-27)</t>
  </si>
  <si>
    <t>REP. JGA FIX PLAST_BOLITA CON RESORTE (F-8)</t>
  </si>
  <si>
    <t>REP. JGA FIX PLAST_CAÑO (F-11)</t>
  </si>
  <si>
    <t>REP. JGA FIX PLAST_CUERPO (F-14)</t>
  </si>
  <si>
    <t>REP. JGA FIX PLAST_CUERPO (F-73)</t>
  </si>
  <si>
    <t>REP. JGA FIX PLAST_DIAL (F-12)</t>
  </si>
  <si>
    <t>REP. JGA FIX PLAST_ESCALA (F-13)</t>
  </si>
  <si>
    <t>REP. JGA FIX PLAST_KIT GATILLO (F-5,6,7)</t>
  </si>
  <si>
    <t>REP. JGA FIX PLAST_KIT RESORTE+TUERCA+GATILLO</t>
  </si>
  <si>
    <t>REP. JGA FIX PLAST_MANGO CHICO FIX MASTER X 50 (F)</t>
  </si>
  <si>
    <t>REP. JGA FIX PLAST_MANGO GRANDE BIS (F-18)</t>
  </si>
  <si>
    <t>REP. JGA FIX PLAST_PICO 1/2 VUELTA (F-17)</t>
  </si>
  <si>
    <t>REP. JGA FIX PLAST_PICO FIX MASTER PLST/MET (F-17)</t>
  </si>
  <si>
    <t>REP. JGA FIX PLAST_PLAST_TUBO ACRILICO</t>
  </si>
  <si>
    <t>REP. JGA FIX PLAST_TORNILLO MANGO C/TUERCA (F-123)</t>
  </si>
  <si>
    <t>REP. JGA FIX TBC_ANILLO DE GOMA FIX X 3 CC (F-70)</t>
  </si>
  <si>
    <t>REP. JGA FIX TBC_BOTON FIX X 50 CC (F-10)</t>
  </si>
  <si>
    <t>REP. JGA FIX TBC_RESORTE DE MANGO FIX (F-3)</t>
  </si>
  <si>
    <t>REP. JGA FIX TBC_TORNILLO (F-9)</t>
  </si>
  <si>
    <t>REP. JGA FIX TBC_TORNILLO C/TUERCA (F-4)</t>
  </si>
  <si>
    <t>REP. JGA PRIMOR_CAMISA METALICA (DB130)</t>
  </si>
  <si>
    <t>REP. JGA PRIMOR_KIT DE DIAL</t>
  </si>
  <si>
    <t>REP. JGA PRIMOR_KIT DE GATILLO</t>
  </si>
  <si>
    <t>REP. JGA PRIMOR_KIT DE GOMAS EMBOLO</t>
  </si>
  <si>
    <t>REP. JGA PRIMOR_PORTA ADAPTADOR (DB100)</t>
  </si>
  <si>
    <t>REP. JGA PRIMOR_TORNILLO C/TUERCA P/UNION DE MANGO</t>
  </si>
  <si>
    <t>REP. JGA PRIMOR_TORNILLO P/UNION DE MANGO</t>
  </si>
  <si>
    <t>REP. JGA PRIMOR_TUBO ACRILICO (DB121)</t>
  </si>
  <si>
    <t>REPUESTO AGUJAS P/PINZA APLICADORA IMP.</t>
  </si>
  <si>
    <t>SOBRE DE GOMAS FIX (F-15/16)</t>
  </si>
  <si>
    <t>SOPORTE SOLARTEC EP1 343 (KIT 180/290)</t>
  </si>
  <si>
    <t>TENAZA BAHCO P/DESVASAR 350 MM</t>
  </si>
  <si>
    <t>TERMO PARA DESCONGELAR PAJUELAS</t>
  </si>
  <si>
    <t>TERMOMETRO PARA HELADERA</t>
  </si>
  <si>
    <t>TERMOMETRO QUIMICO 0-60 LARGO 20 CM</t>
  </si>
  <si>
    <t>TERMOMETRO QUIMICO ALC 10+60° CECO</t>
  </si>
  <si>
    <t>TERMOMETRO SUIZO CREMERIA MADERA</t>
  </si>
  <si>
    <t>TIJERA P/CIRUGIA CURVA RM/AG 16 CM</t>
  </si>
  <si>
    <t>TIJERA P/CIRUGIA MAYO RECTA 17 CM</t>
  </si>
  <si>
    <t>TIJERA P/CIRUGIA RECTA AGUDA AGUDA X 16 CM</t>
  </si>
  <si>
    <t>TIJERA TUZAR BIGORNIA</t>
  </si>
  <si>
    <t>TIJERA TUZAR IMPORTADA</t>
  </si>
  <si>
    <t>TIZA P/LANARES AZUL X 250 CC</t>
  </si>
  <si>
    <t>TIZA P/LANARES ROJO X 250 CC</t>
  </si>
  <si>
    <t>TIZA P/LANARES VERDE X 250 CC</t>
  </si>
  <si>
    <t>TROCARD PARA EMPASTE OVINO</t>
  </si>
  <si>
    <t>TROCARD PARA EMPASTE VACUNO GRANDE</t>
  </si>
  <si>
    <t>TUBO PLASTICO FIX COMBI X10/20-FIX X 50 (F-28)</t>
  </si>
  <si>
    <t>VAINAS VERDES NACIONALES P/PAJ. X 50 UNID.</t>
  </si>
  <si>
    <t>VARILLA DE HIERRO C/RULO 10 MM PREMIUM</t>
  </si>
  <si>
    <t>VARILLA PLASTICA C/ALMA DE ACERO PLYRAP</t>
  </si>
  <si>
    <t>VENDA ADHERENTE COBAN 10 CM AZUL</t>
  </si>
  <si>
    <t>VENDA ADHERENTE COBAN 10 CM NEGRA</t>
  </si>
  <si>
    <t>VENDA AVESA AUTOADHERENTE VERDE</t>
  </si>
  <si>
    <t>VENDA DIAMOND AUTOADHERENTE AZUL</t>
  </si>
  <si>
    <t>VENDA DIAMOND AUTOADHERENTE BLANCA</t>
  </si>
  <si>
    <t>VENDA DIAMOND AUTOADHERENTE NEGRA</t>
  </si>
  <si>
    <t>VENDA DIAMOND AUTOADHERENTE ROJO</t>
  </si>
  <si>
    <t>VENDA DIAMOND AUTOADHERENTE VERDE</t>
  </si>
  <si>
    <t>VENDA ENYESADA ANCHO 10 CM</t>
  </si>
  <si>
    <t>VOLTIMETRO PLYRAP</t>
  </si>
  <si>
    <t>CDV BOTULISMO X 50 DS</t>
  </si>
  <si>
    <t>CDV BPA X 12 ML</t>
  </si>
  <si>
    <t>CDV BRUCELOSIS CEPA X 10 DS</t>
  </si>
  <si>
    <t>CDV BRUCELOSIS CEPA X 25 DS</t>
  </si>
  <si>
    <t>CDV CAMPY 40 X 50 DS</t>
  </si>
  <si>
    <t>CDV CARBUNCLO X 125 DS</t>
  </si>
  <si>
    <t>CDV CARBUNCLO X 50 DS</t>
  </si>
  <si>
    <t>CDV CLOSTRIDIAL POLIVALENTE X 25 DS</t>
  </si>
  <si>
    <t>CDV CLOSTRIDIAL POLIVALENTE X 50 DS</t>
  </si>
  <si>
    <t>CDV CLOSTRIMAX T X 50 DS</t>
  </si>
  <si>
    <t>CDV DIARREA NEONATAL PLUS X 50 DS</t>
  </si>
  <si>
    <t>CDV DIARREA NEONATAL X 50 DS (OLEOSA)</t>
  </si>
  <si>
    <t>CDV FEEDLOT PLUS X 50 DS</t>
  </si>
  <si>
    <t>CDV FEEDLOT X 50 DS (DOBLE EMULSION)</t>
  </si>
  <si>
    <t>CDV HEMOGLOBINURIA X 50 DS</t>
  </si>
  <si>
    <t>CDV LEPTOSPIROSIS X 50 DS</t>
  </si>
  <si>
    <t>CDV QUERATO PLUS X 50 DS</t>
  </si>
  <si>
    <t>CDV QUERATO X 50 DS (OLEOSA)</t>
  </si>
  <si>
    <t>CDV RABIA X 50 DS</t>
  </si>
  <si>
    <t>CDV RB51 X 10 DS</t>
  </si>
  <si>
    <t>CDV RB51 X 25 DS</t>
  </si>
  <si>
    <t>CDV REPRODUCTIVA PLUS X 50 DS (OLEOSA)</t>
  </si>
  <si>
    <t>CDV REPRODUCTIVA X 50 DS</t>
  </si>
  <si>
    <t>CDV TRIPLE X 50 DS</t>
  </si>
  <si>
    <t>CDV TUBERCULINA BOVINA X 100 DS</t>
  </si>
  <si>
    <t>CDV TUBERCULINA PPD AVIAR X 50 DS</t>
  </si>
  <si>
    <t>CDV VIRAL RESPIRATORIA X 50 DS (OLEOSA)</t>
  </si>
  <si>
    <t>BIOJAJA MONOVALENTE X 1 DS</t>
  </si>
  <si>
    <t>BIOJAJA POLIVALENTE X 1 DS</t>
  </si>
  <si>
    <t>FLURON GOLD X 1 LT</t>
  </si>
  <si>
    <t>FLURON GOLD X 2 LT</t>
  </si>
  <si>
    <t>GANADERA 4 SOM PLUS X 25 DS</t>
  </si>
  <si>
    <t>GANADERA 4 SOM PLUS X 50 DS</t>
  </si>
  <si>
    <t>KETOFEN 10% X 50 ML</t>
  </si>
  <si>
    <t>ROTA CORONA CEVA X 50 DS</t>
  </si>
  <si>
    <t>T5 PLUS X 20 DS</t>
  </si>
  <si>
    <t>T5 PLUS X 50 DS</t>
  </si>
  <si>
    <t>TRIVIRUS NEUMOVAC Q PLUS X 25 DS</t>
  </si>
  <si>
    <t>TRIVIRUS NEUMOVAC Q PLUS X 50 DS</t>
  </si>
  <si>
    <t>TUBERCULINA CEVA X 100 DS</t>
  </si>
  <si>
    <t>ZELERIS X 100 ML</t>
  </si>
  <si>
    <t>ZELERIS X 250 ML</t>
  </si>
  <si>
    <t>CEVAZURIL X 250 ML</t>
  </si>
  <si>
    <t>CIRCOVAC X 100 DS</t>
  </si>
  <si>
    <t>COGLAPIX X 50 DS</t>
  </si>
  <si>
    <t>HYOGEN X 100 DS</t>
  </si>
  <si>
    <t>HYOGEN X 50 DS</t>
  </si>
  <si>
    <t>VALORA X 100 DS</t>
  </si>
  <si>
    <t>VALORA X 50 DS</t>
  </si>
  <si>
    <t>VETRIMOXIN LA X 100 ML</t>
  </si>
  <si>
    <t>ADAPTIL CALM DIF + REF 48 ML</t>
  </si>
  <si>
    <t>ADAPTIL CALM REFILL 48 ML</t>
  </si>
  <si>
    <t>ADAPTIL COLLAR TAMAÑO L</t>
  </si>
  <si>
    <t>ADAPTIL COLLAR TAMAÑO S</t>
  </si>
  <si>
    <t>ADAPTIL TRANSPORT SPRAY X 60 ML</t>
  </si>
  <si>
    <t>FELIWAY CLASSIC DIFUSOR + REFILL X 48 ML</t>
  </si>
  <si>
    <t>FELIWAY CLASSIC REFILL X 48 ML</t>
  </si>
  <si>
    <t>FELIWAY CLASSIC SPRAY X 60 ML</t>
  </si>
  <si>
    <t>FELIWAY FRIENDS DIFUSOR + REFILL X 48 ML</t>
  </si>
  <si>
    <t>FELIWAY FRIENDS REFILL X 48 ML</t>
  </si>
  <si>
    <t>BETAKROM 10 WP X 250 GRS</t>
  </si>
  <si>
    <t>CHEMOFOG AEROSOL X 426 ML</t>
  </si>
  <si>
    <t>CHEMOTRINA X 1 LT</t>
  </si>
  <si>
    <t>CINTA ADHESIVA JUMBO VOLADARES (30X54 CM)</t>
  </si>
  <si>
    <t>DRAGON MAX X 1 LT</t>
  </si>
  <si>
    <t>DRAGON X 250 ML</t>
  </si>
  <si>
    <t>ERRADIC FLY BALDE X 10 LTS (BALDE+CEBO)</t>
  </si>
  <si>
    <t>ERRADIC FLY REPUESTO CEBO X 300 GR</t>
  </si>
  <si>
    <t>INTROBAN BLISTER X 20 ANILLOS</t>
  </si>
  <si>
    <t>QUORUM SC X 50 CC</t>
  </si>
  <si>
    <t>ADE + SELENIO Y ZINC CHINFIELD X 250 ML</t>
  </si>
  <si>
    <t>AMINOACIDOS VIT X 250 ML</t>
  </si>
  <si>
    <t>AMINOACIDOS VIT X 500 ML</t>
  </si>
  <si>
    <t>AMINOSUC JARABE X 1 L</t>
  </si>
  <si>
    <t>ANARTRITICO CHINFIELD X 100 ML</t>
  </si>
  <si>
    <t>ANTIHISTAMINICO CHINFIELD X 50 ML</t>
  </si>
  <si>
    <t>ANTILIS X 10 ML</t>
  </si>
  <si>
    <t>ARTIDEXA CHINFIELD 5 FCOS X 2 ML</t>
  </si>
  <si>
    <t>ATP DINAMOGENO X 50 ML</t>
  </si>
  <si>
    <t>B12 CHINFIELD 50.000 MCG INY X 50 ML</t>
  </si>
  <si>
    <t>BATACAS INY. X 50 ML</t>
  </si>
  <si>
    <t>BOLICOL ORAL X 1 LT</t>
  </si>
  <si>
    <t>BOROGLUCONATO DE CALCIO 50% X 250 ML</t>
  </si>
  <si>
    <t>CAUSTICO ROJO CHINFIELD POMADA X 30 GRS</t>
  </si>
  <si>
    <t>CH-77 INY X 10 ML</t>
  </si>
  <si>
    <t>CHINFOOD FUERTE ORAL X 1 L</t>
  </si>
  <si>
    <t>CIPROHEPTADINA CHINFIELD JARABE X 1 L</t>
  </si>
  <si>
    <t>CLENPULMIN INY X 50 ML</t>
  </si>
  <si>
    <t>COAGULANTE CHINFIELD INY X 50 ML</t>
  </si>
  <si>
    <t>COBRE + ZINC CHINFIELD X 500 ML</t>
  </si>
  <si>
    <t>COMPLEJO BC CHINFIELD INY 5 FCOS X 10 ML</t>
  </si>
  <si>
    <t>CORPOTEN INYECTABLE X 50 ML</t>
  </si>
  <si>
    <t>CORRETONIC INY. X 30 ML</t>
  </si>
  <si>
    <t>CREATINA CHINFIELD X 1 KG</t>
  </si>
  <si>
    <t>CREATINA CHINFIELD X 500 KG</t>
  </si>
  <si>
    <t>DEXAMETASONA COMPUESTA CHINFIELD INY X 10 ML</t>
  </si>
  <si>
    <t>DIPIRONA CHINFIELD X 100 ML</t>
  </si>
  <si>
    <t>DIURETIC X 50 ML</t>
  </si>
  <si>
    <t>ESELE ORAL X 1 L</t>
  </si>
  <si>
    <t>ESELE ORAL X 500 ML</t>
  </si>
  <si>
    <t>EXTRACTO DE PLACENTA INY 5 FCOS X 20 ML</t>
  </si>
  <si>
    <t>FENILBUTAZONA CHINFIELD X 100 ML</t>
  </si>
  <si>
    <t>FLUNIFIELD INY X 50 ML</t>
  </si>
  <si>
    <t>FOSFORO + COBRE PLUS CHINFIELD X 500 ML</t>
  </si>
  <si>
    <t>FRUCTUOSA VITAMINADA X 250 ML</t>
  </si>
  <si>
    <t>FUROFIELD X 25 ML</t>
  </si>
  <si>
    <t>FUSTEX INY X 5 ML</t>
  </si>
  <si>
    <t>GASINT INY. X 100 ML</t>
  </si>
  <si>
    <t>GLUCOSA VITAMINADA X 250 ML</t>
  </si>
  <si>
    <t>HEMOFIELD X 50 ML</t>
  </si>
  <si>
    <t>HEPATOFIELD ORAL X 1 LT</t>
  </si>
  <si>
    <t>HEPATOFIELD ORAL X 500 ML</t>
  </si>
  <si>
    <t>LIDOCAINA CHINFIELD INY 2% X 100 ML</t>
  </si>
  <si>
    <t>MACFIELD INY X 50 ML</t>
  </si>
  <si>
    <t>MV CHINFIELD INY. X 50 ML</t>
  </si>
  <si>
    <t>MV GRANULADO POTE X 500 GRS</t>
  </si>
  <si>
    <t>NABOLIC STRONG PET´S X 10 ML</t>
  </si>
  <si>
    <t>NEUROMAX 1,5% X 100 ML</t>
  </si>
  <si>
    <t>RELAXATOL FRASCO X 20 COMPRIMIDOS</t>
  </si>
  <si>
    <t>SUIFERRO FUERTE INY X 50 ML</t>
  </si>
  <si>
    <t>TONICORRE INY X 50 ML</t>
  </si>
  <si>
    <t>TRIAMCINOLONA CHINFIELD X 30 ML</t>
  </si>
  <si>
    <t>TRIAMCINOLONA CHINFIELD X 5 ML</t>
  </si>
  <si>
    <t>UTP DINAMOGENO INY X 50 ML</t>
  </si>
  <si>
    <t>VITAL B1 POLVO X 1 KG</t>
  </si>
  <si>
    <t>YODACALCIO B12 X 250 ML</t>
  </si>
  <si>
    <t>YODACALCIO B12 X 500 ML</t>
  </si>
  <si>
    <t>YODACALCIO MG (EQUINOS) X 100 ML</t>
  </si>
  <si>
    <t>YODACALCIO MG X 250 ML</t>
  </si>
  <si>
    <t>YODACALCIO MG X 500 ML</t>
  </si>
  <si>
    <t>CALOSTRO 100 X 700 GR</t>
  </si>
  <si>
    <t>MARCADOR EN AEROSOL AZUL X 482 GRS</t>
  </si>
  <si>
    <t>MARCADOR EN AEROSOL ROSA FLUO X 482 GRS</t>
  </si>
  <si>
    <t>MARCADOR EN AEROSOL VERDE X 482 GRS</t>
  </si>
  <si>
    <t>SONDA SOS CRIA</t>
  </si>
  <si>
    <t>SOS CRIA X 235 GRS</t>
  </si>
  <si>
    <t>TETINA SOS CRIA</t>
  </si>
  <si>
    <t>BOMBILLA ACERO MATE COLEMAN 17 CM</t>
  </si>
  <si>
    <t>BOTELLA TERMICA COLEMAN FREEFLOW X 1,2 LT AZUL</t>
  </si>
  <si>
    <t>BOTELLA TERMICA COLEMAN FREEFLOW X 1,2 LT NEGRO</t>
  </si>
  <si>
    <t>BOTELLA TERMICA COLEMAN FREEFLOW X 700 ML WHITE TE</t>
  </si>
  <si>
    <t>BOTELLA TERMICA COLEMAN SWITCH X 700 ML ARENA</t>
  </si>
  <si>
    <t>BOTELLA TERMICA COLEMAN SWITCH X 700 ML AZUL</t>
  </si>
  <si>
    <t>BOTELLA TERMICA COLEMAN SWITCH X 700 ML NEGRO</t>
  </si>
  <si>
    <t>BOTELLA TERMICA COLEMAN SWITCH X 700 ML VERDE</t>
  </si>
  <si>
    <t>CARPA COLEMAN DARWIN 2.0 4P</t>
  </si>
  <si>
    <t>CARPA COLEMAN DARWIN 2P C/ABSIDE 320X160X120</t>
  </si>
  <si>
    <t>CARPA COLEMAN TENAYA LAKE 8P C/ARMARIO Y LUZ</t>
  </si>
  <si>
    <t>CARPA COLEMAN XT 6P</t>
  </si>
  <si>
    <t>CARPA COLEMAN YARBOROUGH 6P</t>
  </si>
  <si>
    <t>COLCHON COLEMAN GO QUEEN C/INFLADOR PIE 203X152X2A</t>
  </si>
  <si>
    <t>COMBO KIT VUELTA AL COLE MAHOGANY</t>
  </si>
  <si>
    <t>COMBO KIT VUELTA AL COLE SLATE</t>
  </si>
  <si>
    <t>COMBO MATERO COLEMAN ED LTDA MATE + TERMO 1,2 LT</t>
  </si>
  <si>
    <t>Excellent</t>
  </si>
  <si>
    <t>COMBO MATERO COLEMAN ED LTDA MATE + TERMO 700 ML</t>
  </si>
  <si>
    <t>Alimentos</t>
  </si>
  <si>
    <t>CONSERVADORA "BOLSO TERMICO" COLEMAN BACKROADS MOCHILA</t>
  </si>
  <si>
    <t>Perro</t>
  </si>
  <si>
    <t>CONSERVADORA "BOLSO TERMICO" COLEMAN SOFT 30 LATAS</t>
  </si>
  <si>
    <t>CONSERVADORA "BOLSO TERMICO" COLEMAN SOFT 42 LATAS</t>
  </si>
  <si>
    <t>CONSERVADORA "BOLSO TERMICO" COLEMAN SOFT MOCHILA</t>
  </si>
  <si>
    <t>CONSERVADORA BOLSO TERMICO COLEMAN 18 LATAS BORDO</t>
  </si>
  <si>
    <t>CONSERVADORA BOLSO TERMICO COLEMAN 18 LATAS OLIVA</t>
  </si>
  <si>
    <t>CONSERVADORA BOLSO TERMICO COLEMAN 18 LATAS SLATE</t>
  </si>
  <si>
    <t>CONSERVADORA BOLSO TERMICO COLEMAN 34 LATAS AZUL</t>
  </si>
  <si>
    <t>CONSERVADORA BOLSO TERMICO COLEMAN 34 LATAS CAOBA</t>
  </si>
  <si>
    <t>CONSERVADORA BOLSO TERMICO COLEMAN 34 LATAS OLIVE</t>
  </si>
  <si>
    <t>CONSERVADORA BOLSO TERMICO COLEMAN 54 LATAS AZUL</t>
  </si>
  <si>
    <t>CONSERVADORA BOLSO TERMICO COLEMAN 54 LATAS CAOBA</t>
  </si>
  <si>
    <t>CONSERVADORA BOLSO TERMICO COLEMAN 54 LATAS OLIVA</t>
  </si>
  <si>
    <t>CONSERVADORA BOLSO TERMICO COLEMAN 9 LATAS AZUL</t>
  </si>
  <si>
    <t>CONSERVADORA BOLSO TERMICO COLEMAN 9 LATAS BORDO</t>
  </si>
  <si>
    <t>CONSERVADORA BOLSO TERMICO COLEMAN 9 LATAS OLIVA</t>
  </si>
  <si>
    <t>CONSERVADORA BOLSO TERMICO COLEMAN SPORT 45LT AZUL</t>
  </si>
  <si>
    <t>CONSERVADORA BOLSO TERMICO COLEMAN SPORT 75LT AZUL</t>
  </si>
  <si>
    <t>CONSERVADORA BOLSO TERMICO COLEMAN TRAILBLAZER 16</t>
  </si>
  <si>
    <t>CONSERVADORA BOLSO TERMICO COLEMAN TRAILBLAZER 30</t>
  </si>
  <si>
    <t>CONSERVADORA COLEMAN "CHEST MARINE" 100QT BCA C/R</t>
  </si>
  <si>
    <t>CONSERVADORA COLEMAN "CHEST MARINE" 120QT BLANCA</t>
  </si>
  <si>
    <t>CONSERVADORA COLEMAN "CHEST MARINE" 150QT BLANCA</t>
  </si>
  <si>
    <t>CONSERVADORA COLEMAN "CHEST MARINE" 52QT BLANCA</t>
  </si>
  <si>
    <t>CONSERVADORA COLEMAN "CHEST MARINE" 70QT BLANCA</t>
  </si>
  <si>
    <t>CONSERVADORA COLEMAN "EXCURSION" 16QT AZUL</t>
  </si>
  <si>
    <t>kg</t>
  </si>
  <si>
    <t>CONSERVADORA COLEMAN "EXCURSION" 16QT NEGRA</t>
  </si>
  <si>
    <t>CONSERVADORA COLEMAN "EXCURSION" 16QT ROJA</t>
  </si>
  <si>
    <t>CONSERVADORA COLEMAN "EXCURSION" 30QT AZUL</t>
  </si>
  <si>
    <t>CONSERVADORA COLEMAN "EXCURSION" 30QT ROJA</t>
  </si>
  <si>
    <t>CONSERVADORA COLEMAN "EXCURSION" 9QT AZUL</t>
  </si>
  <si>
    <t>CONSERVADORA COLEMAN "EXCURSION" 9QT ROJA</t>
  </si>
  <si>
    <t>CONSERVADORA COLEMAN "MARINE" 100QT BLANCA</t>
  </si>
  <si>
    <t>CONSERVADORA COLEMAN "MARINE" 120QT BLANCA</t>
  </si>
  <si>
    <t>CONSERVADORA COLEMAN "MARINE" 150QT BLANCA</t>
  </si>
  <si>
    <t>CONSERVADORA COLEMAN "MARINE" 48QT BLANCA</t>
  </si>
  <si>
    <t>CONSERVADORA COLEMAN "MARINE" 50QT BLANCA</t>
  </si>
  <si>
    <t>CONSERVADORA COLEMAN "MARINE" 50QT BLANCA C/R</t>
  </si>
  <si>
    <t>CONSERVADORA COLEMAN "MARINE" 70QT BLANCA</t>
  </si>
  <si>
    <t>CONSERVADORA COLEMAN "MARINE" 82QT WHITE C/R</t>
  </si>
  <si>
    <t>CONSERVADORA COLEMAN "PERFORMANCE" 16QT NEGRA</t>
  </si>
  <si>
    <t>CONSERVADORA COLEMAN "PERFORMANCE" 30QT NEGRA</t>
  </si>
  <si>
    <t>CONSERVADORA COLEMAN "PERFORMANCE" 48QT AZUL</t>
  </si>
  <si>
    <t>CONSERVADORA COLEMAN "PERFORMANCE" 48QT ROJA</t>
  </si>
  <si>
    <t>CONSERVADORA COLEMAN "PERFORMANCE" 48QT VERDE</t>
  </si>
  <si>
    <t>CONSERVADORA COLEMAN "PERFORMANCE" 60QT ARENA</t>
  </si>
  <si>
    <t>CONSERVADORA COLEMAN "PERFORMANCE" 60QT NEGRA</t>
  </si>
  <si>
    <t>CONSERVADORA COLEMAN "VIANDERA" 5QT AZUL</t>
  </si>
  <si>
    <t>CONSERVADORA COLEMAN "VIANDERA" 5QT ROJA</t>
  </si>
  <si>
    <t>CONSERVADORA COLEMAN 316 SERIES 62QT C/R LAKESIDE</t>
  </si>
  <si>
    <t>CONSERVADORA COLEMAN BEACH 48QT AZUL</t>
  </si>
  <si>
    <t>CONSERVADORA COLEMAN BEACH 48QT BLANCO</t>
  </si>
  <si>
    <t>CONSERVADORA COLEMAN BEACH 48QT ROJO</t>
  </si>
  <si>
    <t>CONSERVADORA COLEMAN BEACH 48QT VERDE C/TAPA VERDE</t>
  </si>
  <si>
    <t>CONSERVADORA COLEMAN CHEST 100QT AZUL</t>
  </si>
  <si>
    <t>CONSERVADORA COLEMAN CHEST 100QT GRIS</t>
  </si>
  <si>
    <t>CONSERVADORA COLEMAN CHEST 120QT AZUL</t>
  </si>
  <si>
    <t>CONSERVADORA COLEMAN CHEST 120QT GRIS</t>
  </si>
  <si>
    <t>CONSERVADORA COLEMAN CHEST 120QT ROJO</t>
  </si>
  <si>
    <t>CONSERVADORA COLEMAN CHEST 52QT AZUL</t>
  </si>
  <si>
    <t>CONSERVADORA COLEMAN CHEST 52QT ED LTDA GRIS</t>
  </si>
  <si>
    <t>CONSERVADORA COLEMAN CHEST 52QT GRIS</t>
  </si>
  <si>
    <t>CONSERVADORA COLEMAN CHEST 52QT ROJO</t>
  </si>
  <si>
    <t>CONSERVADORA COLEMAN CHEST 52QT SPACE BLUE</t>
  </si>
  <si>
    <t>CONSERVADORA COLEMAN CHEST 62QT AZUL</t>
  </si>
  <si>
    <t>CONSERVADORA COLEMAN CHEST 62QT GRIS</t>
  </si>
  <si>
    <t>CONSERVADORA COLEMAN CHEST 70QT AZUL</t>
  </si>
  <si>
    <t>CONSERVADORA COLEMAN CHEST 70QT GRIS</t>
  </si>
  <si>
    <t>CONSERVADORA COLEMAN CHEST 70QT ROJO</t>
  </si>
  <si>
    <t>CONSERVADORA COLEMAN CHILLER 30QT OCEAN</t>
  </si>
  <si>
    <t>CONSERVADORA COLEMAN XTREME 120QT AZUL OSCRURO</t>
  </si>
  <si>
    <t>CONSERVADORA COLEMAN XTREME 120QT BORDO</t>
  </si>
  <si>
    <t>CONSERVADORA COLEMAN XTREME 28QT AZUL</t>
  </si>
  <si>
    <t>CONSERVADORA COLEMAN XTREME 28QT GRIS Y NARANJA</t>
  </si>
  <si>
    <t>CONSERVADORA COLEMAN XTREME 40QT AZUL C/R</t>
  </si>
  <si>
    <t>CONSERVADORA COLEMAN XTREME 50QT AZUL OSCURO C/R</t>
  </si>
  <si>
    <t>CONSERVADORA COLEMAN XTREME 50QT BORDO C/R</t>
  </si>
  <si>
    <t>CONSERVADORA COLEMAN XTREME 62QT AZUL OSCURO C/R</t>
  </si>
  <si>
    <t>CONSERVADORA COLEMAN XTREME 62QT BORDO C/R</t>
  </si>
  <si>
    <t>CONSERVADORA COLEMAN XTREME 70QT AZUL</t>
  </si>
  <si>
    <t>CONSERVADORA COLEMAN XTREME 70QT AZUL OSCURO</t>
  </si>
  <si>
    <t>CONSERVADORA COLEMAN XTREME 70QT CAOBA</t>
  </si>
  <si>
    <t>CONSERVADORA COLEMAN XTREME 70QT NEGRA</t>
  </si>
  <si>
    <t>DESTAPADOR BOTELLAS COLEMAN</t>
  </si>
  <si>
    <t>GAZEBO COLEMAN INST. REFORZADO UV50 GUARDS - 3X3 S</t>
  </si>
  <si>
    <t>GROWLER COLEMAN ACERO INOXIDABLE X 1900 ML ARENA</t>
  </si>
  <si>
    <t>GROWLER COLEMAN ACERO INOXIDABLE X 1900 ML NEGRO</t>
  </si>
  <si>
    <t>HACHA CAMPING COLEMAN RUGGED MANGO ACERO Y GOMA</t>
  </si>
  <si>
    <t>HIELERA COLEMAN 9QT C/TAPA Y MANIJA ARENA</t>
  </si>
  <si>
    <t>HIELERA COLEMAN 9QT C/TAPA Y MANIJA AZUL</t>
  </si>
  <si>
    <t>HIELERA COLEMAN 9QT C/TAPA Y MANIJA NEGRO</t>
  </si>
  <si>
    <t>HIELERA COLEMAN 9QT C/TAPA Y MANIJA ROJO</t>
  </si>
  <si>
    <t>HIELERA COLEMAN 9QT C/TAPA Y MANIJA VERDE</t>
  </si>
  <si>
    <t>MACHETE COLEMAN RUGGED C/SERRUCHO</t>
  </si>
  <si>
    <t>MATE COLEMAN ACERO INOX TERMICO BLACK SAND</t>
  </si>
  <si>
    <t>MATE COLEMAN ACERO INOX TERMICO GREEN</t>
  </si>
  <si>
    <t>MATE COLEMAN ACERO INOX TERMICO RED</t>
  </si>
  <si>
    <t>MESA PLEGABLE COLEMAN ACERO ALUMINIO 2/PER B/TRANS</t>
  </si>
  <si>
    <t>MONTURA MAGNETICA NITE IZE P/CELULAR</t>
  </si>
  <si>
    <t>PALA COLEMAN RUGGED PLEGABLE</t>
  </si>
  <si>
    <t>PINZA COLEMAN RUGGED MULTI HERRAM. PLEGABLE ROJA</t>
  </si>
  <si>
    <t>PONCHO COLEMAN EMERGENCIA</t>
  </si>
  <si>
    <t>SERRUCHO COLEMAN RUGGED PLEGABLE</t>
  </si>
  <si>
    <t>SILLA COLEMAN CONFORT GRANDE 136 KG</t>
  </si>
  <si>
    <t>SILLA COLEMAN DIRECTOR 148 KG C/ENFRIADOR AZUL</t>
  </si>
  <si>
    <t>SILLA COLEMAN DIRECTOR 148 KG C/ENFRIADOR NEGRA</t>
  </si>
  <si>
    <t>SILLA COLEMAN DIRECTOR 148 KG C/ENFRIADOR ROJA</t>
  </si>
  <si>
    <t>Gato</t>
  </si>
  <si>
    <t>SILLA COLEMAN DIRECTOR STEEL DECK HTA 136 KG ROJA</t>
  </si>
  <si>
    <t>SILLA COLEMAN KICKBACK BREEZE BLUE</t>
  </si>
  <si>
    <t>TERMO COLEMAN ACERO INOX MATERO 1,2 LTS ARENA</t>
  </si>
  <si>
    <t>TERMO COLEMAN ACERO INOX MATERO 1,2 LTS AZUL</t>
  </si>
  <si>
    <t>TERMO COLEMAN ACERO INOX MATERO 1,2 LTS CARIBBEANA</t>
  </si>
  <si>
    <t>TERMO COLEMAN ACERO INOX MATERO 1,2 LTS NEGRO</t>
  </si>
  <si>
    <t>TERMO COLEMAN ACERO INOX MATERO 1,2 LTS ROJO</t>
  </si>
  <si>
    <t>TERMO COLEMAN ACERO INOX MATERO 1,2 LTS SAGE</t>
  </si>
  <si>
    <t>TERMO COLEMAN ACERO INOX MATERO 1,2 LTS VERDE</t>
  </si>
  <si>
    <t>TERMO COLEMAN ACERO INOX MATERO 1,2 LTS WHITE TRUE</t>
  </si>
  <si>
    <t>TERMO COLEMAN ACERO INOX MATERO X 1,2 LTS NEGRO "LA RED"</t>
  </si>
  <si>
    <t>TERMO COLEMAN ACERO INOX MATERO X 1,2 LTS SAGE "LA RED"</t>
  </si>
  <si>
    <t>TERMO COLEMAN ACERO INOX MATERO X 1,2 LTS WHITE "LA RED"</t>
  </si>
  <si>
    <t>TERMO COLEMAN ACERO INOX MATERO X 1200ML CAMPEONES</t>
  </si>
  <si>
    <t>TERMO COLEMAN ACERO INOX MATERO X 700 ML ARENA</t>
  </si>
  <si>
    <t>TERMO COLEMAN ACERO INOX MATERO X 700 ML AZUL</t>
  </si>
  <si>
    <t>TERMO COLEMAN ACERO INOX MATERO X 700 ML CARIBBEAA</t>
  </si>
  <si>
    <t>TERMO COLEMAN ACERO INOX MATERO X 700 ML NEGRO</t>
  </si>
  <si>
    <t>TERMO COLEMAN ACERO INOX MATERO X 700 ML ROJO</t>
  </si>
  <si>
    <t>TERMO COLEMAN ACERO INOX MATERO X 700 ML SAGE</t>
  </si>
  <si>
    <t>TERMO COLEMAN ACERO INOX MATERO X 700 ML VERDE</t>
  </si>
  <si>
    <t>TERMO COLEMAN ACERO INOX MATERO X 700 ML WHITE TRE</t>
  </si>
  <si>
    <t>TERMO CONTIGO ACERO INOX X 1,1 LT DRAGON FRUIT</t>
  </si>
  <si>
    <t>TERMO CONTIGO ACERO INOX X 1,1 LT MATERO ACERO</t>
  </si>
  <si>
    <t>TERMO CONTIGO ACERO INOX X 1,1 LT MATERO AZUL</t>
  </si>
  <si>
    <t>TERMO CONTIGO ACERO INOX X 1,1 LT MATERO NEGRO</t>
  </si>
  <si>
    <t>TERMO CONTIGO ACERO INOX X 739 ML MATERO 360 BLAK</t>
  </si>
  <si>
    <t>TERMO CONTIGO ACERO INOX X 739 ML MATERO 360 STAL</t>
  </si>
  <si>
    <t>TERMO JUGUERO COLEMAN 1,2 LTS AZUL</t>
  </si>
  <si>
    <t>TERMO JUGUERO COLEMAN 1,2 LTS RED</t>
  </si>
  <si>
    <t>TERMO JUGUERO COLEMAN 1,8 LTS AZUL</t>
  </si>
  <si>
    <t>TERMO JUGUERO COLEMAN 1,8 LTS ROJO</t>
  </si>
  <si>
    <t>TIJERA COLEMAN RUGGED MULTI HERRAMIENTA</t>
  </si>
  <si>
    <t>VASO TERMICO COLEMAN BREW X 600 ML ARENA</t>
  </si>
  <si>
    <t>VASO TERMICO COLEMAN BREW X 600 ML AZUL</t>
  </si>
  <si>
    <t>VASO TERMICO COLEMAN BREW X 600 ML NEGRO</t>
  </si>
  <si>
    <t>VASO TERMICO COLEMAN BREW X 600 ML ROJO</t>
  </si>
  <si>
    <t>VASO TERMICO COLEMAN BREW X 600 ML SAGE</t>
  </si>
  <si>
    <t>VASO TERMICO COLEMAN BREW X 600 ML SEAFOAM</t>
  </si>
  <si>
    <t>VASO TERMICO COLEMAN BREW X 600 ML VERDE</t>
  </si>
  <si>
    <t>VASO TERMICO COLEMAN BREW X 600 ML WHITE TRUFFLE</t>
  </si>
  <si>
    <t>VASO TERMICO COLEMAN CLARET X 384 ML ARENA</t>
  </si>
  <si>
    <t>VASO TERMICO COLEMAN CLARET X 384 ML AZUL</t>
  </si>
  <si>
    <t>VASO TERMICO COLEMAN CLARET X 384 ML NEGRO</t>
  </si>
  <si>
    <t>VASO TERMICO COLEMAN CLARET X 384 ML ROJO</t>
  </si>
  <si>
    <t>VASO TERMICO COLEMAN CLARET X 384 ML SEAFOAM</t>
  </si>
  <si>
    <t>VASO TERMICO COLEMAN CLARET X 384 ML VERDE</t>
  </si>
  <si>
    <t>VASO TERMICO COLEMAN CLARET X 384 ML WHITE TRUFFLE</t>
  </si>
  <si>
    <t>VASO TERMICO CONTIGO BYRON 2.0 X 473 ML DRAGON FRU</t>
  </si>
  <si>
    <t>VASO TERMICO CONTIGO BYRON 2.0 X 473 ML JUNIPER</t>
  </si>
  <si>
    <t>VASO TERMICO CONTIGO BYRON X 473 ML VIVACIOUS</t>
  </si>
  <si>
    <t>VASO TERMICO CONTIGO HURON X 473 ML METAL</t>
  </si>
  <si>
    <t>VASO TERMICO CONTIGO HURON X 473 ML PURPURA</t>
  </si>
  <si>
    <t>YERBERA COLEMAN</t>
  </si>
  <si>
    <t>ALPARGATA C/ELASTICO NEGRA T30</t>
  </si>
  <si>
    <t>ALPARGATA C/ELASTICO NEGRA T31</t>
  </si>
  <si>
    <t>ALPARGATA C/ELASTICO NEGRA T32</t>
  </si>
  <si>
    <t>ALPARGATA REF. SUELA PVC AZUL T34</t>
  </si>
  <si>
    <t>ALPARGATA REF. SUELA PVC AZUL T35</t>
  </si>
  <si>
    <t>ALPARGATA REF. SUELA PVC AZUL T36</t>
  </si>
  <si>
    <t>ALPARGATA REF. SUELA PVC AZUL T37</t>
  </si>
  <si>
    <t>ALPARGATA REF. SUELA PVC AZUL T38</t>
  </si>
  <si>
    <t>ALPARGATA REF. SUELA PVC AZUL T39</t>
  </si>
  <si>
    <t>ALPARGATA REF. SUELA PVC AZUL T40</t>
  </si>
  <si>
    <t>ALPARGATA REF. SUELA PVC AZUL T41</t>
  </si>
  <si>
    <t>ALPARGATA REF. SUELA PVC AZUL T42</t>
  </si>
  <si>
    <t>ALPARGATA REF. SUELA PVC AZUL T43</t>
  </si>
  <si>
    <t>ALPARGATA REF. SUELA PVC AZUL T44</t>
  </si>
  <si>
    <t>ALPARGATA REF. SUELA PVC AZUL T45</t>
  </si>
  <si>
    <t>ALPARGATA REF. SUELA PVC AZUL T46</t>
  </si>
  <si>
    <t>ALPARGATA REF. SUELA PVC BLANCA T34</t>
  </si>
  <si>
    <t>ALPARGATA REF. SUELA PVC BLANCA T35</t>
  </si>
  <si>
    <t>ALPARGATA REF. SUELA PVC BLANCA T36</t>
  </si>
  <si>
    <t>ALPARGATA REF. SUELA PVC BLANCA T37</t>
  </si>
  <si>
    <t>ALPARGATA REF. SUELA PVC BLANCA T38</t>
  </si>
  <si>
    <t>Tidy Cats</t>
  </si>
  <si>
    <t>Pet-shop</t>
  </si>
  <si>
    <t>ALPARGATA REF. SUELA PVC BLANCA T39</t>
  </si>
  <si>
    <t>ALPARGATA REF. SUELA PVC BLANCA T40</t>
  </si>
  <si>
    <t>ALPARGATA REF. SUELA PVC BLANCA T41</t>
  </si>
  <si>
    <t>ALPARGATA REF. SUELA PVC BLANCA T42</t>
  </si>
  <si>
    <t>ALPARGATA REF. SUELA PVC BLANCA T43</t>
  </si>
  <si>
    <t>ALPARGATA REF. SUELA PVC BLANCA T44</t>
  </si>
  <si>
    <t>ALPARGATA REF. SUELA PVC BLANCA T45</t>
  </si>
  <si>
    <t>ALPARGATA REF. SUELA PVC BLANCA T46</t>
  </si>
  <si>
    <t>ALPARGATA REF. SUELA PVC BORDO T34</t>
  </si>
  <si>
    <t>ALPARGATA REF. SUELA PVC BORDO T35</t>
  </si>
  <si>
    <t>ALPARGATA REF. SUELA PVC BORDO T36</t>
  </si>
  <si>
    <t>ALPARGATA REF. SUELA PVC BORDO T37</t>
  </si>
  <si>
    <t>ALPARGATA REF. SUELA PVC BORDO T38</t>
  </si>
  <si>
    <t>ALPARGATA REF. SUELA PVC BORDO T39</t>
  </si>
  <si>
    <t>ALPARGATA REF. SUELA PVC BORDO T40</t>
  </si>
  <si>
    <t>ALPARGATA REF. SUELA PVC BORDO T41</t>
  </si>
  <si>
    <t>ALPARGATA REF. SUELA PVC BORDO T42</t>
  </si>
  <si>
    <t>ALPARGATA REF. SUELA PVC BORDO T43</t>
  </si>
  <si>
    <t>ALPARGATA REF. SUELA PVC BORDO T44</t>
  </si>
  <si>
    <t>ALPARGATA REF. SUELA PVC BORDO T45</t>
  </si>
  <si>
    <t>ALPARGATA REF. SUELA PVC BORDO T46</t>
  </si>
  <si>
    <t>ALPARGATA REF. SUELA PVC CARPINCHO T34</t>
  </si>
  <si>
    <t>ALPARGATA REF. SUELA PVC CARPINCHO T35</t>
  </si>
  <si>
    <t>ALPARGATA REF. SUELA PVC CARPINCHO T36</t>
  </si>
  <si>
    <t>ALPARGATA REF. SUELA PVC CARPINCHO T37</t>
  </si>
  <si>
    <t>ALPARGATA REF. SUELA PVC CARPINCHO T38</t>
  </si>
  <si>
    <t>ALPARGATA REF. SUELA PVC CARPINCHO T39</t>
  </si>
  <si>
    <t>ALPARGATA REF. SUELA PVC CARPINCHO T40</t>
  </si>
  <si>
    <t>ALPARGATA REF. SUELA PVC CARPINCHO T41</t>
  </si>
  <si>
    <t>ALPARGATA REF. SUELA PVC CARPINCHO T42</t>
  </si>
  <si>
    <t>ALPARGATA REF. SUELA PVC CARPINCHO T43</t>
  </si>
  <si>
    <t>ALPARGATA REF. SUELA PVC CARPINCHO T44</t>
  </si>
  <si>
    <t>ALPARGATA REF. SUELA PVC CARPINCHO T45</t>
  </si>
  <si>
    <t>ALPARGATA REF. SUELA PVC CARPINCHO T46</t>
  </si>
  <si>
    <t>ALPARGATA REF. SUELA PVC CRUDO T34</t>
  </si>
  <si>
    <t>ALPARGATA REF. SUELA PVC CRUDO T35</t>
  </si>
  <si>
    <t>ALPARGATA REF. SUELA PVC CRUDO T36</t>
  </si>
  <si>
    <t>ALPARGATA REF. SUELA PVC CRUDO T37</t>
  </si>
  <si>
    <t>ALPARGATA REF. SUELA PVC CRUDO T38</t>
  </si>
  <si>
    <t>ALPARGATA REF. SUELA PVC CRUDO T39</t>
  </si>
  <si>
    <t>ALPARGATA REF. SUELA PVC CRUDO T40</t>
  </si>
  <si>
    <t>ALPARGATA REF. SUELA PVC CRUDO T41</t>
  </si>
  <si>
    <t>ALPARGATA REF. SUELA PVC CRUDO T42</t>
  </si>
  <si>
    <t>ALPARGATA REF. SUELA PVC CRUDO T43</t>
  </si>
  <si>
    <t>ALPARGATA REF. SUELA PVC CRUDO T44</t>
  </si>
  <si>
    <t>ALPARGATA REF. SUELA PVC CRUDO T45</t>
  </si>
  <si>
    <t>ALPARGATA REF. SUELA PVC CRUDO T46</t>
  </si>
  <si>
    <t>ALPARGATA REF. SUELA PVC NEGRA T34</t>
  </si>
  <si>
    <t>ALPARGATA REF. SUELA PVC NEGRA T35</t>
  </si>
  <si>
    <t>ALPARGATA REF. SUELA PVC NEGRA T36</t>
  </si>
  <si>
    <t>ALPARGATA REF. SUELA PVC NEGRA T37</t>
  </si>
  <si>
    <t>ALPARGATA REF. SUELA PVC NEGRA T38</t>
  </si>
  <si>
    <t>ALPARGATA REF. SUELA PVC NEGRA T39</t>
  </si>
  <si>
    <t>ALPARGATA REF. SUELA PVC NEGRA T40</t>
  </si>
  <si>
    <t>ALPARGATA REF. SUELA PVC NEGRA T41</t>
  </si>
  <si>
    <t>ALPARGATA REF. SUELA PVC NEGRA T42</t>
  </si>
  <si>
    <t>ALPARGATA REF. SUELA PVC NEGRA T43</t>
  </si>
  <si>
    <t>ALPARGATA REF. SUELA PVC NEGRA T44</t>
  </si>
  <si>
    <t>ALPARGATA REF. SUELA PVC NEGRA T45</t>
  </si>
  <si>
    <t>ALPARGATA REF. SUELA PVC NEGRA T46</t>
  </si>
  <si>
    <t>ALPARGATA REF. SUELA PVC VERDE T34</t>
  </si>
  <si>
    <t>ALPARGATA REF. SUELA PVC VERDE T35</t>
  </si>
  <si>
    <t>ALPARGATA REF. SUELA PVC VERDE T36</t>
  </si>
  <si>
    <t>ALPARGATA REF. SUELA PVC VERDE T37</t>
  </si>
  <si>
    <t>ALPARGATA REF. SUELA PVC VERDE T38</t>
  </si>
  <si>
    <t>ALPARGATA REF. SUELA PVC VERDE T39</t>
  </si>
  <si>
    <t>ALPARGATA REF. SUELA PVC VERDE T40</t>
  </si>
  <si>
    <t>ALPARGATA REF. SUELA PVC VERDE T41</t>
  </si>
  <si>
    <t>ALPARGATA REF. SUELA PVC VERDE T42</t>
  </si>
  <si>
    <t>ALPARGATA REF. SUELA PVC VERDE T43</t>
  </si>
  <si>
    <t>ALPARGATA REF. SUELA PVC VERDE T44</t>
  </si>
  <si>
    <t>ALPARGATA REF. SUELA PVC VERDE T45</t>
  </si>
  <si>
    <t>ALPARGATA REF. SUELA PVC VERDE T46</t>
  </si>
  <si>
    <t>ALPARGATA REFORZADA BASE GOMA AZUL T28</t>
  </si>
  <si>
    <t>-</t>
  </si>
  <si>
    <t>ALPARGATA REFORZADA BASE GOMA AZUL T29</t>
  </si>
  <si>
    <t>ALPARGATA REFORZADA BASE GOMA AZUL T30</t>
  </si>
  <si>
    <t>ALPARGATA REFORZADA BASE GOMA AZUL T31</t>
  </si>
  <si>
    <t>ALPARGATA REFORZADA BASE GOMA AZUL T32</t>
  </si>
  <si>
    <t>ALPARGATA REFORZADA BASE GOMA AZUL T33</t>
  </si>
  <si>
    <t>ALPARGATA REFORZADA BASE GOMA AZUL T34</t>
  </si>
  <si>
    <t>ALPARGATA REFORZADA BASE GOMA AZUL T35</t>
  </si>
  <si>
    <t>ALPARGATA REFORZADA BASE GOMA AZUL T36</t>
  </si>
  <si>
    <t>ALPARGATA REFORZADA BASE GOMA AZUL T37</t>
  </si>
  <si>
    <t>ALPARGATA REFORZADA BASE GOMA AZUL T38</t>
  </si>
  <si>
    <t>ALPARGATA REFORZADA BASE GOMA AZUL T39</t>
  </si>
  <si>
    <t>ALPARGATA REFORZADA BASE GOMA AZUL T40</t>
  </si>
  <si>
    <t>ALPARGATA REFORZADA BASE GOMA AZUL T41</t>
  </si>
  <si>
    <t>ALPARGATA REFORZADA BASE GOMA AZUL T42</t>
  </si>
  <si>
    <t>YPATT17</t>
  </si>
  <si>
    <t>ALPARGATA REFORZADA BASE GOMA AZUL T43</t>
  </si>
  <si>
    <t>ALPARGATA REFORZADA BASE GOMA AZUL T44</t>
  </si>
  <si>
    <t>YENU</t>
  </si>
  <si>
    <t>ALPARGATA REFORZADA BASE GOMA AZUL T45</t>
  </si>
  <si>
    <t>ALPARGATA REFORZADA BASE GOMA AZUL T46</t>
  </si>
  <si>
    <t>ALPARGATA REFORZADA BASE GOMA BORDO T34</t>
  </si>
  <si>
    <t>ALPARGATA REFORZADA BASE GOMA BORDO T35</t>
  </si>
  <si>
    <t>ALPARGATA REFORZADA BASE GOMA BORDO T36</t>
  </si>
  <si>
    <t>ALPARGATA REFORZADA BASE GOMA BORDO T37</t>
  </si>
  <si>
    <t>ALPARGATA REFORZADA BASE GOMA BORDO T38</t>
  </si>
  <si>
    <t>ALPARGATA REFORZADA BASE GOMA BORDO T39</t>
  </si>
  <si>
    <t>ALPARGATA REFORZADA BASE GOMA BORDO T40</t>
  </si>
  <si>
    <t>ALPARGATA REFORZADA BASE GOMA BORDO T41</t>
  </si>
  <si>
    <t>ALPARGATA REFORZADA BASE GOMA BORDO T42</t>
  </si>
  <si>
    <t>ALPARGATA REFORZADA BASE GOMA BORDO T43</t>
  </si>
  <si>
    <t>ALPARGATA REFORZADA BASE GOMA BORDO T44</t>
  </si>
  <si>
    <t>ALPARGATA REFORZADA BASE GOMA BORDO T45</t>
  </si>
  <si>
    <t>ALPARGATA REFORZADA BASE GOMA BORDO T46</t>
  </si>
  <si>
    <t>ALPARGATA REFORZADA BASE GOMA CRUDO T37</t>
  </si>
  <si>
    <t>ALPARGATA REFORZADA BASE GOMA CRUDO T38</t>
  </si>
  <si>
    <t>ALPARGATA REFORZADA BASE GOMA CRUDO T39</t>
  </si>
  <si>
    <t>ALPARGATA REFORZADA BASE GOMA CRUDO T40</t>
  </si>
  <si>
    <t>ALPARGATA REFORZADA BASE GOMA CRUDO T41</t>
  </si>
  <si>
    <t>ALPARGATA REFORZADA BASE GOMA CRUDO T42</t>
  </si>
  <si>
    <t>ALPARGATA REFORZADA BASE GOMA CRUDO T43</t>
  </si>
  <si>
    <t>ALPARGATA REFORZADA BASE GOMA CRUDO T44</t>
  </si>
  <si>
    <t>ALPARGATA REFORZADA BASE GOMA NEGRA T30</t>
  </si>
  <si>
    <t>ALPARGATA REFORZADA BASE GOMA NEGRA T31</t>
  </si>
  <si>
    <t>ALPARGATA REFORZADA BASE GOMA NEGRA T32</t>
  </si>
  <si>
    <t>ALPARGATA REFORZADA BASE GOMA NEGRA T33</t>
  </si>
  <si>
    <t>ALPARGATA REFORZADA BASE GOMA NEGRA T34</t>
  </si>
  <si>
    <t>ALPARGATA REFORZADA BASE GOMA NEGRA T35</t>
  </si>
  <si>
    <t>ALPARGATA REFORZADA BASE GOMA NEGRA T36</t>
  </si>
  <si>
    <t>ALPARGATA REFORZADA BASE GOMA NEGRA T37</t>
  </si>
  <si>
    <t>ALPARGATA REFORZADA BASE GOMA NEGRA T38</t>
  </si>
  <si>
    <t>ALPARGATA REFORZADA BASE GOMA NEGRA T39</t>
  </si>
  <si>
    <t>ALPARGATA REFORZADA BASE GOMA NEGRA T40</t>
  </si>
  <si>
    <t>ALPARGATA REFORZADA BASE GOMA NEGRA T41</t>
  </si>
  <si>
    <t>ALPARGATA REFORZADA BASE GOMA NEGRA T42</t>
  </si>
  <si>
    <t>ALPARGATA REFORZADA BASE GOMA NEGRA T43</t>
  </si>
  <si>
    <t>ALPARGATA REFORZADA BASE GOMA NEGRA T44</t>
  </si>
  <si>
    <t>ALPARGATA REFORZADA BASE GOMA NEGRA T45</t>
  </si>
  <si>
    <t>ALPARGATA REFORZADA BASE GOMA NEGRA T46</t>
  </si>
  <si>
    <t>ALPARGATA REFORZADA BASE GOMA VERDE T34</t>
  </si>
  <si>
    <t>ALPARGATA REFORZADA BASE GOMA VERDE T35</t>
  </si>
  <si>
    <t>ALPARGATA REFORZADA BASE GOMA VERDE T36</t>
  </si>
  <si>
    <t>ALPARGATA REFORZADA BASE GOMA VERDE T37</t>
  </si>
  <si>
    <t>ALPARGATA REFORZADA BASE GOMA VERDE T38</t>
  </si>
  <si>
    <t>ALPARGATA REFORZADA BASE GOMA VERDE T39</t>
  </si>
  <si>
    <t>ALPARGATA REFORZADA BASE GOMA VERDE T40</t>
  </si>
  <si>
    <t>ALPARGATA REFORZADA BASE GOMA VERDE T41</t>
  </si>
  <si>
    <t>YPAMP3</t>
  </si>
  <si>
    <t>ALPARGATA REFORZADA BASE GOMA VERDE T42</t>
  </si>
  <si>
    <t>ALPARGATA REFORZADA BASE GOMA VERDE T43</t>
  </si>
  <si>
    <t>ALPARGATA REFORZADA BASE GOMA VERDE T44</t>
  </si>
  <si>
    <t>ALPARGATA REFORZADA BASE GOMA VERDE T45</t>
  </si>
  <si>
    <t>ALPARGATA REFORZADA BASE GOMA VERDE T46</t>
  </si>
  <si>
    <t>QUERATEN X 20 POMOS</t>
  </si>
  <si>
    <t>REVITAL SOBRE X 51 GRS</t>
  </si>
  <si>
    <t>ACATAK X 5 LITROS</t>
  </si>
  <si>
    <t>AGITA 10 WG X 250 GRS</t>
  </si>
  <si>
    <t>AGITA 10 WG X 400 GRS</t>
  </si>
  <si>
    <t>STORM X 10 KG</t>
  </si>
  <si>
    <t>SERESTO COLLAR P/ PERROS Y GATOS (HASTA 8 KG)</t>
  </si>
  <si>
    <t>SERESTO COLLAR P/PERROS +8 KG</t>
  </si>
  <si>
    <t>MALLA POSTQUIRURGICA Nº 0</t>
  </si>
  <si>
    <t>MALLA POSTQUIRURGICA Nº 1</t>
  </si>
  <si>
    <t>MALLA POSTQUIRURGICA Nº 2</t>
  </si>
  <si>
    <t>MALLA POSTQUIRURGICA Nº 3</t>
  </si>
  <si>
    <t>MALLA POSTQUIRURGICA Nº 4</t>
  </si>
  <si>
    <t>MALLA POSTQUIRURGICA Nº 5</t>
  </si>
  <si>
    <t>ANTIDIARREICO LECHONES BOTELLA X 1 LT</t>
  </si>
  <si>
    <t>ANTIDIARREICO TERNEROS JERINGA</t>
  </si>
  <si>
    <t>POLIVITAMINICO ELMER SOBRE X 250 GRS</t>
  </si>
  <si>
    <t>TETRAELMER X 100 CAPSULAS (10 BLISTER X 10)</t>
  </si>
  <si>
    <t>ACETAZINE COMPRMIDOS ELMER</t>
  </si>
  <si>
    <t>COLIRIO ELMER X 5 ML</t>
  </si>
  <si>
    <t>GRISEOFULVINA POMOS ELMER</t>
  </si>
  <si>
    <t>SUPL. CALCICO MINERAL X 100 GR</t>
  </si>
  <si>
    <t>SUPRESOR DE CELO ELMER INY X 1 ML (AMPOLLA+JGA)</t>
  </si>
  <si>
    <t>SUPRESOR DE CELO ELMER INY X 10 DS</t>
  </si>
  <si>
    <t>YPCTT10</t>
  </si>
  <si>
    <t>SUPRESOR DE CELO ELMER X 8 COMP</t>
  </si>
  <si>
    <t>ACIDO TIOCTICO 2% X 100 ML</t>
  </si>
  <si>
    <t>BROMHEXINA INY X 100 ML (EQUI SYSTEMS)</t>
  </si>
  <si>
    <t>BUTA S 20 INY X 100 ML.</t>
  </si>
  <si>
    <t>BUTAZOLIDINA 1 GR X 50 COMP</t>
  </si>
  <si>
    <t>CLENBUTEROL JARABE X 500 ML</t>
  </si>
  <si>
    <t>D.M.S.O INY X 100 ML</t>
  </si>
  <si>
    <t>D.M.S.O TOPICO X 100 ML</t>
  </si>
  <si>
    <t>DEXA 40 X 100 ML (EQUI SYSTEMS)</t>
  </si>
  <si>
    <t>DEXA 40 X 50 ML (EQUI SYSTEM)</t>
  </si>
  <si>
    <t>EQUI BLOC INY X 100 ML</t>
  </si>
  <si>
    <t>EQUI PIN PLUS X 50 ML</t>
  </si>
  <si>
    <t>EQUI TRIM X 450 GRS</t>
  </si>
  <si>
    <t>EUTANASICO EQUI SYSTEMS X 100 ML</t>
  </si>
  <si>
    <t>GENTA 8% X 100 ML (EQUI SYSTEMS)</t>
  </si>
  <si>
    <t>IODO DOBLE X 500 ML</t>
  </si>
  <si>
    <t>ISOXUPRINA POTE X 500 COMP</t>
  </si>
  <si>
    <t>LIDOCAINA 2% EQUI SYSTEMS X 100 ML</t>
  </si>
  <si>
    <t>NEUROLITICO PLUS INY</t>
  </si>
  <si>
    <t>RANITIDINA 10% EQUI SYSTEMS X 1 LT</t>
  </si>
  <si>
    <t>RANITIDINA 10% EQUI SYSTEMS X 500 ML</t>
  </si>
  <si>
    <t>WAXES POTE X 250 GRS</t>
  </si>
  <si>
    <t>CLORTETRACICLINA FACYT 20% X 1 KG</t>
  </si>
  <si>
    <t>CLORTETRACICLINA FACYT 20% X 25 KG</t>
  </si>
  <si>
    <t>DIFLUBENZURON 0,67% X 25 KG</t>
  </si>
  <si>
    <t>DIFLUBENZURON 8,0% X 1 KG</t>
  </si>
  <si>
    <t>FEBENDAZOLE PREMIX FACYT X 10 KG</t>
  </si>
  <si>
    <t>FEBENDAZOLE PREMIX FACYT X 25 KG</t>
  </si>
  <si>
    <t>LAVA UBRE COMPLETO</t>
  </si>
  <si>
    <t>MONENSINA 10% X 10 KG</t>
  </si>
  <si>
    <t>OXITETRACICLINA FACYT AL 100% X 1 KG</t>
  </si>
  <si>
    <t>OXITETRACICLINA FACYT AL 100% X 5 KG</t>
  </si>
  <si>
    <t>OXITETRACICLINA FACYT AL 5% X 1 KG</t>
  </si>
  <si>
    <t>OXITETRACICLINA FACYT AL 5% X 5 KG</t>
  </si>
  <si>
    <t>OXITETRACICLINA FACYT AL 50% X 5 KG</t>
  </si>
  <si>
    <t>YPCMP3</t>
  </si>
  <si>
    <t>RICOBENDAZOLE FACYT X 100 CC</t>
  </si>
  <si>
    <t>SABORIZANTE CITRICO X KG</t>
  </si>
  <si>
    <t>SULFATO DE COBRE X 2 KG</t>
  </si>
  <si>
    <t>SULFATO DE COBRE X 25 KG</t>
  </si>
  <si>
    <t>SUSTILAC CIVET X 25 KG</t>
  </si>
  <si>
    <t>ETIQUETAS FASCO AMARILLO X 50 UNIDADES</t>
  </si>
  <si>
    <t>ETIQUETAS FASCO FUCSIA X 50 UNID</t>
  </si>
  <si>
    <t>ETIQUETAS FASCO NARANJA X 50 UNID</t>
  </si>
  <si>
    <t>ETIQUETAS FASCO VERDE X 50 UNIDADES</t>
  </si>
  <si>
    <t>FATROXIMIN ESPUMA X 6 UNIDADES</t>
  </si>
  <si>
    <t>HEPAGEN X 100 ML</t>
  </si>
  <si>
    <t>SULFAPRIM X 100 ML (FATRO)</t>
  </si>
  <si>
    <t>DKL 5 X 1 LT</t>
  </si>
  <si>
    <t>DKL 5 X 300 ML</t>
  </si>
  <si>
    <t>G-1 SPRAY X 250 ML</t>
  </si>
  <si>
    <t>ACARIFAV FRASCO X 100 ML</t>
  </si>
  <si>
    <t>CIPERFAV X 1 LT</t>
  </si>
  <si>
    <t>CIPERFAV X 100 CC</t>
  </si>
  <si>
    <t>CIPERFAV X 5 LTS</t>
  </si>
  <si>
    <t>C-K YUYOS FAV 48% X 100 ML (HERBICIDA TOTAL)</t>
  </si>
  <si>
    <t>DERRIBANTE FAV X 100 ML</t>
  </si>
  <si>
    <t>EXHIBIDOR DE PRODUCTOS FAV</t>
  </si>
  <si>
    <t>FLUIDO FAV X 450 ML</t>
  </si>
  <si>
    <t>GEL FAV CUCARACHICIDA JGA X 6 GRS</t>
  </si>
  <si>
    <t>HORMIFAV "LE" X 1 LT</t>
  </si>
  <si>
    <t>HORMIFAV "LE" X 100 ML</t>
  </si>
  <si>
    <t>HORMIFAV "LE" X 250 ML</t>
  </si>
  <si>
    <t>HORMIFAV "LE" X 500 ML</t>
  </si>
  <si>
    <t>YGA7</t>
  </si>
  <si>
    <t>HORMIFAV GRANULADO X 250 GRS</t>
  </si>
  <si>
    <t>HORMIFAV GRANULADO X 500 GRS</t>
  </si>
  <si>
    <t>HORMIFAV GRANULADO X 1 KG</t>
  </si>
  <si>
    <t>HORMIFAV GRANULADO X 5 KG</t>
  </si>
  <si>
    <t>HORMIFAV POLVO 2,5 F DP X 1 KG</t>
  </si>
  <si>
    <t>HORMIFAV POLVO 2,5 F DP X 500 GRS</t>
  </si>
  <si>
    <t>HORMIFAV POLVO 2,5 P X 5 KG</t>
  </si>
  <si>
    <t>MATABABOSAS FAV 1.5 P X 200 G.</t>
  </si>
  <si>
    <t>MOSKYFAV X 25 GR</t>
  </si>
  <si>
    <t>RATIFAV LIQUIDO X 100 ML</t>
  </si>
  <si>
    <t>RATIFAV LIQUIDO X 500 ML</t>
  </si>
  <si>
    <t>RATIFAV LPU X 1 LT</t>
  </si>
  <si>
    <t>RATIFAV LPU X 250 ML</t>
  </si>
  <si>
    <t>RATIFAV LPU X 500 ML</t>
  </si>
  <si>
    <t>RODENTICIDA LC X 1</t>
  </si>
  <si>
    <t>RODIFAV BLOQUE PARAFINICO 6 UNIDADES X 20 GR</t>
  </si>
  <si>
    <t>RODIFAV BLOQUE PARAFINICO X 500 GR</t>
  </si>
  <si>
    <t>RODIFAV CEBO EN BLOQUE CAJA X 100 GRS (DISP. X 10)</t>
  </si>
  <si>
    <t>RODIFAV CEBO EN BLOQUE POTE X 1 KG</t>
  </si>
  <si>
    <t>RODIFAV CEBO EN BLOQUE POTE X 5 KG</t>
  </si>
  <si>
    <t>RODIFAV TRIGO BOLSA X 25 KG</t>
  </si>
  <si>
    <t>RODIFAV TRIGO CAJA 2 X 50 GRS</t>
  </si>
  <si>
    <t>RODIFAV TRIGO DISPENSER 36 UN X 50 GRS</t>
  </si>
  <si>
    <t>RODIFAV TRIGO POTE 50 UNID X 100 GRS</t>
  </si>
  <si>
    <t>RODIFAV TRIGO POTE X 1 KG</t>
  </si>
  <si>
    <t>RODIFAV TRIGO POTE X 5 KG</t>
  </si>
  <si>
    <t>TALQUERA HORMIFAV X 1 KG</t>
  </si>
  <si>
    <t>TALQUERA HORMIFAV X 250 GRS</t>
  </si>
  <si>
    <t>TALQUERA HORMIFAV X 500 GRS</t>
  </si>
  <si>
    <t>APLICADOR FERAPPEASE BOVINO 1 LT</t>
  </si>
  <si>
    <t>APLICADOR FERAPPEASE BOVINO 300 ML</t>
  </si>
  <si>
    <t>FERAPPEASE SPOT ON X 1 LT</t>
  </si>
  <si>
    <t>FERAPPEASE SPOT ON X 300 ML</t>
  </si>
  <si>
    <t>DEXAGEN FLEX X 10 ML</t>
  </si>
  <si>
    <t>DEXAGEN FLEX X 100 ML</t>
  </si>
  <si>
    <t>ENTEROGEN DUO X 100 ML</t>
  </si>
  <si>
    <t>HEPATOGEN X 100 ML</t>
  </si>
  <si>
    <t>HIERROGEN 200 X 100 ML</t>
  </si>
  <si>
    <t>OXITOGEN X 50 ML</t>
  </si>
  <si>
    <t>YGC7</t>
  </si>
  <si>
    <t>SULTRIGEN PLUS X 100 ML</t>
  </si>
  <si>
    <t>TILMIGEN MAX X 100 ML</t>
  </si>
  <si>
    <t>TILMIGEN MAX X 250 ML</t>
  </si>
  <si>
    <t>ACTIVADOR TOTAL CANINOS X 200 ML</t>
  </si>
  <si>
    <t>OVIMIN X 60 CAPSULAS</t>
  </si>
  <si>
    <t>ACEDAN INYECTABLE X 50 ML</t>
  </si>
  <si>
    <t>APETIL GOTAS X 10 ML</t>
  </si>
  <si>
    <t>ATRIBEN INY X 20 ML</t>
  </si>
  <si>
    <t>BIO CLIN GEL ANTIPLACA 0.2% X 20 ML</t>
  </si>
  <si>
    <t>BUTORMIN X 10 ML</t>
  </si>
  <si>
    <t>CARDIAL B 10 MG X 20 COMP</t>
  </si>
  <si>
    <t>CARDIAL B 2.5 MG X 20 COMPRIMIDOS</t>
  </si>
  <si>
    <t>CARDIAL B 5 MG X 20 COMP</t>
  </si>
  <si>
    <t>CARDIAL PALATABLE 5 MG X 30 COMP</t>
  </si>
  <si>
    <t>CEFALEXINA 1 BLISTER X 10 COMP (HOLLIDAY)</t>
  </si>
  <si>
    <t>CICLOSPORINA 2% X 5 ML (HOLLIDAY)</t>
  </si>
  <si>
    <t>CLORALEN GOTAS X 5 ML</t>
  </si>
  <si>
    <t>COLLAR CHICO HOLLIDAY</t>
  </si>
  <si>
    <t>COLLAR GATO HOLLIDAY</t>
  </si>
  <si>
    <t>COLLAR GRANDE HOLLIDAY</t>
  </si>
  <si>
    <t>DIURENE 40 X 30 COMP</t>
  </si>
  <si>
    <t>ECTHOL AP AMBIENTAL X 100 ML</t>
  </si>
  <si>
    <t>ENZIMAX X 20 COMP</t>
  </si>
  <si>
    <t>EPITELIZANTE OCULAR POMO X 3 GRS</t>
  </si>
  <si>
    <t>FLOXADAY 100 MG X 10 COMPRIMIDOS</t>
  </si>
  <si>
    <t>FLOXADAY 200 MG X 10 COMPRIMIDOS</t>
  </si>
  <si>
    <t>FLOXADAY 400 MG X 10 COMPRIMIDOS</t>
  </si>
  <si>
    <t>FLOXADAY INY. X 50 ML</t>
  </si>
  <si>
    <t>FLURBIPROFENO X 5 ML</t>
  </si>
  <si>
    <t>NEOVITA HOLLIDAY X 21 COMP</t>
  </si>
  <si>
    <t>NOMAT BLISTER X 20 GRAGEAS</t>
  </si>
  <si>
    <t>OFLOXACINA HOLLIDAY X 5 ML</t>
  </si>
  <si>
    <t>Agility</t>
  </si>
  <si>
    <t>OFTALDAY CICLOSPORINA 2% HOLLIDAY X 5 ML</t>
  </si>
  <si>
    <t>OHM GATOS X 7 G</t>
  </si>
  <si>
    <t>OHM X 21 COMPRIMIDOS</t>
  </si>
  <si>
    <t>OL-TRANS FLEX X 21 COMPRIMIDOS</t>
  </si>
  <si>
    <t>Categorías</t>
  </si>
  <si>
    <t>OL-TRANS FLEX X 70 COMPRIMIDOS</t>
  </si>
  <si>
    <t>PILERAN GOTAS X 20 ML</t>
  </si>
  <si>
    <t>PILERAN INY X 50 ML</t>
  </si>
  <si>
    <t>PIMOCARD 1,25 MG X 20 COMPRIMIDOS</t>
  </si>
  <si>
    <t>PIMOCARD 2,5 MG X 100 COMPRIMIDOS</t>
  </si>
  <si>
    <t>Subcategorias</t>
  </si>
  <si>
    <t>PIMOCARD 2,5 MG X 20 COMPRIMIDOS</t>
  </si>
  <si>
    <t>PIMOCARD 5 MG X 20 COMPRIMIDOS</t>
  </si>
  <si>
    <t>PREDNISOLONA 1 BLIS X 10 COMP (HOLLIDAY)</t>
  </si>
  <si>
    <t>PRO AGE IQ 180 X 21 COMPRIMIDOS</t>
  </si>
  <si>
    <t>Medicamentos</t>
  </si>
  <si>
    <t>PROTELIV GATOS JERINGA X 7 GR</t>
  </si>
  <si>
    <t>PROTELIV GOTAS X 15 ML</t>
  </si>
  <si>
    <t>PROTELIV PERRO X 21 COMP</t>
  </si>
  <si>
    <t>RELAY C X 10 COMP</t>
  </si>
  <si>
    <t>SOLUBRON 20 X 30 COMPRIMIDOS</t>
  </si>
  <si>
    <t>TORACARD X 10 ML</t>
  </si>
  <si>
    <t>TOTAL FULL CG X 15 ML</t>
  </si>
  <si>
    <t>PERRO</t>
  </si>
  <si>
    <t>TOTAL FULL CG X 150 ML</t>
  </si>
  <si>
    <t>TOTAL FULL GATOS SUSPENSION X 15 ML</t>
  </si>
  <si>
    <t>TOTAL FULL LC GATO X 2 COMP</t>
  </si>
  <si>
    <t>TOTAL FULL LC PERROS 10 KG X 2 COMP</t>
  </si>
  <si>
    <t>GATO</t>
  </si>
  <si>
    <t>TOTAL FULL LC PERROS 20 KG X 2 COMP</t>
  </si>
  <si>
    <t>Peluquería</t>
  </si>
  <si>
    <t>TOTAL FULL LC PERROS 60 KG X 3 COMP</t>
  </si>
  <si>
    <t>VITAMINAS Y PROT. HEPATICOS,ETC</t>
  </si>
  <si>
    <t>TOTAL FULL PERROS SUSPENSION X 15 ML</t>
  </si>
  <si>
    <t>VITAMINICO AEDK GOTAS X 5 ML</t>
  </si>
  <si>
    <t>VIVIRAM X 10 ML</t>
  </si>
  <si>
    <t>CREMAS</t>
  </si>
  <si>
    <t>ACRAL LICK POMO X 50 GRS.</t>
  </si>
  <si>
    <t>ADE CAPS POMO X 30 GR</t>
  </si>
  <si>
    <t>Cirugias</t>
  </si>
  <si>
    <t>LIQUIDOS Y SHAMPOOS</t>
  </si>
  <si>
    <t>CEFALEXINA - PREDNISOLONA IDV X 10 COMP.</t>
  </si>
  <si>
    <t>CEFALEXINA - PREDNISOLONA IDV X 100 COMP.</t>
  </si>
  <si>
    <t>ANTIIINFLAMATORIOS Y ANALGÉSICOS</t>
  </si>
  <si>
    <t>CEFALEXINA - RIFAMPICINA X 30 COMPRIMIDOS</t>
  </si>
  <si>
    <t>Insumos</t>
  </si>
  <si>
    <t>ANTIBIÓTICOS</t>
  </si>
  <si>
    <t>CEFALEXINA PYO 500 X 100 COMP</t>
  </si>
  <si>
    <t>OIDOS</t>
  </si>
  <si>
    <t>CEFALEXINA PYO 500 X 500 COMP</t>
  </si>
  <si>
    <t>CEFALEXINA SEPSIS 500 X 80 COMP</t>
  </si>
  <si>
    <t>PIPETAS</t>
  </si>
  <si>
    <t>CICLOSPORINA ORAL 5% X 30 CC</t>
  </si>
  <si>
    <t>ANTIPARASITARIOS INTERNOS</t>
  </si>
  <si>
    <t>DERM CAPS POMO X 30 GRS</t>
  </si>
  <si>
    <t>OJOS</t>
  </si>
  <si>
    <t>DERMOSEDAN CHAMPU ANTISEBORREICO X 200 GRS</t>
  </si>
  <si>
    <t>PASTILLAS PULGAS,GARRAPATAS,ACAROS</t>
  </si>
  <si>
    <t>CARDIOLOGICOS</t>
  </si>
  <si>
    <t>DERMOSEDAN CHAMPU AVENA X 1 KG</t>
  </si>
  <si>
    <t>CARDINAS</t>
  </si>
  <si>
    <t>DERMOSEDAN CHAMPU CLORHEXIDINA X 200 G</t>
  </si>
  <si>
    <t>DERMOSEDAN CHAMPU PEROXIDO BENZOILO X 200</t>
  </si>
  <si>
    <t>BAÑO</t>
  </si>
  <si>
    <t>DERMOSEDAN CHAMPU USO FRECUENTE X 1 KG</t>
  </si>
  <si>
    <t>HIGIENE</t>
  </si>
  <si>
    <t>DERMOSEDAN CHAMPU USO FRECUENTE X 200 GRS</t>
  </si>
  <si>
    <t>COLLARES</t>
  </si>
  <si>
    <t>DERMOSEDAN CHAMPU USO FRECUENTE X 5 KG</t>
  </si>
  <si>
    <t>DERMOSEDAN CLASSIC X 50 GRS.</t>
  </si>
  <si>
    <t xml:space="preserve">CORREAS  </t>
  </si>
  <si>
    <t>DERMOSEDAN CLOREXHIDINA SOL 4% X 1 LT</t>
  </si>
  <si>
    <t>CORREAS Y COLLARES (KIT)</t>
  </si>
  <si>
    <t>DERMOSEDAN CREMA DE ENJUAGE X 1 LT</t>
  </si>
  <si>
    <t>HUESOS</t>
  </si>
  <si>
    <t>DERMOSEDAN CREMA DE ENJUAGE X 200 GRS</t>
  </si>
  <si>
    <t>ROPA</t>
  </si>
  <si>
    <t>DERMOSEDAN D. CLORHEXIDINA SOLUCION X 200 ML</t>
  </si>
  <si>
    <t>CUCHAS</t>
  </si>
  <si>
    <t>DERMOSEDAN D. CLORHEXIDINA SOLUCION X 50 ML</t>
  </si>
  <si>
    <t>ANTICONCEPTIVAS Y PSEUDOPRENIEZ</t>
  </si>
  <si>
    <t>DERMOSEDAN MRSA NANO AG CHAMPU X 200 ML</t>
  </si>
  <si>
    <t xml:space="preserve">HORMONAL </t>
  </si>
  <si>
    <t>DERMOSEDAN MRSA NANO AG SOLUCION SPRAY X 200 ML</t>
  </si>
  <si>
    <t>DERMOSEDAN MRSA NANO AG SOLUCION X 1 LT</t>
  </si>
  <si>
    <t>ANTICONVULSIVANTES</t>
  </si>
  <si>
    <t>DERMOSEDAN MRSA NANO AG X 50 ML</t>
  </si>
  <si>
    <t>DERMOSEDAN ODORLESS CHAMPU X 200 ML</t>
  </si>
  <si>
    <t>DERMOSEDAN ODORLESS SOL AMBIENTAL X 250 ML</t>
  </si>
  <si>
    <t>DERMOSEDAN SOFT NANO CAP X 200 CC</t>
  </si>
  <si>
    <t>ESTAFILIN A X 10 CC</t>
  </si>
  <si>
    <t>FORMULA MAC DONALD GEL CHAMPU X 200 GRS</t>
  </si>
  <si>
    <t>FORMULA MAC DONALD GEL-CHAMPU X 1 KG</t>
  </si>
  <si>
    <t>FORMULA MAC DONALD MOUSSE OTICO X 50 GRS</t>
  </si>
  <si>
    <t>GETS "PLUS" PALATABLE 10 A 20 KG</t>
  </si>
  <si>
    <t>GETS "PLUS" PALATABLE 2,5 A 5 KG</t>
  </si>
  <si>
    <t>GETS "PLUS" PALATABLE 5,1 A 10 KG</t>
  </si>
  <si>
    <t>GETS PALATABLE 42 A 63 KG X 50 BLISTER</t>
  </si>
  <si>
    <t>GETS PALATABLE CANINO 1,4 A 2,7 KG</t>
  </si>
  <si>
    <t>GETS PALATABLE CANINO 10,5 A 21 KG</t>
  </si>
  <si>
    <t>GETS PALATABLE CANINO 2,7 A 5,3 KG</t>
  </si>
  <si>
    <t>GETS PALATABLE CANINO 21 A 42 KG</t>
  </si>
  <si>
    <t>GETS PALATABLE CANINO 42 A 63 KG</t>
  </si>
  <si>
    <t>GETS PALATABLE CANINO 5,3 A 10,5 KG</t>
  </si>
  <si>
    <t>GETS SPOT ON FELINO (FIPRONIL)</t>
  </si>
  <si>
    <t>GETS SPOT ON PERRO 11 A 20 (FIPRONIL)</t>
  </si>
  <si>
    <t>GETS SPOT ON PERRO 21 A 40 (FIPRONIL)</t>
  </si>
  <si>
    <t>GETS SPOT ON PERRO 40 A 60 (FIPRONIL)</t>
  </si>
  <si>
    <t>GETS SPOT ON PERRO HASTA 10 (FIPRONIL)</t>
  </si>
  <si>
    <t>KETOCREM POMO X 50 GRS</t>
  </si>
  <si>
    <t>NAC ANTISEPTICO X 4 GRS</t>
  </si>
  <si>
    <t>PACHY DERM X 30 GRS</t>
  </si>
  <si>
    <t>PREDNISOLONA PYO 5 X 12 COMPRIMIDOS</t>
  </si>
  <si>
    <t>PREDNISOLONA PYO 5 X 180 COMPRIMIDOS</t>
  </si>
  <si>
    <t>PREDNISOLONA PYO 10 X 500 COMPRIMIDOS</t>
  </si>
  <si>
    <t>PREDNISOLONA PYO 20 X 100 COMPRIMIDOS</t>
  </si>
  <si>
    <t>PREDNISOLONA PYO 20 X 500 COMPRIMIDOS</t>
  </si>
  <si>
    <t>PREDNISOLONA PYO 40 X 40 COMPRIMIDOS</t>
  </si>
  <si>
    <t>PYO DERM 1000 X 200 COMP</t>
  </si>
  <si>
    <t>PYO DERM 1000 X 40 COMP</t>
  </si>
  <si>
    <t>PYO DERM 125 X 12 COMP</t>
  </si>
  <si>
    <t>PYO DERM 125 X 180 COMP</t>
  </si>
  <si>
    <t>PYO DERM 500 X 10 COMP</t>
  </si>
  <si>
    <t>PYO DERM 500 X 100 COMP</t>
  </si>
  <si>
    <t>PYO DERM 500 X 500 COMP</t>
  </si>
  <si>
    <t>ATOMO DESINFLAMANTE POTE X 30 GRS</t>
  </si>
  <si>
    <t>ATOMO DESINFLAMANTE POTE X 50 GRS</t>
  </si>
  <si>
    <t>ATOMO DESINFLAMANTE POTE X 100 GRS</t>
  </si>
  <si>
    <t>ATOMO DESINFLAMANTE POTE X 200 GRS</t>
  </si>
  <si>
    <t>ATOMO DESINFLAMANTE POTE X 400 GRS</t>
  </si>
  <si>
    <t>ATOMO ESTRICNOBE X 10 CC</t>
  </si>
  <si>
    <t>ATOMO ESTRICNOBE X 30 CC</t>
  </si>
  <si>
    <t>ATOMO LINDAVET X 100 GRS (CURABICH. PASTA)</t>
  </si>
  <si>
    <t>ATOMO PAPILOMATOSIS X 30 CC</t>
  </si>
  <si>
    <t>ATOMO PAPILOMATOSIS X 50 CC</t>
  </si>
  <si>
    <t>ATOMO PAPILOMATOSIS X 100 CC</t>
  </si>
  <si>
    <t>ACETRIM X 10 CC (RJ)</t>
  </si>
  <si>
    <t>BENZA - VITA A CREMA DE ORDEÑE X 1 KG.</t>
  </si>
  <si>
    <t>BENZA - VITA A CREMA DE ORDEÑE X 240 GRS</t>
  </si>
  <si>
    <t>BENZA - VITA A CREMA DE ORDEÑO X 480 GRS</t>
  </si>
  <si>
    <t>CLOSANTEL AL 12.5% INY. X 100</t>
  </si>
  <si>
    <t>CLOSANTEL AL 12.5% INY. X 250</t>
  </si>
  <si>
    <t>CLOSANTEL AL 12.5% INY. X 500</t>
  </si>
  <si>
    <t>ESTREPTOCILINA 5 MILLONES</t>
  </si>
  <si>
    <t>INDIO CURABICHERA EN PASTA X 1 KG</t>
  </si>
  <si>
    <t>INDIO CURABICHERA EN PASTA X 240 GRS</t>
  </si>
  <si>
    <t>INDIO CURABICHERA EN PASTA X 480 GRS</t>
  </si>
  <si>
    <t>INMUNOBENDAZOL OVINO X 1 LT</t>
  </si>
  <si>
    <t>INMUNOBENDAZOL OVINO X 500 ML</t>
  </si>
  <si>
    <t>INMUNOBENDAZOL X 1 LT</t>
  </si>
  <si>
    <t>INMUNOBENDAZOL X 5 LTS</t>
  </si>
  <si>
    <t>MOTILSEC X 100 COMPRIMIDOS</t>
  </si>
  <si>
    <t>POLICALMFOS X 500 CC</t>
  </si>
  <si>
    <t>POTEN FORTE B1-B6-B12 X 10 CC</t>
  </si>
  <si>
    <t>SUERO ANTIOFIDICO X 10 CC</t>
  </si>
  <si>
    <t>SUERO ANTITETANICO</t>
  </si>
  <si>
    <t>TETRACICLINA "C" CAPS X 96</t>
  </si>
  <si>
    <t>VACUNA ANTITETANICA X 4 CC</t>
  </si>
  <si>
    <t>AMLODIPINA CAT X 20 COMP</t>
  </si>
  <si>
    <t>AZATIOPRINA 10 MG X 20 COMP</t>
  </si>
  <si>
    <t>BRO K 300 X 150 COMPRIMIDOS</t>
  </si>
  <si>
    <t>BRO K 300 X 20 COMPRIMIDOS</t>
  </si>
  <si>
    <t>BRO K 600 X 120 COMPRIMIDOS</t>
  </si>
  <si>
    <t>BRO K 600 X 20 COMPRIMIDOS</t>
  </si>
  <si>
    <t>CARDIOVIER E 10 KG X 100 COMPRIMIDOS</t>
  </si>
  <si>
    <t>CARDIOVIER E 20 KG X 20 COMPRIMIDOS</t>
  </si>
  <si>
    <t>CARDIOVIER E 20 KG X 100 COMPRIMIDOS</t>
  </si>
  <si>
    <t>CARDIOVIER 2.5 MG X 20 COMPRIMIDOS</t>
  </si>
  <si>
    <t>CARDIOVIER 2.5 X 100 COMPRIMIDOS</t>
  </si>
  <si>
    <t>CARTILAGO FORTE SENIOR X 120 COMP</t>
  </si>
  <si>
    <t>CARTILAGO FORTE X 120 COMPR</t>
  </si>
  <si>
    <t>CONTAL 15 X 100 COMPRIMIDOS</t>
  </si>
  <si>
    <t>CONTAL 15 X 25 COMPRIMIDOS</t>
  </si>
  <si>
    <t>CONTAL 15 X 300 COMPRIMIDOS</t>
  </si>
  <si>
    <t>CONTAL 150 X 100 COMP</t>
  </si>
  <si>
    <t>CONTAL 60 X 180 COMP</t>
  </si>
  <si>
    <t>CORULETS HOSPITALARIO (10 UNIDADES X 5 ML)</t>
  </si>
  <si>
    <t>EMULSION OFTALMICA JANVIER X 5 ML</t>
  </si>
  <si>
    <t>FUROSEMIDA JANVIER X 20 COMPRIMIDOS</t>
  </si>
  <si>
    <t>FUROSEMIDA JANVIER X 200 COMPRIMIDOS</t>
  </si>
  <si>
    <t>KETOCONAZOL 2% SOLUCION SPRAY X 40 ML</t>
  </si>
  <si>
    <t>KETOCONAZOL CREMA X 30 GR</t>
  </si>
  <si>
    <t>KETOCONAZOL JANVIER 200 MG X 100 COMPRIMIDOS</t>
  </si>
  <si>
    <t>NEUROGREEN X 60 COMP</t>
  </si>
  <si>
    <t>AFFORD</t>
  </si>
  <si>
    <t>ODONTOBIOTIC X 10 COMP</t>
  </si>
  <si>
    <t>ODONTOBIOTIC X 100 COMP</t>
  </si>
  <si>
    <t>OFLOXACINA-CONDROITIN X 5 ML</t>
  </si>
  <si>
    <t>OTOVIER CLASSIC X 20 ML</t>
  </si>
  <si>
    <t>OTOVIER GEL OLEOSO X 25 ML</t>
  </si>
  <si>
    <t>OTOVIER ORAL X 60 COMP</t>
  </si>
  <si>
    <t>OTOVIER PUNTA OREJAS X 10 ML</t>
  </si>
  <si>
    <t>PANTOVIER 10 MG X 10 COMP</t>
  </si>
  <si>
    <t>PANTOVIER 10 MG X 100 COMP</t>
  </si>
  <si>
    <t>PIMODEN "COMPLEX" 10 KG X 100 COMP.</t>
  </si>
  <si>
    <t>PIMODEN "COMPLEX" 20 KG X 100 COMP.</t>
  </si>
  <si>
    <t>PIMODEN "COMPLEX" 5 KG X 100 COMP.</t>
  </si>
  <si>
    <t>PIMODEN 10 MG X 100 COMP.</t>
  </si>
  <si>
    <t>PIMODEN 10 MG X 20 COMP.</t>
  </si>
  <si>
    <t>PIMODEN 2.5 MG X 100 COMP.</t>
  </si>
  <si>
    <t>PIMODEN 2.50 MG X 20 COMP.</t>
  </si>
  <si>
    <t>PIMODEN 5 MG X 100 COMP.</t>
  </si>
  <si>
    <t>PIMODEN 5 MG X 20 COMP.</t>
  </si>
  <si>
    <t>ml</t>
  </si>
  <si>
    <t>SUSP. OFTALMICA X 5 ML (OFLOXACINA-PREDNISOLONA)</t>
  </si>
  <si>
    <t>TEST DE FLUORESCEINA X 5 ML</t>
  </si>
  <si>
    <t>TRAMAVIER X 120 COMPRIMIDOS</t>
  </si>
  <si>
    <t>UROVIER X 60 COMP</t>
  </si>
  <si>
    <t>ZAZEN X 60 COMP</t>
  </si>
  <si>
    <t>RP GATOS ADULTOS X 2 KG</t>
  </si>
  <si>
    <t>RP PERROS ADULTOS X 10 KG</t>
  </si>
  <si>
    <t>RP PERROS ADULTOS X 2 KG</t>
  </si>
  <si>
    <t>ASCARICIDA GOTAS X 15 ML</t>
  </si>
  <si>
    <t>ATROPINA SULFATO JM X 10 ML</t>
  </si>
  <si>
    <t>ATROPINA SULFATO JM X 50 ML</t>
  </si>
  <si>
    <t>ALLIGNANI HNOS P.A.</t>
  </si>
  <si>
    <t>CEPHILEXINE X 50 COMP</t>
  </si>
  <si>
    <t>COLOTRIN +HA CAT POMO X 80 GRS (PALATABLE)</t>
  </si>
  <si>
    <t>COLOTRIN +HA DOG POMO X 200 GRS (PALATABLE)</t>
  </si>
  <si>
    <t>COLOTRIN +HA DOG POMO X 80 GRS (PALATABLE)</t>
  </si>
  <si>
    <t>COLOTRIN PALATABLE X 30 COM</t>
  </si>
  <si>
    <t>COMPRIMIDO BLOCK! SPINO L (20 A 30 KG)</t>
  </si>
  <si>
    <t>COMPRIMIDO BLOCK! SPINO M (10 A 20 KG)</t>
  </si>
  <si>
    <t>COMPRIMIDO BLOCK! SPINO S (5 A 10 KG)</t>
  </si>
  <si>
    <t>COMPRIMIDO BLOCK! SPINO XL (30 A 40 KG)</t>
  </si>
  <si>
    <t>COMPRIMIDO BLOCK! SPINO XS (2.5 A 5 KG)</t>
  </si>
  <si>
    <t>DEXA 4 JM INY X 50 ML</t>
  </si>
  <si>
    <t>DEXAMETASONA INY JM X 50 ML</t>
  </si>
  <si>
    <t>DEXASHOCK 20 X 25 ML (JM)</t>
  </si>
  <si>
    <t>ENROFLOXACINA INY. JM X 50 ML</t>
  </si>
  <si>
    <t>FLEXAPET X 30 COMP</t>
  </si>
  <si>
    <t>GRUPO B TOTAL 5000 X 50 ML (JOHN MARTIN)</t>
  </si>
  <si>
    <t>ISIQUICK X 4 GRS</t>
  </si>
  <si>
    <t>MELOXIVET COMPRIMIDO X 10 COMP</t>
  </si>
  <si>
    <t>MELOXIVET COMPRIMIDO X 100 COMP</t>
  </si>
  <si>
    <t>MELOXIVET INYECTABLE X 10 ML</t>
  </si>
  <si>
    <t>NOVOTIOC "50" X 20 GRAGEAS</t>
  </si>
  <si>
    <t>NOVOTIOC INY X 50 CC</t>
  </si>
  <si>
    <t>NOVOTIOC X 20 GRAGEAS</t>
  </si>
  <si>
    <t>NUTRIPET PALATABLE X 80 GRS</t>
  </si>
  <si>
    <t>BROUWER PA</t>
  </si>
  <si>
    <t>PANTOLIV X 30 COMP</t>
  </si>
  <si>
    <t>PIPETA BLOCK! FIPRO GATOS</t>
  </si>
  <si>
    <t>PIPETA BLOCK! FIPRO L (21 A 40 KG)</t>
  </si>
  <si>
    <t>PIPETA BLOCK! FIPRO M (11 A 20 KG)</t>
  </si>
  <si>
    <t>PIPETA BLOCK! FIPRO S (2 A 10 KG)</t>
  </si>
  <si>
    <t>PIPETA BLOCK! FIPRO XL (+40 KG)</t>
  </si>
  <si>
    <t>PREGABALIV 20 MG X 20 COMP</t>
  </si>
  <si>
    <t>PREGABALIV 80 MG X 20 COMP</t>
  </si>
  <si>
    <t>PUPPYLINE PASTA X 80 GRS</t>
  </si>
  <si>
    <t>RANITIDINA INY JM 20 X 50 ML</t>
  </si>
  <si>
    <t>RANITIDINA JM 50 MG X 10 COMP</t>
  </si>
  <si>
    <t>RANITIDINA JM 50 MG X 100 COMP</t>
  </si>
  <si>
    <t>SENIORLINE CAT X 60 COMP</t>
  </si>
  <si>
    <t>SENIORLINE DOG X 40 COMP</t>
  </si>
  <si>
    <t>SILIHEPATIC X 30 COMP</t>
  </si>
  <si>
    <t>TOLZURIL X 3 COMP</t>
  </si>
  <si>
    <t>TONICO TOTAL GATO PALATABLE X 80 GR</t>
  </si>
  <si>
    <t>TONICO TOTAL PERRO PALATABLE X 80 GR</t>
  </si>
  <si>
    <t>TONICO TOTAL X 900 ML</t>
  </si>
  <si>
    <t>TRAMADOL 20 MG X 10 COMP</t>
  </si>
  <si>
    <t>TRAMADOL 20 MG X 60 COMP</t>
  </si>
  <si>
    <t>TRAMADOL GOTAS X 10 ML</t>
  </si>
  <si>
    <t>TRAMADOL HOSPITALARIO X 120 COMP</t>
  </si>
  <si>
    <t>TRAMADOL INYECTABLE X 50 ML</t>
  </si>
  <si>
    <t>TRAMADOL X 20 COMP</t>
  </si>
  <si>
    <t>URSOLIV JARABE X 75 ML</t>
  </si>
  <si>
    <t>VITAMINA K1 X 10 ML</t>
  </si>
  <si>
    <t>ANA-BOLDE INY X 10 ML</t>
  </si>
  <si>
    <t>APLONAL 5% INY X 12 ML</t>
  </si>
  <si>
    <t>APLONAL 5% INY X 50 ML</t>
  </si>
  <si>
    <t>ASPOPAR X 100 ML</t>
  </si>
  <si>
    <t>BACTROFLAY TAGS (CARAVANAS)</t>
  </si>
  <si>
    <t>BACTROFLAY X 1 LT</t>
  </si>
  <si>
    <t>BACTROFLAY X 5 LITROS</t>
  </si>
  <si>
    <t>BACTROVET INYECTABLE X 200 ML</t>
  </si>
  <si>
    <t>BACTROVET INYECTABLE X 50 ML</t>
  </si>
  <si>
    <t>BACTROVET INYECTABLE X 500 ML</t>
  </si>
  <si>
    <t>BACTROVET ORO AEROSOL X 440</t>
  </si>
  <si>
    <t>BACTROVET PLATA AEROSOL X 440 ML</t>
  </si>
  <si>
    <t>BACTROVET PLATA PASTA POMO X 150 GRS</t>
  </si>
  <si>
    <t>BACTROVET PLATA PASTA X 1,2 KG</t>
  </si>
  <si>
    <t>BACTROVET PLATA PASTA X 455 GRS</t>
  </si>
  <si>
    <t>BTK 35 AEROSOL X 440 ML</t>
  </si>
  <si>
    <t>Categoria</t>
  </si>
  <si>
    <t>CONTROL PART INY X 50 ML (CLENBUTEROL)</t>
  </si>
  <si>
    <t>DARDOX 7X X 5 LTS</t>
  </si>
  <si>
    <t>grs</t>
  </si>
  <si>
    <t>DIAFIN 2 X 20</t>
  </si>
  <si>
    <t>DIAFIN N X 20 CC</t>
  </si>
  <si>
    <t>DUALTAP BACTROVET ORO X 440</t>
  </si>
  <si>
    <t>DUALTAP BACTROVET PLATA X 440 ML</t>
  </si>
  <si>
    <t>ENERGO-MAG X 250 ML</t>
  </si>
  <si>
    <t>GLYPONDIN 4 MULTIMINERAL X 250 ML</t>
  </si>
  <si>
    <t>GLYPONDIN 4 MULTIMINERAL X 500 ML</t>
  </si>
  <si>
    <t>GLYPONDIN X 248 ML</t>
  </si>
  <si>
    <t>HEMODINE GR X 100 ML</t>
  </si>
  <si>
    <t>KENSOL X 10 ML</t>
  </si>
  <si>
    <t>ELMER P.A</t>
  </si>
  <si>
    <t>Fisioterapia</t>
  </si>
  <si>
    <t>KOBRA CURABICHERA AEROSOL X 440 ML</t>
  </si>
  <si>
    <t>KURAMICINA "MAX" X 250 ML</t>
  </si>
  <si>
    <t>KURAMICINA X 40 ML</t>
  </si>
  <si>
    <t>KURAMICINA X 100 ML</t>
  </si>
  <si>
    <t>KURAMICINA X 250 ML</t>
  </si>
  <si>
    <t>KURAMICINA X 500 ML</t>
  </si>
  <si>
    <t>OXIMAX X 500 GR</t>
  </si>
  <si>
    <t>RANDON TITANIUM X 500 ML</t>
  </si>
  <si>
    <t>REVIVON X 600 ML</t>
  </si>
  <si>
    <t>RICOVERM X 625</t>
  </si>
  <si>
    <t>SEDOMIN X 20 ML</t>
  </si>
  <si>
    <t>SEDOMIN X 50 ML</t>
  </si>
  <si>
    <t>TRATTO PASTA X 26 GRS (FENILBUTAZONA)</t>
  </si>
  <si>
    <t>VERMIPLEX PLUS JERINGA</t>
  </si>
  <si>
    <t>VERMKOM APR X 1 LT</t>
  </si>
  <si>
    <t>VERMKOM APR X 4 LTS</t>
  </si>
  <si>
    <t>APLONAL 1% INY X 12 ML</t>
  </si>
  <si>
    <t>APLONAL 20 MG X 12 COMPRIMIDOS</t>
  </si>
  <si>
    <t>ARTROSAN EQUINO HI-JECT X 2 ML</t>
  </si>
  <si>
    <t>ARTROSAN EQUINO INTRAMUSCULAR X 6 ML</t>
  </si>
  <si>
    <t>AURIX CLEANSER X 120 ML</t>
  </si>
  <si>
    <t>AURIX CLEANSER X 30 ML</t>
  </si>
  <si>
    <t>AURIX MAXIUM X 30 ML</t>
  </si>
  <si>
    <t>AURIX THERAPY X 25 ML</t>
  </si>
  <si>
    <t>BACTROPROFEN X 130 COMP</t>
  </si>
  <si>
    <t>BACTROPROFEN X 20 COMP</t>
  </si>
  <si>
    <t>BACTROVET CHICO ORO PETS X 250 ML</t>
  </si>
  <si>
    <t>BACTROVET CHICO PETS X 250 ML</t>
  </si>
  <si>
    <t>BASKEN 4 ACTIVE PERRO CHICO - 10 KG</t>
  </si>
  <si>
    <t>BASKEN 4 ACTIVE PERRO GIGANTE - 60 KG</t>
  </si>
  <si>
    <t>BASKEN 4 ACTIVE PERRO GRANDE - 40 KG</t>
  </si>
  <si>
    <t>BASKEN 4 ACTIVE PERRO MEDIANO - 20 KG</t>
  </si>
  <si>
    <t>HOLLIDAY</t>
  </si>
  <si>
    <t>BASKEN DOBLE 20 X 4 COMP</t>
  </si>
  <si>
    <t>BASKEN DOBLE 40 X 4 COMP</t>
  </si>
  <si>
    <t>BASKEN DOBLE 40 X 60 COMP - HOSPITALARIO</t>
  </si>
  <si>
    <t>BASKEN DOBLE 60 X 3 COMP</t>
  </si>
  <si>
    <t>BASKEN DOBLE 60 X 60 COMP - HOSPITALARIO</t>
  </si>
  <si>
    <t>BASKEN PLUS GATOS X 4 COMP</t>
  </si>
  <si>
    <t>BASKEN PLUS PERRO CHICO X 4 COMP</t>
  </si>
  <si>
    <t>BASKEN SUSPENSION X 15 ML</t>
  </si>
  <si>
    <t>CESTODAN INY INDOLORO X 10 ML</t>
  </si>
  <si>
    <t>CESTODAN ORAL X 4 COMP</t>
  </si>
  <si>
    <t>CIDAR DISPLAY POR 21 UNIDADES (3 DE C/U)</t>
  </si>
  <si>
    <t>CIDAR GATOS 1,5 A 3 KG</t>
  </si>
  <si>
    <t>CIDAR GATOS 3 A 6 KG</t>
  </si>
  <si>
    <t>CIDAR PERROS DE 1,5 A 3 KG</t>
  </si>
  <si>
    <t>CIDAR PERROS DE 12,1 A 25 KG</t>
  </si>
  <si>
    <t>CIDAR PERROS DE 25,1 A 50 KG</t>
  </si>
  <si>
    <t>CIDAR PERROS DE 3,1 A 6 KG</t>
  </si>
  <si>
    <t>CIDAR PERROS DE 6,1 A 12 KG</t>
  </si>
  <si>
    <t>CORTIDURAL 20 MG X 5 ML</t>
  </si>
  <si>
    <t>DOMINAL COLLAR CACHORRO</t>
  </si>
  <si>
    <t>DOMINAL COLLAR GATO</t>
  </si>
  <si>
    <t>DOMINAL COLLAR PERRO EXTRA GRANDE</t>
  </si>
  <si>
    <t>DOMINAL COLLAR PERRO GRANDE</t>
  </si>
  <si>
    <t>DOMINAL COLLAR PERRO MEDIANO</t>
  </si>
  <si>
    <t>DOMINAL POLVO X 100 GR</t>
  </si>
  <si>
    <t>DOMINAL SHAMPOO X 250 ML</t>
  </si>
  <si>
    <t>DOMINAL SPRAY X 100 ML</t>
  </si>
  <si>
    <t>DOMINAL SPRAY X 250 ML</t>
  </si>
  <si>
    <t>ECP ESTRADIOL X 10 ML</t>
  </si>
  <si>
    <t>EPISOL X 18 COMP</t>
  </si>
  <si>
    <t>FOGGER TEA LARVOX X 419 ML</t>
  </si>
  <si>
    <t>JABON FAUNA X 80 GRS</t>
  </si>
  <si>
    <t>KURADERM PLATA AEROSOL X 250 GRS</t>
  </si>
  <si>
    <t>KURADERM PLATA X 100 ML</t>
  </si>
  <si>
    <t>NUTRICAL X 120 ML</t>
  </si>
  <si>
    <t>POLIDERM GOTAS X 15 ML</t>
  </si>
  <si>
    <t>REPEXXIN COLLAR 25 A 50 KG</t>
  </si>
  <si>
    <t>REPEXXIN COLLAR 4 A 25 KG</t>
  </si>
  <si>
    <t>SERENEX CANINO "SPRAY" X 25 ML</t>
  </si>
  <si>
    <t>SERENEX CANINO "SPRAY" X 70 ML</t>
  </si>
  <si>
    <t>SERENEX CANINO CAJA CON REPUESTO DIFUSOR X 42 ML</t>
  </si>
  <si>
    <t>SERENEX CANINO DIFUSOR X 42 ML (KIT DIFUSOR + REP)</t>
  </si>
  <si>
    <t>SERENEX FELINO "SPRAY" X 25 ML</t>
  </si>
  <si>
    <t>SERENEX FELINO "SPRAY" X 70 ML</t>
  </si>
  <si>
    <t>SERENEX FELINO CAJA CON REPUESTO DIFUSOR X 42 ML</t>
  </si>
  <si>
    <t>SERENEX FELINO DIFUSOR X 42 ML (KIT DIFUSOR + REP)</t>
  </si>
  <si>
    <t>SINGESTAR HI-JECT JERINGA X 1 ML</t>
  </si>
  <si>
    <t>SINGESTAR MP X 1 ML EN CAJA POR 5 FRASCOS</t>
  </si>
  <si>
    <t>SINGESTAR MP X 3 ML</t>
  </si>
  <si>
    <t>SINGESTAR X 8 COMP</t>
  </si>
  <si>
    <t>IDV</t>
  </si>
  <si>
    <t>TEA AEROSOL X 170 ML</t>
  </si>
  <si>
    <t>TEA COLLAR CACHORRO</t>
  </si>
  <si>
    <t>TEA COLLAR GATOS</t>
  </si>
  <si>
    <t>TEA COLLAR PERRO EXTRA GRANDE</t>
  </si>
  <si>
    <t>TEA COLLAR PERRO GRANDE</t>
  </si>
  <si>
    <t>TEA COLLAR PERRO MEDIANO</t>
  </si>
  <si>
    <t>TEA DERMASOFT X 120 ML</t>
  </si>
  <si>
    <t>TEA LARVOX X 440 ML</t>
  </si>
  <si>
    <t>TEA LIQUIDO X 70 ML</t>
  </si>
  <si>
    <t>TEA LIQUIDO X 120 ML</t>
  </si>
  <si>
    <t>TEA PIPETA GATO HASTA 5 KG</t>
  </si>
  <si>
    <t>TEA PIPETA PERROS 5 A 10 KG</t>
  </si>
  <si>
    <t>TEA PIPETA PERROS 10 A 20 KG</t>
  </si>
  <si>
    <t>TEA PIPETA PERROS 20 A 40 KG</t>
  </si>
  <si>
    <t>TEA PIPETA PERROS 40 A 60 KG</t>
  </si>
  <si>
    <t>TEA PIPETA PERROS HASTA 5 KG</t>
  </si>
  <si>
    <t>TEA POLVO X 80 GRS</t>
  </si>
  <si>
    <t>VETANARCOL 50 INY X 50 ML</t>
  </si>
  <si>
    <t>CALCICOMPLEX COMP PALAT 3000 MG X 30 COMP</t>
  </si>
  <si>
    <t>CARDIO 3 10 KG X 20 COMP</t>
  </si>
  <si>
    <t>CARDIO 3 20 KG X 20 COMP</t>
  </si>
  <si>
    <t>CARDIO 3 40 KG X 20 COMP</t>
  </si>
  <si>
    <t>CARDIO 3 5 KG X 20 COMP</t>
  </si>
  <si>
    <t>CARDIOBENDAN 10 MG X 100 COMP</t>
  </si>
  <si>
    <t>CARDIOBENDAN 2,5 MG X 100 COMP</t>
  </si>
  <si>
    <t>CARDIOBENDAN 2,5 MG X 20 COMP</t>
  </si>
  <si>
    <t>CARDIOBENDAN 5 MG X 100 COMP</t>
  </si>
  <si>
    <t>CARDIOBENDAN 5 MG X 20 COMP</t>
  </si>
  <si>
    <t>CARDIODARONA 200 MG X 20 COMP</t>
  </si>
  <si>
    <t>CARDIODARONA 50 MG X 20 COMP</t>
  </si>
  <si>
    <t>CARDIONAFIL 25 MG X 10 COMP</t>
  </si>
  <si>
    <t>CARDIONAFIL 50 MG X 10 COMP</t>
  </si>
  <si>
    <t>CARDIOTENOL 12,5 MG X 20 COMP</t>
  </si>
  <si>
    <t>CARDIOTENOL 6,25 MG X 20 COMP</t>
  </si>
  <si>
    <t>CARDIOZEPRIL 10 MG X 20 COMP</t>
  </si>
  <si>
    <t>CARDIOZEPRIL 2,5 MG X 20 COMP</t>
  </si>
  <si>
    <t>CARDIOZEPRIL 20 MG X 20 COMP</t>
  </si>
  <si>
    <t>CARDIOZEPRIL 5 MG X 20 COMP</t>
  </si>
  <si>
    <t>CEFALEXINA KUALKOS 500 MG X 100 COMPRIMIDOS</t>
  </si>
  <si>
    <t>CEFALEXINA SUSPENSION KUALCOS (POLVO X 25 GRS)</t>
  </si>
  <si>
    <t>CLORMADINONA 2 MG KUALCOS X 400 COMP</t>
  </si>
  <si>
    <t>CLORMADINONA 4 MG KUALCOS X 100 COMP</t>
  </si>
  <si>
    <t>COMPLEMIN PALAT. 3000 MG X 30 COMPRIMIDOS</t>
  </si>
  <si>
    <t>DEXAMETASONA INY KUALCOS X 50 CC</t>
  </si>
  <si>
    <t>DEXAMETASONA KUALCOS 0.5 MG X 100 COMP</t>
  </si>
  <si>
    <t>DOMPERIDONA GOTAS X 20 ML</t>
  </si>
  <si>
    <t>DOMPERIDONA INYECTABLE X 50 ML</t>
  </si>
  <si>
    <t>DOXICICLINA KUALCOS 100 MG X 100 COMP</t>
  </si>
  <si>
    <t>DOXICICLINA KUALCOS 200 MG X 100 COMP</t>
  </si>
  <si>
    <t>DOXICICLINA KUALCOS 50 MG X 100 COMP</t>
  </si>
  <si>
    <t>Comprimidos</t>
  </si>
  <si>
    <t>ENROFLOXACINA KUALKOS 50 MG X 100 COMP</t>
  </si>
  <si>
    <t>ENROFLOXACINA KUALKOS 100 MG X 100 COMP</t>
  </si>
  <si>
    <t>ENROFLOXACINA KUALKOS 200 MG X 100 COMP</t>
  </si>
  <si>
    <t>ENTEROSEPT SUSPENSION FRASCO X 100 ML</t>
  </si>
  <si>
    <t>EPIFEN 640 MG X 100 COMP</t>
  </si>
  <si>
    <t>FENTEL MAX 5 KG. X 30 COMP</t>
  </si>
  <si>
    <t>FENTEL MAX 10 KG. X 30 COMP</t>
  </si>
  <si>
    <t>FENTEL MAX 20 KG. X 30 COMP</t>
  </si>
  <si>
    <t>FENTEL MAX SUSPENSION X 100 ML</t>
  </si>
  <si>
    <t>FENTEL MAX SUSPENSION X 20 ML</t>
  </si>
  <si>
    <t>KETOCONAZOL 200 MG X 50 COMP (KUALCOS)</t>
  </si>
  <si>
    <t>KUALCOHEPAT INYECTABLE X 50 ML</t>
  </si>
  <si>
    <t>KUALCOHEPAT 10 KG X 200 COMP</t>
  </si>
  <si>
    <t>KUALCOHEPAT 20 KG X 100 COMP</t>
  </si>
  <si>
    <t>KUALCOVIT INY X 50 ML</t>
  </si>
  <si>
    <t>LEVAMISOL GOTAS KUALCOS X 20 ML</t>
  </si>
  <si>
    <t>MOXIOFTAL COLIRIO GOTERO X 10 ML</t>
  </si>
  <si>
    <t>OTOMICINE PLUS X 20 ML</t>
  </si>
  <si>
    <t>PARMAX CACHORROS SUSPENSION X 20 ML</t>
  </si>
  <si>
    <t>PERFOS MAX CANINOS 2-5 KG</t>
  </si>
  <si>
    <t>PERFOS MAX CANINOS 40-60 KG</t>
  </si>
  <si>
    <t>PERFOS MULTIDOSIS CANINO X 75 ML</t>
  </si>
  <si>
    <t>PERFOS MULTIDOSIS FELINO GOTERO X 10 ML</t>
  </si>
  <si>
    <t>PERFOS TALCO X 100 GRS</t>
  </si>
  <si>
    <t>PERFOS X 100 ML</t>
  </si>
  <si>
    <t>POLADIN GERIATRICO PALATABLE X 30 COMP</t>
  </si>
  <si>
    <t>POLADIN MAX CACHORROS X 50 COMP</t>
  </si>
  <si>
    <t>POLADIN MAX FORTE X 30 COMP.</t>
  </si>
  <si>
    <t>POLFEN 20 MG X 100 COMPRIMIDOS</t>
  </si>
  <si>
    <t>PREDNISOLONA KUALCOS 10 MG X 100 COMP.</t>
  </si>
  <si>
    <t>PREDNISOLONA KUALCOS 10 MG X 200 COMP</t>
  </si>
  <si>
    <t>PREDNISOLONA KUALCOS 20 MG X 200 COMP</t>
  </si>
  <si>
    <t>PROPOLVET CICATRIZANTE X 60 ML</t>
  </si>
  <si>
    <t>PROPOLVET CURABICHERA X 60 ML</t>
  </si>
  <si>
    <t>RANITIDINA KUALCOS 40 MG X 100 COMPRIMIDOS</t>
  </si>
  <si>
    <t>RANITIDINA KUALCOS INYECTABLE X 50 ML</t>
  </si>
  <si>
    <t>SOFTAL "E" X 10 ML</t>
  </si>
  <si>
    <t>SOFTAL COLIRIO GOTERO X 10 ML</t>
  </si>
  <si>
    <t>SULFADIM 5 KG X 100 COMPRIMIDOS</t>
  </si>
  <si>
    <t>SULFADIM JARABE X 100 ML</t>
  </si>
  <si>
    <t>ARTEROL EQUINOS (2 POLVO + 2 DILUYENTES)</t>
  </si>
  <si>
    <t>CEFTOCIDIN ENDO X INYECTOR</t>
  </si>
  <si>
    <t>CEFTOCIDIN MASTITIS AGUDA X JGA</t>
  </si>
  <si>
    <t>CEFTOCIDIN SECADO X JGA</t>
  </si>
  <si>
    <t>DOMPERGO BV4</t>
  </si>
  <si>
    <t>ESTROMBOL X 10 ML</t>
  </si>
  <si>
    <t>PARONTHEL-E PASTA X 46 GRS</t>
  </si>
  <si>
    <t>PROTECTO ENTERO PECTIN X 900 ML</t>
  </si>
  <si>
    <t>SHONPRO X UNIDAD</t>
  </si>
  <si>
    <t>AEROSOL 6 A X 80 ML</t>
  </si>
  <si>
    <t>CANIS FULLSPOT 11-25 KG</t>
  </si>
  <si>
    <t>CANIS FULLSPOT 1-4 KG</t>
  </si>
  <si>
    <t>CANIS FULLSPOT 26-40 KG</t>
  </si>
  <si>
    <t>CANIS FULLSPOT 41-60 KG</t>
  </si>
  <si>
    <t>CANIS FULLSPOT 5-10 KG</t>
  </si>
  <si>
    <t>CIPROVET LA X 5 ML</t>
  </si>
  <si>
    <t>CREMA 6 A POMO X 15 GRS</t>
  </si>
  <si>
    <t>CREMA 6 A POMO X 30 GRS.</t>
  </si>
  <si>
    <t>FELINE FULLSPOT HASTA 2 KG</t>
  </si>
  <si>
    <t>JANVIER</t>
  </si>
  <si>
    <t>FIPRO LABYES 10-20 KG</t>
  </si>
  <si>
    <t>FIPRO LABYES 1-10 KG</t>
  </si>
  <si>
    <t>FIPRO LABYES 20-40 KG</t>
  </si>
  <si>
    <t>FIPRO LABYES 40-60 KG</t>
  </si>
  <si>
    <t>FIPRO LABYES GATOS</t>
  </si>
  <si>
    <t>GERIOOX X 30 COMP</t>
  </si>
  <si>
    <t>LABYDERM PREMIUM COVER SPOT ON X 2 ML</t>
  </si>
  <si>
    <t>LABYDERM PREMIUM COVER SPOT ON X 4 ML</t>
  </si>
  <si>
    <t>LABYDERM SHAMPOO SKIN SOLDIER X 220</t>
  </si>
  <si>
    <t>OCUBIOTIC COLIRIO CON ESTEROIDES X 5 ML</t>
  </si>
  <si>
    <t>c/iva</t>
  </si>
  <si>
    <t>s/iva</t>
  </si>
  <si>
    <t>OCUBIOTIC COLIRIO SIN ESTEROIDES</t>
  </si>
  <si>
    <t>OSTEOCART PLUS X 30 COMP.</t>
  </si>
  <si>
    <t>Campos que se pueden actualizar y campos que no</t>
  </si>
  <si>
    <t>OTIFLEX C X 25 ML</t>
  </si>
  <si>
    <t>OTIFLEX LIMPIADOR X 25 ML</t>
  </si>
  <si>
    <t>TEARS X 8 CC</t>
  </si>
  <si>
    <t>TOBRAMAX X 5 ML</t>
  </si>
  <si>
    <t>TRIHEPAT JARABE X 100 ML.</t>
  </si>
  <si>
    <t>red comercial</t>
  </si>
  <si>
    <t>*</t>
  </si>
  <si>
    <t>AMOXICILINA 100 MG X 100 COMP</t>
  </si>
  <si>
    <t>AMOXICILINA 250 MG X 100 COMP</t>
  </si>
  <si>
    <t>Ordenamiento de la ficha del producto, y tamaños</t>
  </si>
  <si>
    <t>Alfavet</t>
  </si>
  <si>
    <t>AMOXICILINA 500 MG X 100 COMP</t>
  </si>
  <si>
    <t>AMOXICILINA 500 MG X 500 COMP</t>
  </si>
  <si>
    <t>Que la fecha de ultima actualización se ponga sola cuando modifico el producto</t>
  </si>
  <si>
    <t>BRONCO TOS COMUN X 100 ML</t>
  </si>
  <si>
    <t>Fernandito</t>
  </si>
  <si>
    <t xml:space="preserve">Colocar una columna con frecuencia de actualización para que me tire para actualizar solo cuando sea </t>
  </si>
  <si>
    <t>CELAM 1000 MG X 100 COMP</t>
  </si>
  <si>
    <t>Veronica insumos</t>
  </si>
  <si>
    <t>CELAM 500 MG X 80 COMP</t>
  </si>
  <si>
    <t>Que ponga primero los productos que hay que actualizar</t>
  </si>
  <si>
    <t>kitvet</t>
  </si>
  <si>
    <t>CELAM 500 MG X 200 COMP</t>
  </si>
  <si>
    <t>Un campo para foto del producto, va a ser muy util para lo que es pet-shop</t>
  </si>
  <si>
    <t>CLINDAMICIN 110 MG X 100 COMP</t>
  </si>
  <si>
    <t>Purina</t>
  </si>
  <si>
    <t>CLINDAMICIN 110 MG X 500 COMP</t>
  </si>
  <si>
    <t>Adaptar la app para que pueda poner los precios con Iva unicamente</t>
  </si>
  <si>
    <t>vasques</t>
  </si>
  <si>
    <t>CLINDAMICIN 220 MG X 100 COMP</t>
  </si>
  <si>
    <t>Que el margen aparezca como porcentaje</t>
  </si>
  <si>
    <t>CLINDAMICIN 220 MG X 500 COMP</t>
  </si>
  <si>
    <t>El ID creciente y correlativo</t>
  </si>
  <si>
    <t>CLORMADINONA 4 MG LAMAR X 100 COMP</t>
  </si>
  <si>
    <t>Los costos a ingresar que sean sin coma y tengan el signo pesos en la ficha</t>
  </si>
  <si>
    <t>CLORMADINONA LAMAR X 500 COMP</t>
  </si>
  <si>
    <t>Campos requeridos</t>
  </si>
  <si>
    <t>CLORMADINONA LAMAR X 100 COMP</t>
  </si>
  <si>
    <t>Que no se pueda eliminar ningun producto</t>
  </si>
  <si>
    <t>CLORMADINONA LAMAR X 1000 COMP</t>
  </si>
  <si>
    <t>DEXAMETASONA 0.5 MG X 100 COMP (LAMAR)</t>
  </si>
  <si>
    <t>Logo de la app</t>
  </si>
  <si>
    <t>DEXAMETASONA 1 MG X 100 COMP. (LAMAR)</t>
  </si>
  <si>
    <t>DEXAMETASONA INY X 2 FRASCOS (LAMAR)</t>
  </si>
  <si>
    <t>DIAZEPAN INY X 2 FCOS X 10 ML</t>
  </si>
  <si>
    <t>ENROFLOXACINA 50 MG X 120 COMP (LAMAR)</t>
  </si>
  <si>
    <t>ENROFLOXACINA 50 MG X 360 COMP (LAMAR)</t>
  </si>
  <si>
    <t>ENROFLOXACINA 150 MG X 100 COMP (LAMAR)</t>
  </si>
  <si>
    <t>ENROFLOXACINA 150 X 10 COMPRIMIDOS (LAMAR)</t>
  </si>
  <si>
    <t>GRISEOFULVINA 250 X 100 COMP</t>
  </si>
  <si>
    <t>HIDROXICINA X 150 COMP</t>
  </si>
  <si>
    <t>LEVAMISOL GOTAS LAMAR X 15 ML</t>
  </si>
  <si>
    <t>LEVAMISOL X 100 COMPRIMIDOS</t>
  </si>
  <si>
    <t>MEBENDAZOL LAMAR X 100 COMP</t>
  </si>
  <si>
    <t>MEGESTROL PERRAS X 400 COMP</t>
  </si>
  <si>
    <t>METOCLOPRAMIDA INYECTABLE X 50 ML</t>
  </si>
  <si>
    <t>PREDNISOLONA 10 MG X 200 COMP (LAMAR)</t>
  </si>
  <si>
    <t>campos editables</t>
  </si>
  <si>
    <t>PREDNISOLONA 20 MG X 200 COMP (LAMAR)</t>
  </si>
  <si>
    <t>SIN PAR 10 EXHIBIDOR 10 ESTUCHES X 2 COMP</t>
  </si>
  <si>
    <t>SIN PAR 20 EXHIBIDOR 10 ESTUCHES X 2 COMP</t>
  </si>
  <si>
    <t>SIN PAR 40 EXHIBIDOR 10 ESTUCHES X 4 COMP</t>
  </si>
  <si>
    <t>SIN PAR 60 EXHIBIDOR 10 ESTUCHES X 6 COMP</t>
  </si>
  <si>
    <t>SIN PAR GATOS EXHIBIDOR 10 ESTUCHES X 2 COM</t>
  </si>
  <si>
    <t xml:space="preserve">Que cuando la frecuencia de actualización sea 0 entonces se tome como </t>
  </si>
  <si>
    <t>SULFATRIM "F" X 100 COMP</t>
  </si>
  <si>
    <t>SULFATRIM X 100 COMP</t>
  </si>
  <si>
    <t>Ver para que la alerta de actualización salte por frecuencia de mes y no por la cantidad de días</t>
  </si>
  <si>
    <t>T4 "F" X 100 COMP</t>
  </si>
  <si>
    <t>T4 "F" X 500 COMP</t>
  </si>
  <si>
    <t>T4 X 100 COMP</t>
  </si>
  <si>
    <t>T4 X 500 COMP</t>
  </si>
  <si>
    <t>ANTIBACTERIANO CON ESTEROIDES X 10 ML</t>
  </si>
  <si>
    <t>ANTIBACTERIANO SIN ESTEROIDES X 10 ML</t>
  </si>
  <si>
    <t>ANTIVIRAL IDU</t>
  </si>
  <si>
    <t>ATROPINA LOVE 1% X 5 ML</t>
  </si>
  <si>
    <t>CC&amp;T UNGÜENTO X 5 GRS</t>
  </si>
  <si>
    <t>CICATRIZANTE OCULAR C/ATB X 5 GRS</t>
  </si>
  <si>
    <t>CICLOCELL 0,2% X 5 ML</t>
  </si>
  <si>
    <t>CICLOCELL 0,5% X 5 ML</t>
  </si>
  <si>
    <t>CICLOCELL 1% X 5 ML</t>
  </si>
  <si>
    <t>CICLOCELL 2% X 5 ML</t>
  </si>
  <si>
    <t>GLAUCOVET X 5 ML</t>
  </si>
  <si>
    <t>ISAMI CREMA POMO X 15 GRS</t>
  </si>
  <si>
    <t>ISAMI CREMA POMO X 30 GRS</t>
  </si>
  <si>
    <t>LUBRICELL X 15 ML</t>
  </si>
  <si>
    <t>PARACATARATAS X 10 ML</t>
  </si>
  <si>
    <t>PREDNISOLONA PLUS SUSPENSIÓN LOVE X 5 ML</t>
  </si>
  <si>
    <t>TEST DE SCHIRMER SOBRE X 10 UN</t>
  </si>
  <si>
    <t>TEST DE SCHIRMER SOBRE X 20 UN</t>
  </si>
  <si>
    <t>TOBRA OFTAL "D" X 5 ML</t>
  </si>
  <si>
    <t>TOBRA OFTAL X 5 ML</t>
  </si>
  <si>
    <t>VISTASEDAN BAÑO OCULAR X 100 ML</t>
  </si>
  <si>
    <t>VISUFENICOL POMO X 5 GRS</t>
  </si>
  <si>
    <t>DERMODENE LOCION X 100 CC</t>
  </si>
  <si>
    <t>DERMODENE SHAMPOO X 220 CC</t>
  </si>
  <si>
    <t>JOHN MARTIN</t>
  </si>
  <si>
    <t>DOXILINA MAYORS 150 MGR X 10 COMP</t>
  </si>
  <si>
    <t>DOXILINA MAYORS 150 MGR X 50 COMP</t>
  </si>
  <si>
    <t>DOXILINA MAYORS 50 MGR X 10 COMP</t>
  </si>
  <si>
    <t>DOXILINA MAYORS 50 MGR X 50 COMP</t>
  </si>
  <si>
    <t>ENERGIA VITAL 3 BLISTER X 10 COMP</t>
  </si>
  <si>
    <t>GIACOCCIDE AMARILLO HOSPITALARIO X 100 COMP</t>
  </si>
  <si>
    <t>GIACOCCIDE AMARILLO X 20 COMP</t>
  </si>
  <si>
    <t>GIACOCCIDE ROJO HOSPITALARIO X 50 COMP</t>
  </si>
  <si>
    <t>GIACOCCIDE ROJO X 20 COMP</t>
  </si>
  <si>
    <t>GIACOCCIDE VERDE HOSPITALARIO X 50 COMP</t>
  </si>
  <si>
    <t>GIACOCCIDE VERDE X 20 COMP</t>
  </si>
  <si>
    <t>MAYOR 10 HOSPITALARIO X 150 COMP</t>
  </si>
  <si>
    <t>MAYOR 10 X 50 COMP</t>
  </si>
  <si>
    <t>MOXIDEX 4 MG X 6 COMP</t>
  </si>
  <si>
    <t>MOXIDEX PLUS HOSPITALARIO X 15 COMP</t>
  </si>
  <si>
    <t>MOXIDEX PLUS X 6 COMP</t>
  </si>
  <si>
    <t>NOGASTROL 30 MG X 10 COMP</t>
  </si>
  <si>
    <t>NOGASTROL 30 MG X 25 COMP</t>
  </si>
  <si>
    <t>NOGASTROL HOSPITALARIO X 50 COMP</t>
  </si>
  <si>
    <t>NOGASTROL X 10 COMP</t>
  </si>
  <si>
    <t>PRODERMA OTIC X 30 ML</t>
  </si>
  <si>
    <t>PRODERMA POMO X 15 GRS</t>
  </si>
  <si>
    <t>PRURICILONA SPRAY X 15 CC</t>
  </si>
  <si>
    <t>SOSTEN ART 25 X 30 COMP</t>
  </si>
  <si>
    <t>SOSTEN CG INYECTABLE 5 FRASCOS X 5 ML</t>
  </si>
  <si>
    <t>SOSTEN CG INYECTABLE X 5 ML</t>
  </si>
  <si>
    <t>SOSTEN CG ORAL X 80 COMP</t>
  </si>
  <si>
    <t>TOLTRAZOL "PLUS" X 10 ML</t>
  </si>
  <si>
    <t>TOLTRAZOL "PLUS" X 5 ML</t>
  </si>
  <si>
    <t>TOLTRAZOL HOSPITALARIO X 15 COMP</t>
  </si>
  <si>
    <t>TOLTRAZOL SUSPENSION X 10 ML</t>
  </si>
  <si>
    <t>TOLTRAZOL SUSPENSION X 25 ML</t>
  </si>
  <si>
    <t>TOLTRAZOL X 3 COMP</t>
  </si>
  <si>
    <t>VILISIN H X 30 ML</t>
  </si>
  <si>
    <t>FS200 SALES REHIDRATANTES (45 SOBRES X 35 GRS)</t>
  </si>
  <si>
    <t>TIERRA DE DIATOMEA X 5 KG</t>
  </si>
  <si>
    <t>CEFTIOCUR MONKEMT X 100 ML</t>
  </si>
  <si>
    <t>CRISEOMETRINA</t>
  </si>
  <si>
    <t>FLUKEMT X 30 ML</t>
  </si>
  <si>
    <t>FLUKEMT X 60 ML</t>
  </si>
  <si>
    <t>IDOCOLINA X 100 ML</t>
  </si>
  <si>
    <t>LHATYNFENICOL X 100 ML</t>
  </si>
  <si>
    <t>PFOREX PLUS X 200 ML</t>
  </si>
  <si>
    <t>TILKEMT COMPLEX X 100 ML</t>
  </si>
  <si>
    <t>TILKEMT X 100 ML</t>
  </si>
  <si>
    <t>AVOTAN GOLD X 1 LITRO</t>
  </si>
  <si>
    <t>AXILUR PI INYECTABLE X 1 LT</t>
  </si>
  <si>
    <t>AXILUR SUSPENSION ORAL 10% X 5 LTS</t>
  </si>
  <si>
    <t>BANAMINE INYECTABLE X 10 ML</t>
  </si>
  <si>
    <t>BANAMINE INYECTABLE X 50 ML</t>
  </si>
  <si>
    <t>BANAMINE TRANSDERMAL X 100 ML</t>
  </si>
  <si>
    <t>BANAMINE TRANSDERMAL X 250 ML</t>
  </si>
  <si>
    <t>BUTOX GARRAPATICIDA X 1 LT</t>
  </si>
  <si>
    <t>BUTOX GARRAPATICIDA X 5 LTS</t>
  </si>
  <si>
    <t>CACIQUE PASTA X 950 GRS</t>
  </si>
  <si>
    <t>CARAVANA WARRIOR X UNIDAD</t>
  </si>
  <si>
    <t>CEPRAVIN DC X JERINGA</t>
  </si>
  <si>
    <t>COBACTAN 2.5% X 100 CC</t>
  </si>
  <si>
    <t>COBACTAN 7,5% X 100 ML</t>
  </si>
  <si>
    <t>COBACTAN LC X JERINGA (EN CAJA X 15 POMOS)</t>
  </si>
  <si>
    <t>COOPERMEC X 500 CC</t>
  </si>
  <si>
    <t>COOPERMICINA LA X 250 ML</t>
  </si>
  <si>
    <t>COVEXIN 10 X 100 ML</t>
  </si>
  <si>
    <t>CRESTAR IV MONODOSIS X 20 DISPOSITIVOS</t>
  </si>
  <si>
    <t>CURABICHERA COOPERS X 1 LT</t>
  </si>
  <si>
    <t>CURABICHERA PLATINIUM X 440 ML</t>
  </si>
  <si>
    <t>DEXAFORT FRASCO X 50 ML</t>
  </si>
  <si>
    <t>DEXAMETONA VET SHERING X 10 ML</t>
  </si>
  <si>
    <t>DEXAMETONA VET SHERING X 50 ML</t>
  </si>
  <si>
    <t>DORACUR X 500 ML</t>
  </si>
  <si>
    <t>ESTRUMATE X 100 ML</t>
  </si>
  <si>
    <t>ESTRUMATE X 20 ML</t>
  </si>
  <si>
    <t>EXZOLT 5% X 1 LT</t>
  </si>
  <si>
    <t>EXZOLT 5% X 5 LTS</t>
  </si>
  <si>
    <t>FENOMAX PLUS 3,15% LA X 500 ML</t>
  </si>
  <si>
    <t>GARRATOX MEZCLA X 5 LTS</t>
  </si>
  <si>
    <t>HALOCUR ORAL X 490 ML</t>
  </si>
  <si>
    <t>HALOCUR ORAL X 980 ML</t>
  </si>
  <si>
    <t>IMIZOL X 100 ML</t>
  </si>
  <si>
    <t>IMIZOL X 15 ML</t>
  </si>
  <si>
    <t>INTERTOCINE VIAL X 50 ML</t>
  </si>
  <si>
    <t>LOTAGEN SOL X 100 ML</t>
  </si>
  <si>
    <t>MASTIPLAN LC X JERINGA</t>
  </si>
  <si>
    <t>METRICURE X 1 INYECTOR</t>
  </si>
  <si>
    <t>NAFPENZAL DC X JERINGA</t>
  </si>
  <si>
    <t>NAQUASONE INYECTABLE X 10 ML</t>
  </si>
  <si>
    <t>NAQUASONE INYECTABLE X 20 ML</t>
  </si>
  <si>
    <t>NUFLOR X 100 ML</t>
  </si>
  <si>
    <t>PHAGEIN X 500 GR</t>
  </si>
  <si>
    <t>PILIGUARD QUERATO X 50 DS</t>
  </si>
  <si>
    <t>RAXIDAL X 50 ML</t>
  </si>
  <si>
    <t>RECEPTAL X 50 ML</t>
  </si>
  <si>
    <t>RESFLOR X 100 ML</t>
  </si>
  <si>
    <t>SALIX X 10 ML</t>
  </si>
  <si>
    <t>SHUTOUT SUSP. X JGA (CAJA X 24 JGA)</t>
  </si>
  <si>
    <t>SUANOVIL X 100 ML</t>
  </si>
  <si>
    <t>BRAVECTO GATOS PIPETA 1,2 A 2,8 KG</t>
  </si>
  <si>
    <t>BRAVECTO PERROS 10 A 20 KG</t>
  </si>
  <si>
    <t>BRAVECTO PERROS 2 A 4.5 KG</t>
  </si>
  <si>
    <t>BRAVECTO PERROS 20 A 40 KG</t>
  </si>
  <si>
    <t>BRAVECTO PERROS 4.5 A 10 KG</t>
  </si>
  <si>
    <t>BRAVECTO PERROS 40 A 56 KG</t>
  </si>
  <si>
    <t>CANINSULIN X 10 ML</t>
  </si>
  <si>
    <t>CANINSULIN X 2.5 ML</t>
  </si>
  <si>
    <t>CANINSULIN X JERINGA</t>
  </si>
  <si>
    <t>DHPPI X DOSIS</t>
  </si>
  <si>
    <t>INCURIN X 30 COMP</t>
  </si>
  <si>
    <t>KARSIVAN X 60 COMP</t>
  </si>
  <si>
    <t>KC X DOSIS</t>
  </si>
  <si>
    <t>LEPTO NOVIBAC X DOSIS</t>
  </si>
  <si>
    <t>NOVIBAC EDGE DA PPVL X DOSIS</t>
  </si>
  <si>
    <t>NOVIBAC INTRA TRAC ORAL BB X DOSIS</t>
  </si>
  <si>
    <t>PUPPY DP X DOSIS</t>
  </si>
  <si>
    <t>RABIES NOVIBAC X DOSIS</t>
  </si>
  <si>
    <t>RL X 1 DOSIS</t>
  </si>
  <si>
    <t>SCALIBOR PROTECTOR BAND X COLLAR</t>
  </si>
  <si>
    <t>TRICAT TRIO X DOSIS + DILUYENTE</t>
  </si>
  <si>
    <t>12P 15 X 10 ML NORT</t>
  </si>
  <si>
    <t>ATOX PRIX X 50 ML</t>
  </si>
  <si>
    <t>B 1 VITAMINICO NORT 3 GRS INY X 50 ML</t>
  </si>
  <si>
    <t>BRONQUINORT X 50 ML</t>
  </si>
  <si>
    <t>CALCINORT X 250 ML</t>
  </si>
  <si>
    <t>CARDIOTONICO-P NORT X 100</t>
  </si>
  <si>
    <t>CICATRIZOL CREMA X 450 (NORT)</t>
  </si>
  <si>
    <t>CREMA DE ORDEÑE NORT X 250 GRS</t>
  </si>
  <si>
    <t>CREMA DE ORDEÑE NORT X 450 GRS</t>
  </si>
  <si>
    <t>FRALIVER X 100 ML</t>
  </si>
  <si>
    <t>GLUCO B VITAMINICO X 500 ML</t>
  </si>
  <si>
    <t>GLUCONATO DE CALCIO NORT X 250 ML</t>
  </si>
  <si>
    <t>H-500 P</t>
  </si>
  <si>
    <t>HEPATO PROTECTOR NORT 15 X 100 ML</t>
  </si>
  <si>
    <t>HEPATO PROTECTOR-T NORT X 100 ML</t>
  </si>
  <si>
    <t>IODURO DE SODIO NORT X 50 ML</t>
  </si>
  <si>
    <t>NORCILINA 5.000.000</t>
  </si>
  <si>
    <t>NORTCREAM CON ELASTINA X 125 GRS</t>
  </si>
  <si>
    <t>NORTOX X 100 ML</t>
  </si>
  <si>
    <t>PARASINORT JERINGA X 22 GRS</t>
  </si>
  <si>
    <t>POLIAMIN X 1000 ML</t>
  </si>
  <si>
    <t>URONORT X 100 ML</t>
  </si>
  <si>
    <t>VITAMINA B 12 NORT X 50 ML</t>
  </si>
  <si>
    <t>VITAMINICO 12-15 X 10 ML</t>
  </si>
  <si>
    <t>VITAMÍNICO C X 100 ML</t>
  </si>
  <si>
    <t>ANTICONCEPTIVO INY NORT X 5 ML</t>
  </si>
  <si>
    <t>ASCARICIDA GOTAS NORT X 15 ML</t>
  </si>
  <si>
    <t>BRONQUIBEST JARABE X 100 ML</t>
  </si>
  <si>
    <t>BEBE LOCION X 950 ML</t>
  </si>
  <si>
    <t>CAMILO LOCION X 130 ML</t>
  </si>
  <si>
    <t>CAMILO LOCION X 950 ML</t>
  </si>
  <si>
    <t>CANDELA LOCION X 130 ML</t>
  </si>
  <si>
    <t>CANDELA LOCION X 950 ML</t>
  </si>
  <si>
    <t>CERA AMBIENTAL OSSPRET X 5 LTS</t>
  </si>
  <si>
    <t>CERA X 950 CM</t>
  </si>
  <si>
    <t>CREMA DE ORDENE OSSPRET X 220 ML</t>
  </si>
  <si>
    <t>CREMA DE ORDENE OSSPRET X 450 ML</t>
  </si>
  <si>
    <t>CREMA DESINFLAMANTE OSSPRET X 100 GRS</t>
  </si>
  <si>
    <t>CREMA ROLL-ON X 90 ML</t>
  </si>
  <si>
    <t>ELIAN LOCION X 130 ML</t>
  </si>
  <si>
    <t>ELIAN LOCION X 950 ML</t>
  </si>
  <si>
    <t>ENJUAGUE REACONDICIONADOR COMUN X 250 ML</t>
  </si>
  <si>
    <t>ENJUAGUE REACONDICIONADOR COMUN X 5 LITROS</t>
  </si>
  <si>
    <t>ENJUAGUE REACONDICIONADOR ESPECIAL X 250 ML</t>
  </si>
  <si>
    <t>ENJUAGUE REACONDICIONADOR ESPECIAL X 5 LTS</t>
  </si>
  <si>
    <t>ENJUAJE EXTRA BRILLO GROOMERS EXPERT X 250 ML</t>
  </si>
  <si>
    <t>ENJUAJE EXTRA BRILLO GROOMERS EXPERT X 5 LTS</t>
  </si>
  <si>
    <t>EXHIBIDOR C/8 UNID SH TRADICIONAL X 70 ML</t>
  </si>
  <si>
    <t>EXHIBIDOR LOCION SURTIDAS 12 UNID X 50 ML</t>
  </si>
  <si>
    <t>EXHIBIDOR LOCION SURTIDAS 20 UNID X 50 ML</t>
  </si>
  <si>
    <t>GOTAS OTICAS CLOREXPRO X 50 ML</t>
  </si>
  <si>
    <t>JABÓN LÍQUIDO CON GLICERINA X 250 ML</t>
  </si>
  <si>
    <t>JABÓN LIQUIDO CON GLICERINA X 5 LTS</t>
  </si>
  <si>
    <t>LAPASTILLA PERROS DE 10,1 A 20 KG</t>
  </si>
  <si>
    <t>LAPASTILLA PERROS DE 2,5 A 5 KG</t>
  </si>
  <si>
    <t>LAPASTILLA PERROS DE 20,1 A 40 KG</t>
  </si>
  <si>
    <t>Id</t>
  </si>
  <si>
    <t>LAPASTILLA PERROS DE 40,1 A 80 KG</t>
  </si>
  <si>
    <t>% de ajuste</t>
  </si>
  <si>
    <t>LAPASTILLA PERROS DE 5,1 A 10 KG</t>
  </si>
  <si>
    <t>KONIG P.A</t>
  </si>
  <si>
    <t>LIMPIA LAGRIMAS PROCOLOR A GATILLO X 250 ML</t>
  </si>
  <si>
    <t>LIMPIA LAGRIMAS PROCOLOR X 125 ML</t>
  </si>
  <si>
    <t>LOCION A2 X 125 ML</t>
  </si>
  <si>
    <t>LOCION CLOREXPRO X 125 ML</t>
  </si>
  <si>
    <t>LOCION CON FILTRO SOLAR X 130 CC</t>
  </si>
  <si>
    <t>LOCION DESATANUDOS X 130 ML</t>
  </si>
  <si>
    <t>LOCION NATURAL NEEM X 125 ML</t>
  </si>
  <si>
    <t>MAXIMA LOCION X 130 ML</t>
  </si>
  <si>
    <t>MAXIMA LOCION X 950 ML</t>
  </si>
  <si>
    <t>MAXIMO BRILLO ATOMIZADOR GROOMERS EXPERT</t>
  </si>
  <si>
    <t>MEZCLADOR PROFESIONAL OSSPRET X 500 ML</t>
  </si>
  <si>
    <t>MIX FRUTAL LOCION X 130 ML</t>
  </si>
  <si>
    <t>MIX FRUTAL LOCION X 950 ML</t>
  </si>
  <si>
    <t>PACK REPELENTE OSSPRET (LOC.NEEM+SH TRDX)</t>
  </si>
  <si>
    <t>PACK VERANO SOLAR OSSPRET (LOC.FIL.SOL+SH TRDX70)</t>
  </si>
  <si>
    <t>SHAMPOO A2 X 1 LTS</t>
  </si>
  <si>
    <t>SHAMPOO A2 X 5 LITROS</t>
  </si>
  <si>
    <t>SHAMPOO ALGAS X 250 ML</t>
  </si>
  <si>
    <t>SHAMPOO AQUA ECTO PGP X 250 ML</t>
  </si>
  <si>
    <t>SHAMPOO AQUA ECTO PGP X 5 LTS</t>
  </si>
  <si>
    <t>SHAMPOO AQUA ECTO X 1 LT</t>
  </si>
  <si>
    <t>SHAMPOO CLOREXPRO X 1 LTS</t>
  </si>
  <si>
    <t>SHAMPOO CLORHEXIDINA AL 2.5% X 250 ML</t>
  </si>
  <si>
    <t>SHAMPOO CLORHEXIDINA AL 2.5% X 5 LTS</t>
  </si>
  <si>
    <t>SHAMPOO CON ACEITE DE JOJOBA X 1 LT</t>
  </si>
  <si>
    <t>SHAMPOO CON ACEITE DE JOJOBA X 250 ML</t>
  </si>
  <si>
    <t>SHAMPOO CON ACEITE DE JOJOBA X 5 LTS</t>
  </si>
  <si>
    <t>SHAMPOO DE BELLEZA GROOMERS EXPERT X 1 LT</t>
  </si>
  <si>
    <t>SHAMPOO DE BELLEZA GROOMERS EXPERT X 250 ML</t>
  </si>
  <si>
    <t>SHAMPOO DE BELLEZA GROOMERS EXPERT X 5 LTS</t>
  </si>
  <si>
    <t>SHAMPOO DE BELLEZA MIX FRUTAL X 5 LTS</t>
  </si>
  <si>
    <t>SHAMPOO DOUBLE 2 EN 1 X 1 LT</t>
  </si>
  <si>
    <t>SHAMPOO DOUBLE 2 EN 1 X 5 LITROS</t>
  </si>
  <si>
    <t>SHAMPOO KETOCONAZOL AL 1% X 250 ML</t>
  </si>
  <si>
    <t>SHAMPOO MAXIMO COLOR BLANCO X 250 ML</t>
  </si>
  <si>
    <t>SHAMPOO MAXIMO COLOR BLANCO X 5 LTS</t>
  </si>
  <si>
    <t>SHAMPOO MAXIMO COLOR BRONCE X 250 ML</t>
  </si>
  <si>
    <t>SHAMPOO MAXIMO COLOR NEGRO X 1 LT</t>
  </si>
  <si>
    <t>SHAMPOO MAXIMO COLOR NEGRO X 250 ML</t>
  </si>
  <si>
    <t>SHAMPOO MAXIMO COLOR NEGRO X 5 LT</t>
  </si>
  <si>
    <t>SHAMPOO MEDICADO HIPOALERGENICO X 5 LTS</t>
  </si>
  <si>
    <t>SHAMPOO NATURAL NEEM X 250 ML</t>
  </si>
  <si>
    <t>SHAMPOO NATURAL NEEM X 5 LTS</t>
  </si>
  <si>
    <t>SHAMPOO PARA CACHORROS X 5 LTS</t>
  </si>
  <si>
    <t>SHAMPOO PERFUMADO MIX FRUTAL X 1 LT</t>
  </si>
  <si>
    <t>SHAMPOO PEROXIDO DE BENZOILO AL 2% X 250 ML</t>
  </si>
  <si>
    <t>SHAMPOO PEROXIDO DE BENZOILO AL 2% X 5 LTS</t>
  </si>
  <si>
    <t>SHAMPOO POTENCIADO PLUS ANTISEBORREICO X 250</t>
  </si>
  <si>
    <t>SHAMPOO POTENCIADO PLUS ANTISEBORREICO X 5 LT</t>
  </si>
  <si>
    <t>SHAMPOO POTENCIADO X 250</t>
  </si>
  <si>
    <t>SHAMPOO POTENCIADO X 5 LITROS</t>
  </si>
  <si>
    <t>SHAMPOO PULGUICIDA PARA GATOS X 250 ML</t>
  </si>
  <si>
    <t>SHAMPOO REFRESCANTE (MENTA) X 250 ML</t>
  </si>
  <si>
    <t>SHAMPOO REFRESCANTE (MENTA) X 5 LTS</t>
  </si>
  <si>
    <t>SHAMPOO TRADICIONAL X 1 LT</t>
  </si>
  <si>
    <t>SHAMPOO TRADICIONAL X 5 LTS</t>
  </si>
  <si>
    <t>SOLUCION IODOP. 5% ATOMIZADOR X 100 ML</t>
  </si>
  <si>
    <t>ZAHARA LOCION X 130 ML</t>
  </si>
  <si>
    <t>ZAHARA LOCION X 950 ML</t>
  </si>
  <si>
    <t>CARAVANA OVER DIAZINON 40% X UN.</t>
  </si>
  <si>
    <t>CEFTIOVER MAXIUM X 2 GRS</t>
  </si>
  <si>
    <t>DEXAMETASONA OVER "LA" X 10 ML</t>
  </si>
  <si>
    <t>DEXAMETASONA OVER X 10 ML</t>
  </si>
  <si>
    <t>DIPIRONA OVER 50% X 100 ML</t>
  </si>
  <si>
    <t>ELEVAL OVINOS X 2.5 LT</t>
  </si>
  <si>
    <t>ELEVAL X 500 ML</t>
  </si>
  <si>
    <t>ENZIVET X 50 ML</t>
  </si>
  <si>
    <t>GEMICIN 100 X 100 ML</t>
  </si>
  <si>
    <t>GEMICIN SPRAY X 250 ML</t>
  </si>
  <si>
    <t>HEMATOVER X 100 CC</t>
  </si>
  <si>
    <t>HEMATOVER X 250 ML</t>
  </si>
  <si>
    <t>HEPATOPROTECTOR OVER X 100 ML</t>
  </si>
  <si>
    <t>HIDRAMAX X 50 ML</t>
  </si>
  <si>
    <t>OVERBIOTIC ANTIDIARRECO INYECTABLE X 100 ML</t>
  </si>
  <si>
    <t>OVERCOX 5% X 500 ML</t>
  </si>
  <si>
    <t>OVERTIL FORTE X 100 ML</t>
  </si>
  <si>
    <t>OVERXICAM X 50 ML</t>
  </si>
  <si>
    <t>RICOMAX CON MINERALES X 500 ML</t>
  </si>
  <si>
    <t>SYNEDEM X 25 ML</t>
  </si>
  <si>
    <t>TRIFECT FORTE X 50 ML</t>
  </si>
  <si>
    <t>VERMECTIN "LA" PREMIUN X 500 ML</t>
  </si>
  <si>
    <t>CREMA SPINEDA X 100 GRS</t>
  </si>
  <si>
    <t>CURABICHERA SPINEDA PASTA X 500 GRS</t>
  </si>
  <si>
    <t>CURABICHERA SPINEDA PASTA X 60 GRS</t>
  </si>
  <si>
    <t>FLUIDO SPINEDA X 250 ML</t>
  </si>
  <si>
    <t>BIOPROST-D X 20 CC</t>
  </si>
  <si>
    <t>CELOTEST CPI AMARILLO</t>
  </si>
  <si>
    <t>CELOTEST CPI CELESTE</t>
  </si>
  <si>
    <t>CELOTEST CPI ROJO</t>
  </si>
  <si>
    <t>CELOTEST CPI VERDE</t>
  </si>
  <si>
    <t>CELOTEST FLUO CPI AMARILLO X 500 ML</t>
  </si>
  <si>
    <t>CELOTEST FLUO CPI CELESTE X 500 ML</t>
  </si>
  <si>
    <t>CELOTEST FLUO CPI ROJO X 500 ML</t>
  </si>
  <si>
    <t>CELOTEST FLUO CPI VERDE X 500 ML</t>
  </si>
  <si>
    <t>CORTA PAJUELA MINITUB</t>
  </si>
  <si>
    <t>LEVAC GEL ORAL X 1 LITRO</t>
  </si>
  <si>
    <t>QUICKLOCK CLASICA INSEMINACION</t>
  </si>
  <si>
    <t>SELCOZINC X 500 CC</t>
  </si>
  <si>
    <t>TAIKER 200 X 250 CC</t>
  </si>
  <si>
    <t>VAINA UNIVERSAL MINITUBE X 50 UNID</t>
  </si>
  <si>
    <t>ALBENDAZOL PROAGRO X 1 LITRO</t>
  </si>
  <si>
    <t>ALBENDAZOL PROAGRO X 5 LITROS</t>
  </si>
  <si>
    <t>BICHERON NF X 50 ML</t>
  </si>
  <si>
    <t>BICHERON POUR ON "LA" X 1 LT</t>
  </si>
  <si>
    <t>BICHERON POUR ON "LA" X 5 LTS</t>
  </si>
  <si>
    <t>BICHERON POUR ON X 250 ML.</t>
  </si>
  <si>
    <t>BICHERON POUR ON X 1 LTS</t>
  </si>
  <si>
    <t>BICHERON POUR ON X 5 LTS</t>
  </si>
  <si>
    <t>CAPSULA DOBLE ACCION (DISPLAY X 250 CAPSULAS)</t>
  </si>
  <si>
    <t>CAPSULA TRIPLE ACCION (DISPLAY X 100 CAPSULAS)</t>
  </si>
  <si>
    <t>CEFALEXIN PLUS 205 X 250 ML</t>
  </si>
  <si>
    <t>CREMA DE ORDEÑO PROAGRO X 500 GRS</t>
  </si>
  <si>
    <t>DORAPROX AD3E X 500 ML</t>
  </si>
  <si>
    <t>IRONDEL LA X 250 ML</t>
  </si>
  <si>
    <t>IRONDEL LA X 50 ML</t>
  </si>
  <si>
    <t>IRONDEL PLUS X 250 ML</t>
  </si>
  <si>
    <t>IRONDEL PLUS X 50 ML</t>
  </si>
  <si>
    <t>MAGNESIADO PROAGRO X 100 ML</t>
  </si>
  <si>
    <t>MAGNESIADO PROAGRO X 250 ML</t>
  </si>
  <si>
    <t>MEGLUXIN X 50 ML</t>
  </si>
  <si>
    <t>MULTIPLE ESPECIAL TERNEROS SOBRE X 250 GRS</t>
  </si>
  <si>
    <t>OXITETRACICLINA SOL. INY. PROAGRO X 100 ML</t>
  </si>
  <si>
    <t>OXITETRACICLINA SOL. INY. PROAGRO X 250 ML</t>
  </si>
  <si>
    <t>OXITETRACICLINA SOL. INY. PROAGRO X 50 ML</t>
  </si>
  <si>
    <t>OXITETRACICLINA VIT PROAGRO X 100 GRS</t>
  </si>
  <si>
    <t>PIPERAZINA X 100 GRS</t>
  </si>
  <si>
    <t>PROCEFT LPU X 100 ML</t>
  </si>
  <si>
    <t>PROMECTINA 1% X 50 ML</t>
  </si>
  <si>
    <t>PROMECTINA 1% X 500 ML</t>
  </si>
  <si>
    <t>PROMECTINA PLUS 3,15% X 500 ML</t>
  </si>
  <si>
    <t>PROMECTINA PLUS 3.15% X 50 ML</t>
  </si>
  <si>
    <t>SALES REHIDRANTES GA X 55 GRS (EN CAJA X 10 SOBRES</t>
  </si>
  <si>
    <t>STERILON BIDON X 1 LITRO</t>
  </si>
  <si>
    <t>TILMICOTIN X 100 ML</t>
  </si>
  <si>
    <t>TRI CORTI-K X 50</t>
  </si>
  <si>
    <t>ANTIPARASITARIO INTERNO ORAL X 20 ML</t>
  </si>
  <si>
    <t>CALCIFICANTE INTEGRAL (DISPLAY CON 6 SOBRES)</t>
  </si>
  <si>
    <t>CEFATIDINA X 200 COMP</t>
  </si>
  <si>
    <t>CLEAN EYES X 50 GR</t>
  </si>
  <si>
    <t>COLIRIO MAGNUM X 10 ML</t>
  </si>
  <si>
    <t>FEQUANTEL X 200 COMPRIMIDOS</t>
  </si>
  <si>
    <t>FUROSEMIDA GOTAS 2% X 20 ML. (PARAQUEÑOS)</t>
  </si>
  <si>
    <t>GOTIL MAX PERRO 5 A 10 KG</t>
  </si>
  <si>
    <t>KOPROFAGIA TALQUERA X 60 GR</t>
  </si>
  <si>
    <t>LIMPIAOREJAS X 20 ML</t>
  </si>
  <si>
    <t>MEDROXIL 10 AMPOLLAS X 1 ML</t>
  </si>
  <si>
    <t>NUTRAPRO ANTIAGE X 30 COMP</t>
  </si>
  <si>
    <t>PREDNISOLONA PROAGRO 20 MG X 200 COMP</t>
  </si>
  <si>
    <t>PULGAR COMPRIMIDO 10 A 20 KG (1 X 1600 MG)</t>
  </si>
  <si>
    <t>PULGAR COMPRIMIDO 2,5 A 5 KG (1 X 400 MG)</t>
  </si>
  <si>
    <t>PULGAR COMPRIMIDO 20 A 40 KG (2 X 1600 MG)</t>
  </si>
  <si>
    <t>PULGAR COMPRIMIDO 40 A 80 KG (4 X 1600 MG)</t>
  </si>
  <si>
    <t>PULGAR COMPRIMIDO 5 A 10 KG (1 X 800 MG)</t>
  </si>
  <si>
    <t>PULGAR SPRAY X 150 ML</t>
  </si>
  <si>
    <t>SALES REHIDRANTES (18 SOBRES X 27.5 GRS)</t>
  </si>
  <si>
    <t>PASTA DESCORNADORA DR NAYLOR</t>
  </si>
  <si>
    <t>AGUJA DESC. NEOJET 16X5 X100 U. (CONO NARANJA)</t>
  </si>
  <si>
    <t>AGUJA DESC. NEOJET 25X12 X100 U. (CONO ROSA CORTA)</t>
  </si>
  <si>
    <t>AGUJA DESC. NEOJET 25X8 X100 U. (CONO VERDE CORTA)</t>
  </si>
  <si>
    <t>AGUJA DESC. NEOJET 30X12 X100 U.</t>
  </si>
  <si>
    <t>AGUJA DESC. NEOJET 40X12 X100 U. (CONO ROSA LARGA)</t>
  </si>
  <si>
    <t>AGUJA DESC. NEOJET 40X16 X100 U. (CONO BLANCO)</t>
  </si>
  <si>
    <t>AGUJA DESC. NEOJET 40X8 X100 U. (CONO VERDE LARGA)</t>
  </si>
  <si>
    <t>AGUJA DESC. NEOJET 50X12 X100 U.</t>
  </si>
  <si>
    <t>AGUJA DESC. NEOJET 50X8 X100 U.</t>
  </si>
  <si>
    <t>AGUJA DESCARTABLE "BD" 13X4 X 100 U.</t>
  </si>
  <si>
    <t>AGUJA DESCARTABLE "BD" 15X5 X 100 U.</t>
  </si>
  <si>
    <t>AGUJA PERICRANEAL 21G ASEPTO</t>
  </si>
  <si>
    <t>AGUJA PERICRANEAL 23G ASEPTO</t>
  </si>
  <si>
    <t>AGUJA PERICRANEAL 25G ASEPTO</t>
  </si>
  <si>
    <t>ALCOHOL 70% BIALCOHOL X 1 LT</t>
  </si>
  <si>
    <t>ALGODON PLEGADO DALIA X 500 GR</t>
  </si>
  <si>
    <t>ALGODON PLEGADO INSUMOS XXI X 500 GR</t>
  </si>
  <si>
    <t>CATETER TEFLON DEXAL 18G X UNIDAD</t>
  </si>
  <si>
    <t>CATETER TEFLON DEXAL 20G X UNIDAD (ROSADO)</t>
  </si>
  <si>
    <t>CATETER TEFLON DEXAL 22G X UNIDAD (AZUL)</t>
  </si>
  <si>
    <t>CATETER TEFLON DEXAL 24G X UNIDAD (AMARILLO)</t>
  </si>
  <si>
    <t>ESTETOSCOPIO DOBLE HAND</t>
  </si>
  <si>
    <t>ESTETOSCOPIO RAPPAPORT C/SET REPUESTOS</t>
  </si>
  <si>
    <t>ESTETOSCOPIO SIMPKLE HAND</t>
  </si>
  <si>
    <t>GASA ESTERIL PRINTEX 20 X 20 CM X 32 TROZOS</t>
  </si>
  <si>
    <t>GASA TROZADA 20 X 20 CM X 1 KG</t>
  </si>
  <si>
    <t>GUANTES LATEX X 100 CHICO</t>
  </si>
  <si>
    <t>GUANTES LATEX X 100 EXTRA CHICO</t>
  </si>
  <si>
    <t>GUANTES LATEX X 100 EXTRA GRANDE</t>
  </si>
  <si>
    <t>GUANTES LATEX X 100 GRANDE</t>
  </si>
  <si>
    <t>GUANTES LATEX X 100 MEDIANO</t>
  </si>
  <si>
    <t>GUANTES NITRILO AZUL CHICO X 100</t>
  </si>
  <si>
    <t>GUANTES NITRILO AZUL EXTRA GRANDE X 100</t>
  </si>
  <si>
    <t>GUANTES NITRILO AZUL GRANDE X 100</t>
  </si>
  <si>
    <t>GUANTES NITRILO AZUL MEDIANO X 100</t>
  </si>
  <si>
    <t>GUANTES NITRILO NEGRO CHICO X 100</t>
  </si>
  <si>
    <t>GUANTES NITRILO NEGRO GRANDE X 100</t>
  </si>
  <si>
    <t>GUANTES NITRILO NEGRO MEDIANO X 100</t>
  </si>
  <si>
    <t>HILO DE LINO N° 14</t>
  </si>
  <si>
    <t>HILO DE LINO N° 20</t>
  </si>
  <si>
    <t>HILO DE LINO N° 30</t>
  </si>
  <si>
    <t>HILO DE LINO N° 50</t>
  </si>
  <si>
    <t>HOJA BISTURI AS ESTERIL N°24 X UNIDAD</t>
  </si>
  <si>
    <t>HOJA BISTURI PRINTEX ESTERIL N° 24 X UNIDAD</t>
  </si>
  <si>
    <t>KUALCOS</t>
  </si>
  <si>
    <t>JERINGA DESCARTABLE NEOJET 1ML S/AGUJA TUBERCULIN</t>
  </si>
  <si>
    <t>JERINGA DESCARTABLE NEOJET 3ML S/AGUJA</t>
  </si>
  <si>
    <t>JERINGA DESCARTABLE NEOJET 5ML S/AGUJA</t>
  </si>
  <si>
    <t>JERINGA DESCARTABLE NEOJET 10ML S/AGUJA (100)</t>
  </si>
  <si>
    <t>JERINGA DESCARTABLE NEOJET 20ML S/AGUJA (50)</t>
  </si>
  <si>
    <t>JERINGA DESCARTABLE NEOJET 30ML S/AGUJA (35)</t>
  </si>
  <si>
    <t>JERINGA DESCARTABLE NEOJET 60ML S/AGUJA (25)</t>
  </si>
  <si>
    <t>MANGO BISTURI N°3 H.10/15</t>
  </si>
  <si>
    <t>MANGO BISTURI N°4 H.20/24</t>
  </si>
  <si>
    <t>PERFUS "MICROGOTERO" TRUX S/AGUJA T/V17</t>
  </si>
  <si>
    <t>PERFUS MACROGOTERO TRUX C/AGUJA V13</t>
  </si>
  <si>
    <t>PERFUS MACROGOTERO TRUX S/AGUJA V14</t>
  </si>
  <si>
    <t>TELA ADHESIVA 3M DE 5,08 CM X 9 MTS</t>
  </si>
  <si>
    <t>TELA ADHESIVA AS 30 CM X 4,5 MTS</t>
  </si>
  <si>
    <t>TELA ADHESIVA PRINTEX 5 CM X 4,5 MTS</t>
  </si>
  <si>
    <t>VENDA ELAST. ADHERENTE 10 CM X 4,5 MT</t>
  </si>
  <si>
    <t>VENDA ELAST. ADHERENTE 5 CM X 4,5 MT</t>
  </si>
  <si>
    <t>VENDA ELAST. ADHERENTE 7,5 CM X 4,5 MT</t>
  </si>
  <si>
    <t>ENZIMOL X 25 COMPRIMIDOS</t>
  </si>
  <si>
    <t>BOOSTER ESSENTIAL X 20 KG</t>
  </si>
  <si>
    <t>BOOSTER MAXXIUM X 25 KG</t>
  </si>
  <si>
    <t>BOOSTER PERFORMA X 25 KG</t>
  </si>
  <si>
    <t>BOOSTER TOP X 25 KG</t>
  </si>
  <si>
    <t>ACUPRIN X 500 ML</t>
  </si>
  <si>
    <t>AMPILINE LARGE 6 FCOS X 6 GRS</t>
  </si>
  <si>
    <t>BATOXIL LA X 250 ML</t>
  </si>
  <si>
    <t>BATOXIL LA X 500 ML</t>
  </si>
  <si>
    <t>B-COMPLEX (CAJA 6 POLVO + 6 DILUY)</t>
  </si>
  <si>
    <t>BOVICINE 3,15% X 500 ML</t>
  </si>
  <si>
    <t>BOVICINE X 500 ML</t>
  </si>
  <si>
    <t>BOVIMEC ADE X 500 ML</t>
  </si>
  <si>
    <t>BUTAFLEX X 100 ML</t>
  </si>
  <si>
    <t>CARTAL FLEX X 1 KG</t>
  </si>
  <si>
    <t>CARTAL FLEX X 500 GR</t>
  </si>
  <si>
    <t>ENROMAX X 1 LT</t>
  </si>
  <si>
    <t>EQUIVERM JERINGA X 6 GRS</t>
  </si>
  <si>
    <t>EQUIVERM LARGE X 18 GRS</t>
  </si>
  <si>
    <t>FLEANET AG PLATA X 440 ML</t>
  </si>
  <si>
    <t>FLEANET NF POUR ON X 1 LT</t>
  </si>
  <si>
    <t>FLEANET NF POUR ON X 5 LTS</t>
  </si>
  <si>
    <t>GASTRINE 7 DAYS X 31,5 GRS</t>
  </si>
  <si>
    <t>HEPATONE LARGE X 250 ML</t>
  </si>
  <si>
    <t>HEPATONE X 100 ML</t>
  </si>
  <si>
    <t>INADRIM INY X 50 ML</t>
  </si>
  <si>
    <t>INERAN X 100 ML</t>
  </si>
  <si>
    <t>INERAN X 50 ML</t>
  </si>
  <si>
    <t>IONOMAX X 1 LITRO</t>
  </si>
  <si>
    <t>IONOMAX X 5 LITRO</t>
  </si>
  <si>
    <t>LIDOCAINE RICHMOND X 100 ML</t>
  </si>
  <si>
    <t>NUTRIMIN X 530 ML</t>
  </si>
  <si>
    <t>PENICILINE 6M X AMPOLLA (BIG BOX X 25 FCOS)</t>
  </si>
  <si>
    <t>PENICILINE 6M X AMPOLLA (BIG BOX X 6 FCOS)</t>
  </si>
  <si>
    <t>PROSEL X 500 ML</t>
  </si>
  <si>
    <t>SEPTICARE MASTER FARM X 5L</t>
  </si>
  <si>
    <t>TILFOX 30% X 100 ML</t>
  </si>
  <si>
    <t>TILFOX DUO X 100 ML</t>
  </si>
  <si>
    <t>TOP RACE X 100 ML</t>
  </si>
  <si>
    <t>TOP RACE X 530 ML</t>
  </si>
  <si>
    <t>UNIMAG X 530 ML</t>
  </si>
  <si>
    <t>VITONAL B X 530 ML</t>
  </si>
  <si>
    <t>VITONAL B X 530 ML + KIT EDTA</t>
  </si>
  <si>
    <t>XILACINA 100 X 50 ML</t>
  </si>
  <si>
    <t>ACTINAL X 200 COMP (PREDNISOLONA 20 MG)</t>
  </si>
  <si>
    <t>ALGEN 20 INYECTABLE X 20 ML</t>
  </si>
  <si>
    <t>ALGEN 20 X 120 COMPRIMIDOS</t>
  </si>
  <si>
    <t>ALGEN 60 X 120 COMPRIMIDOS</t>
  </si>
  <si>
    <t>ALGEN LD 60 X 50 ML</t>
  </si>
  <si>
    <t>APRAX 4 P/40 KG DE TRATAMIENTO X 4 COMP</t>
  </si>
  <si>
    <t>APRAX 4 P/80 KG DE TRATAMIENTO X 4 COMP</t>
  </si>
  <si>
    <t>APRAX ECTOPILLS 11 A 20 KG (700 MG)</t>
  </si>
  <si>
    <t>APRAX ECTOPILLS 2,5 A 10 KG (350 MG)</t>
  </si>
  <si>
    <t>APRAX ECTOPILLS 21 A 30 KG (1400 MG)</t>
  </si>
  <si>
    <t>APRAX ECTOPILLS 31 A 50 KG (2100 MG)</t>
  </si>
  <si>
    <t>APRAX RAZAS GRANDES X 60 COMP</t>
  </si>
  <si>
    <t>APRAX RAZAS MEDIANAS X 60 COMP</t>
  </si>
  <si>
    <t>APRAX SUSPENSION X 20 ML</t>
  </si>
  <si>
    <t>AVICINE X 250 GRS</t>
  </si>
  <si>
    <t>BOVICINE X 50 ML</t>
  </si>
  <si>
    <t>BUPINEX VET X 50 ML</t>
  </si>
  <si>
    <t>CEFALEXINA SUSPENSION 250 MG RICHMOND</t>
  </si>
  <si>
    <t>CEFAXIM RICHMOND 1000 MG X 60 COMP</t>
  </si>
  <si>
    <t>CEFAXIM RICHMOND 500 MG X 160 COMP</t>
  </si>
  <si>
    <t>CEPILLO APLICADO SHAMPOO RICHMOND</t>
  </si>
  <si>
    <t>CLINDEX 400 MG X 120 COMP</t>
  </si>
  <si>
    <t>DAZAM X 20 ML</t>
  </si>
  <si>
    <t>DELANTAL DERMAPET RICHMOND</t>
  </si>
  <si>
    <t>DETOR X 10 ML</t>
  </si>
  <si>
    <t>DETOR X 50 ML</t>
  </si>
  <si>
    <t>DEXA 20 X 20 ML (RICHMOND)</t>
  </si>
  <si>
    <t>FELIFAT X 30 ML</t>
  </si>
  <si>
    <t>FLEANET CAT X 0,5 ML</t>
  </si>
  <si>
    <t>FLEANET PERRO X 1 ML (2 A 10 KG)</t>
  </si>
  <si>
    <t>FLEANET PERRO X 2 ML (11 A 20 KG)</t>
  </si>
  <si>
    <t>FLEANET PERRO X 4 ML (21 A 40 KG)</t>
  </si>
  <si>
    <t>FLEANET PERRO X 5 ML (+40 KG)</t>
  </si>
  <si>
    <t>GASTRINE INJECTION X 50 ML</t>
  </si>
  <si>
    <t>INELTANO VET X 100 ML</t>
  </si>
  <si>
    <t>JUVENIA DOGS POMO X 150 GR</t>
  </si>
  <si>
    <t>KETONAL 100 X 50 ML</t>
  </si>
  <si>
    <t>KETONAL 50 X 50 ML</t>
  </si>
  <si>
    <t>METROZOL 250 MG X 50 COMP</t>
  </si>
  <si>
    <t>METROZOL 500 MG X 40 COMP</t>
  </si>
  <si>
    <t>METROZOL INYECTABLE X 100 ML</t>
  </si>
  <si>
    <t>MIDAZOLAM X 20 ML</t>
  </si>
  <si>
    <t>NALBUFINE X 10 ML</t>
  </si>
  <si>
    <t>NALBUFINE X 20 ML</t>
  </si>
  <si>
    <t>OXICAM B 12 X 120 COMP</t>
  </si>
  <si>
    <t>PENICILINE S X 100 ML</t>
  </si>
  <si>
    <t>PROPOVET AMPOLLA X 20 ML</t>
  </si>
  <si>
    <t>PROPOVET X 50 ML</t>
  </si>
  <si>
    <t>XILACINA 20 X 20 ML</t>
  </si>
  <si>
    <t>YOHIMBINE VET X 10 ML</t>
  </si>
  <si>
    <t>AISLADOR CAMPANITA ROLIN</t>
  </si>
  <si>
    <t>AISLADOR DOBLE O RIENDA SUPER ROLIN</t>
  </si>
  <si>
    <t>AISLADOR MOVIL C/GANCHO ROLIN</t>
  </si>
  <si>
    <t>AISLADOR REGULABLE ROLIN</t>
  </si>
  <si>
    <t>LABYES</t>
  </si>
  <si>
    <t>AISLADOR ROLDANA ROLIN</t>
  </si>
  <si>
    <t>AISLADOR ROLIN - MANIJA AISLADA GB (MAN. C/RES.)</t>
  </si>
  <si>
    <t>AISLADOR ROLIN - PUNTEROS PLASTICOS (MAN. COMUN)</t>
  </si>
  <si>
    <t>ARREADOR ELECTRICO ROLIN CORTO</t>
  </si>
  <si>
    <t>ARREADOR ELECTRICO ROLIN LARGO</t>
  </si>
  <si>
    <t>BALDE PLASTICO P/ESTACA AMARILLO ROLIN</t>
  </si>
  <si>
    <t>BALDE PLASTICO P/ESTACA BLANCO ROLIN</t>
  </si>
  <si>
    <t>BALDE PLASTICO P/ESTACA NEGRO ROLIN</t>
  </si>
  <si>
    <t>CABLE ELECTROP. ROLIN 6 HEBRAS X 300 MTS</t>
  </si>
  <si>
    <t>CABLE ELECTROP. ROLIN 6 HEBRAS X 500 MTS</t>
  </si>
  <si>
    <t>CABLE ELECTROP. ROLIN 6 HEBRAS X 750 MTS</t>
  </si>
  <si>
    <t>CABLE ELECTROP. ROLIN 9 HEBRAS X 300 MTS</t>
  </si>
  <si>
    <t>CABLE ELECTROP. ROLIN 9 HEBRAS X 500 MTS</t>
  </si>
  <si>
    <t>CABLE ELECTROP. ROLIN 9 HEBRAS X 750 MTS</t>
  </si>
  <si>
    <t>CADENA C/MOSQUETON PARA ESTACA ROLIN X 1,2 MTS</t>
  </si>
  <si>
    <t>CANASTO PARA ESTACA ROLIN</t>
  </si>
  <si>
    <t>CARRETEL ROLIN C/CEP X 300 MTS</t>
  </si>
  <si>
    <t>CARRETEL ROLIN C/CEP X 500 MTS</t>
  </si>
  <si>
    <t>CARRETEL ROLIN C/CEP X 750 MTS</t>
  </si>
  <si>
    <t>CARRETEL VACIO PLASTICO ROLIN - ALMA PLASTICA)</t>
  </si>
  <si>
    <t>CARRETEL VACIO PLASTICO ROLIN (ALMA METALICA)</t>
  </si>
  <si>
    <t>CINTA ELECTROP. ROLIN X 200 MTS (5 HILOS)</t>
  </si>
  <si>
    <t>ESTACA ROLIN</t>
  </si>
  <si>
    <t>FALSOS TRANQUERONES A PALANCA DE 1,20 MTS</t>
  </si>
  <si>
    <t>PLUVIOMETRO CHICO ROLIN</t>
  </si>
  <si>
    <t>VARILLA METALICA ROLIN C/RULO HORQUILLA 10 MM</t>
  </si>
  <si>
    <t>VARILLA PLASTICA ROLIN C/ALMA DE ACERO</t>
  </si>
  <si>
    <t>ADENITIS EQUINA ROSENBUSCH X 1 DS</t>
  </si>
  <si>
    <t>ANHELMINT EQUINOS X 25 GR</t>
  </si>
  <si>
    <t>ANTIENCEFALOMIELITIS EQUINA ROSENBUSCH X 1 DS</t>
  </si>
  <si>
    <t>ANTIGENO BPA ROSENBUSCH X 10 DS</t>
  </si>
  <si>
    <t>ANTIGENO SAT ROSENBUSCH X 10 DS</t>
  </si>
  <si>
    <t>ANTITETANICA ROSENBUSCH X 1 DS</t>
  </si>
  <si>
    <t>BACTERINA MIXTA X 50 DS</t>
  </si>
  <si>
    <t>CARBUNCLO ROSENBUSCH X 125 DS</t>
  </si>
  <si>
    <t>CARBUNCLO ROSENBUSCH X 25 DS</t>
  </si>
  <si>
    <t>CEFTIOFUR LPU ROSENBUSCH X 100 ML</t>
  </si>
  <si>
    <t>CICROCIL CREMA X 100 GR</t>
  </si>
  <si>
    <t>CULTIVAC 6M X 50 DS</t>
  </si>
  <si>
    <t>CUPROMAX BOVINO X 500 ML</t>
  </si>
  <si>
    <t>DICLOSAN INY. LD X 250 (OXITETRACICLINA 20%)</t>
  </si>
  <si>
    <t>DICLOSAN M.A X JERINGA</t>
  </si>
  <si>
    <t>DICLOSAN SECADO X JERINGA</t>
  </si>
  <si>
    <t>DICLOSAN SELLADO X POMO (CAJA X 20 UNID)</t>
  </si>
  <si>
    <t>ECTIMA LANAR X 50 DS</t>
  </si>
  <si>
    <t>ENDECTOSAN 3,15% LA X 500 ML</t>
  </si>
  <si>
    <t>ENTEQUATRO X 20 ML</t>
  </si>
  <si>
    <t>EQUILTEN PLATA X 440 ML</t>
  </si>
  <si>
    <t>EXTERMINATOR POUR ON X 1 LT</t>
  </si>
  <si>
    <t>EXTERMINATOR POUR ON X 2,5 LTS</t>
  </si>
  <si>
    <t>GALISAN CB X 1 LT</t>
  </si>
  <si>
    <t>GALISAN CB X 5 LTS</t>
  </si>
  <si>
    <t>GASTROTERAP X 450 ML</t>
  </si>
  <si>
    <t>GLUCONATO DE CALCIO ROSENBUSCH 50% X 100 ML</t>
  </si>
  <si>
    <t>GLUCONATO DE CALCIO ROSENBUSCH 50% X 250 ML</t>
  </si>
  <si>
    <t>GLUFORAL BOLSA INFUSORA X 500 ML</t>
  </si>
  <si>
    <t>GLUFORAL FRASCO X 500 ML</t>
  </si>
  <si>
    <t>HEMOGLUBINURIA ROSENBUSCH X 50 DS</t>
  </si>
  <si>
    <t>INFLUENZA EQUINA ROSENBUSCH X 1 DS</t>
  </si>
  <si>
    <t>IR9 X 50 DS</t>
  </si>
  <si>
    <t>IRT X 50 DS (C/TETANO)</t>
  </si>
  <si>
    <t>IVERMECTINA 1% ROSENBUSCH X 500 ML</t>
  </si>
  <si>
    <t>MGE ROSENBUSCH X 50 DS</t>
  </si>
  <si>
    <t>NECAVERM X 500 ML</t>
  </si>
  <si>
    <t>NUTREKID VM X 25 DS</t>
  </si>
  <si>
    <t>POLIVITAMINOL POLVO BALDE X 12 KG</t>
  </si>
  <si>
    <t>POLIVITAMINOL POLVO TARRO X 1.5 KG</t>
  </si>
  <si>
    <t>RINONEUMONITIS EQUINA X 1 DS</t>
  </si>
  <si>
    <t>SURAZE ORAL X 1 LT</t>
  </si>
  <si>
    <t>SURAZE ORAL X 5 LTS</t>
  </si>
  <si>
    <t>SURTIVIT X 10 ML</t>
  </si>
  <si>
    <t>TAMBOX CREMA X 1 KG</t>
  </si>
  <si>
    <t>TILMICOSINA ROSENBUSCH X 100 ML</t>
  </si>
  <si>
    <t>TRATAMIENTO PIETIN X 450 ML</t>
  </si>
  <si>
    <t>TRIVALICO ADE X 50 DS</t>
  </si>
  <si>
    <t>TRIVERMOL TL X 1 LT</t>
  </si>
  <si>
    <t>TRIVERMOL TL X 2,5 LTS</t>
  </si>
  <si>
    <t>TUBERCULINA ROSENBUSCH X 100 DS</t>
  </si>
  <si>
    <t>CULTIVAC FELINOS X 1 DS</t>
  </si>
  <si>
    <t>CULTIVAC QUINTUPLE X 1 DS</t>
  </si>
  <si>
    <t>ALBENDAZOL GOTAS RUMINAL X 20 ML</t>
  </si>
  <si>
    <t>ANTIPARASITARIO INTERNO RUMINAL POTE X 50 GRS</t>
  </si>
  <si>
    <t>CEFALEXINA RUMINAL 1000 MG X 50 COMP</t>
  </si>
  <si>
    <t>CEFALEXINA RUMINAL 500 MG X 100 COMP</t>
  </si>
  <si>
    <t>CEFALEXINA RUMINAL INY 20% X 50 ML</t>
  </si>
  <si>
    <t>COCCIDIOL CON ELECTROLITOS RUMINAL POTE X 100 GRS</t>
  </si>
  <si>
    <t>COOL RUMINAL X 100 ML</t>
  </si>
  <si>
    <t>DENTA-FRESH RUMINAL</t>
  </si>
  <si>
    <t>DOXICILINA RUMINAL 10% X 100 GRS</t>
  </si>
  <si>
    <t>DOXICILINA RUMINAL 300 MG X 70 COMP</t>
  </si>
  <si>
    <t>DOXICILINA RUMINAL 50 MG X 30 COMP</t>
  </si>
  <si>
    <t>ELECTROLITOS RUMINAL X 1 KG</t>
  </si>
  <si>
    <t>ELECTROLITOS X 100 GRS</t>
  </si>
  <si>
    <t>ENROFLOXACINA GOTAS RUMINAL 10% X 20 ML</t>
  </si>
  <si>
    <t>ENROFLOXACINA INY RUMINAL 10% X 50 ML</t>
  </si>
  <si>
    <t>ENROFLOXACINA RUMINAL 100 MG X 100 COMP</t>
  </si>
  <si>
    <t>ENROFLOXACINA RUMINAL 200 MG X 100 COMP</t>
  </si>
  <si>
    <t>ENROFLOXACINA RUMINAL 50 MG X 100 COMP</t>
  </si>
  <si>
    <t>ENTEROLECTROL X 100 ML</t>
  </si>
  <si>
    <t>ESPUMA SECA YOUNG X 265 ML</t>
  </si>
  <si>
    <t>FLEE RUMINAL X 400 ML</t>
  </si>
  <si>
    <t>GOTAS OTICAS RUMINAL X 20 ML</t>
  </si>
  <si>
    <t>HEPAT RUMINAL POTE X 100 GR</t>
  </si>
  <si>
    <t>LIMPIAOREJAS RUMINAL X 100 ML</t>
  </si>
  <si>
    <t>LIMPIAOREJAS RUMINAL X 35 ML</t>
  </si>
  <si>
    <t>MICOL RUMINAL POTE X 100 GRS</t>
  </si>
  <si>
    <t>MILACREM POTE X 120 GRS</t>
  </si>
  <si>
    <t>MILACREM POTE X 30 GRS</t>
  </si>
  <si>
    <t>MUCOLITICO X 1 LT</t>
  </si>
  <si>
    <t>OTORUMINAL X 20 ML</t>
  </si>
  <si>
    <t>PREDNISOLONA RUMINAL 20 MG X 100 COMP</t>
  </si>
  <si>
    <t>PULGUICIDA AMBIENTAL YOUNG X 400 CC</t>
  </si>
  <si>
    <t>PUNTAOREJA RUMINAL X 10 ML</t>
  </si>
  <si>
    <t>REPLUME POTE X 100 GRS</t>
  </si>
  <si>
    <t>REPRODUCTOR RUMINAL POTE X 100 GRS</t>
  </si>
  <si>
    <t>RUMICLAMOX 250 MG X 100 COMP</t>
  </si>
  <si>
    <t>RUMICLAMOX 50 MG X 20 COMP</t>
  </si>
  <si>
    <t>RUMICLAMOX 500 MG X 80 COMP</t>
  </si>
  <si>
    <t>RUMICONEX LOCION X 100 ML</t>
  </si>
  <si>
    <t>RUMINAL 88 X 100 ML</t>
  </si>
  <si>
    <t>RUMIVITAL FORTE 120 MG ESTUCHE X 100 COMP</t>
  </si>
  <si>
    <t>RUMIVITAL FORTE 800 MG POTE X 100 COMP</t>
  </si>
  <si>
    <t>SPORT X 100 ML</t>
  </si>
  <si>
    <t>SULFAX SOLUBLE SOBRE X 50 GRS</t>
  </si>
  <si>
    <t>TILO RUMINAL X 100 GR</t>
  </si>
  <si>
    <t>TILO RUMINAL X 500 GR</t>
  </si>
  <si>
    <t>TOL RUMINAL X 100 ML</t>
  </si>
  <si>
    <t>TRICHOMONICIDA RUMINAL POTE X 100 GRS</t>
  </si>
  <si>
    <t>TRICHONAZOL RUMINAL POTE X 100 GRS</t>
  </si>
  <si>
    <t>TRIPLEX HOSPITALARIO X 160 COMP</t>
  </si>
  <si>
    <t>TRIPLEX SUSPENSION X 20 ML</t>
  </si>
  <si>
    <t>VITARRESPIRATORIO X 100 GR</t>
  </si>
  <si>
    <t>BLOQUE ANTIEMPASTE HIDROSOLUBLE X 13 KG</t>
  </si>
  <si>
    <t>BLOQUE IODOFOSFORADO X 13 KG</t>
  </si>
  <si>
    <t>BLOQUE MAGNEMEL P/LAMER X 14 KG</t>
  </si>
  <si>
    <t>BLOQUE TRICALCICO AZUFRADOS P/LAMER X 13 KG</t>
  </si>
  <si>
    <t>BLOQUE TRICALCICO COBRE, FOSFORO Y MAGNESIO X 13KG</t>
  </si>
  <si>
    <t>BLOQUE TRICALCICO P/LAMER X 13 KG</t>
  </si>
  <si>
    <t>BLOQUE UREMEL P/LAMER X 13 KG (UREA CON MELAZA)</t>
  </si>
  <si>
    <t>BLOQUE ZINC HIDROSOLUBLE X 13 KG</t>
  </si>
  <si>
    <t>SALES AMIONICAS PRE-PARTO</t>
  </si>
  <si>
    <t>SUPLEMENTO CORRECTO MINERAL X 25 KG</t>
  </si>
  <si>
    <t>SUPLEMENTO MINERAL IODADO X 25 KG</t>
  </si>
  <si>
    <t>SOLUCION DEXTROSA AL 5% X 500 ML</t>
  </si>
  <si>
    <t>SOLUCION FISIOLOGICA X 2 LTS</t>
  </si>
  <si>
    <t>SOLUCION FISIOLOGICA X 500 ML</t>
  </si>
  <si>
    <t>SOLUCION RINGER CON LACTATO X 500 ML</t>
  </si>
  <si>
    <t>BOTULISMO X 50 DS</t>
  </si>
  <si>
    <t>BRUCELLA TECNOVAX X 12 DS</t>
  </si>
  <si>
    <t>BRUCELLA TECNOVAX X 25 DS</t>
  </si>
  <si>
    <t>CARBUNCLO F2 34 X 125 DS</t>
  </si>
  <si>
    <t>CARBUNCLO F2 34 X 60 DS</t>
  </si>
  <si>
    <t>CLOSTRIDIAL 10 P X 25 DS</t>
  </si>
  <si>
    <t>CLOSTRIDIAL 10 P X 60 DS</t>
  </si>
  <si>
    <t>CLOSTRIDIAL 8 X 25 DS</t>
  </si>
  <si>
    <t>CLOSTRIDIAL 8 X 60 DS</t>
  </si>
  <si>
    <t>DVB-AT PROVIDEAN X 25 DS</t>
  </si>
  <si>
    <t>ENTERO PLUS 7 X 25 DS</t>
  </si>
  <si>
    <t>ENTERO PLUS 7 X 50 DS</t>
  </si>
  <si>
    <t>HEMOGLUBINURIA TECNOVAX X 50 DS</t>
  </si>
  <si>
    <t>LEPTO 8 X 25 DS</t>
  </si>
  <si>
    <t>LEPTO 8 X 50 DS</t>
  </si>
  <si>
    <t>MGE PROVIDEAN X 25 DS</t>
  </si>
  <si>
    <t>MGE PROVIDEAN X 60 DS</t>
  </si>
  <si>
    <t>NOVATEC RB51 X 12 DS</t>
  </si>
  <si>
    <t>QUERATO TECNOVAX X 25 DS</t>
  </si>
  <si>
    <t>QUERATO TECNOVAX X 50 DS</t>
  </si>
  <si>
    <t>RABIA PARESIANTE TECNOVAX X 25 DS</t>
  </si>
  <si>
    <t>REPRO 12 X 25 DS</t>
  </si>
  <si>
    <t>REPRO 12 X 50 DS</t>
  </si>
  <si>
    <t>REPRODUCTIVA TECNOVAX X 25 DS</t>
  </si>
  <si>
    <t>REPRODUCTIVA TECNOVAX X 50 DS</t>
  </si>
  <si>
    <t>RESPI 8 QUERATO X 25 DS</t>
  </si>
  <si>
    <t>RESPI 8 QUERATO X 50 DS</t>
  </si>
  <si>
    <t>RESPIRATORIA TECNOVAX X 25 DS</t>
  </si>
  <si>
    <t>RESPIRATORIA TECNOVAX X 50 DS</t>
  </si>
  <si>
    <t>TUBERCULINA TECNOVAX PPD BOVINA X 50 DS</t>
  </si>
  <si>
    <t>CONTENDOR 5 X 1 DS</t>
  </si>
  <si>
    <t>ENCEFALOMIELITIS EQUINA TECNOVAX X 1 DS (MONODS)</t>
  </si>
  <si>
    <t>ENCEFALOMIELITIS EQUINA TECNOVAX X 20 DS</t>
  </si>
  <si>
    <t>BH-RAB X DOSIS</t>
  </si>
  <si>
    <t>VIRATEC 10 CV 4L X DOSIS</t>
  </si>
  <si>
    <t>VIRATEC 5 X DOSIS</t>
  </si>
  <si>
    <t>VIRATEC 9 4L X DOSIS</t>
  </si>
  <si>
    <t>ANEMI-BYE X 20 COMP</t>
  </si>
  <si>
    <t>CIPROFLOXACINA TRITON 200 X 16 COMP</t>
  </si>
  <si>
    <t>CIPROFLOXACINA TRITON 200 X 80 COMP</t>
  </si>
  <si>
    <t>ENDOFOUR 100 HOSPITALARIO X 50 COMP</t>
  </si>
  <si>
    <t>ENDOFOUR 100 X 5 COMP</t>
  </si>
  <si>
    <t>ENDOFOUR 40 HOSPITALARIO X 40 COMP</t>
  </si>
  <si>
    <t>ENDOFOUR 40 X 4 COMP.</t>
  </si>
  <si>
    <t>FOSFO OUT X 200 ML</t>
  </si>
  <si>
    <t>FOSFO OUT X 500 ML</t>
  </si>
  <si>
    <t>LAMAR</t>
  </si>
  <si>
    <t>HIDRODERMYL X 12 0ML</t>
  </si>
  <si>
    <t>LEVOTIROXINA TRITON T4 0,1 X 30 COMP.</t>
  </si>
  <si>
    <t>LEVOTIROXINA TRITON T4 0,2 X 30 COMP.</t>
  </si>
  <si>
    <t>LEVOTIROXINA TRITON T4 0,4 X 30 COMP.</t>
  </si>
  <si>
    <t>MEPROMAZIN 10 MG X 10 COMP.</t>
  </si>
  <si>
    <t>MEPROMAZIN 10 MG X 100 COMP.</t>
  </si>
  <si>
    <t>MEPROMAZIN 25 MG X 8 COMP.</t>
  </si>
  <si>
    <t>MEPROMAZIN 25 MG X 80 COMP.</t>
  </si>
  <si>
    <t>METFORMINA GATOS X 100 COMP</t>
  </si>
  <si>
    <t>METFORMINA PERROS TRITON 200</t>
  </si>
  <si>
    <t>METFORMINA PERROS TRITON 400</t>
  </si>
  <si>
    <t>NEUMOFLOGIN X 16 COMP</t>
  </si>
  <si>
    <t>OTOFLOGIN</t>
  </si>
  <si>
    <t>PAN ENTERIL X 43,76 GRS</t>
  </si>
  <si>
    <t>PIRECORT SHAMPOO X 250 ML</t>
  </si>
  <si>
    <t>PROPANTELINA TRITON X 16 COMPRIMIDOS</t>
  </si>
  <si>
    <t>PROPANTELINA TRITON X 80 COMP</t>
  </si>
  <si>
    <t>SPECTRYL 10 X 100 COMP</t>
  </si>
  <si>
    <t>SPECTRYL 10 X 20 COMP</t>
  </si>
  <si>
    <t>SPECTRYL 20 X 10 COMP</t>
  </si>
  <si>
    <t>SPECTRYL 20 X 50 COMP</t>
  </si>
  <si>
    <t>STOMAGYL X 100 COMP</t>
  </si>
  <si>
    <t>STOMAGYL X 20 COMP</t>
  </si>
  <si>
    <t>T4 TRITON 0.4 MG X 100 COMP.</t>
  </si>
  <si>
    <t>T4 TRITON 0.8 MG X 100 COMP</t>
  </si>
  <si>
    <t>TRITOHEXIDIN PLUS X 50 ML (SPRAY)</t>
  </si>
  <si>
    <t>TRITOHEXIDIN SHAMPOO X 250 ML</t>
  </si>
  <si>
    <t>TRITOHEXIDIN X 1 LITRO</t>
  </si>
  <si>
    <t>TRITOHEXIDIN X 5 LITROS</t>
  </si>
  <si>
    <t>TRITOHEXIDIN X 50 ML</t>
  </si>
  <si>
    <t>TRITONYL 300 X 16 COMPRIMIDOS</t>
  </si>
  <si>
    <t>TRITONYL 300 X 80 COMP.</t>
  </si>
  <si>
    <t>UROFLOGIN X 16 COMP (CIPRO + 8 PROPANT)</t>
  </si>
  <si>
    <t>CALCINORAL X 400 ML</t>
  </si>
  <si>
    <t>CALCIO MAGNESIADO VETUE X 500 ML</t>
  </si>
  <si>
    <t>CICATRINE AM TALQUERA X 1 KG</t>
  </si>
  <si>
    <t>CICATRINE AM TALQUERA X 100 GRS</t>
  </si>
  <si>
    <t>CICATRINE AM TALQUERA X 250 GRS</t>
  </si>
  <si>
    <t>DESPARASITAN-T POLVO BALDE X 5 KG</t>
  </si>
  <si>
    <t>DESPARASITAN-T POLVO POTE X 1 KG</t>
  </si>
  <si>
    <t>DESPARASITAN-T TALQUERA X 100 GR</t>
  </si>
  <si>
    <t>DETENTE VETUE ANTID. ORAL X 1 LT</t>
  </si>
  <si>
    <t>DETENTE VETUE ANTID. ORAL X 100 ML</t>
  </si>
  <si>
    <t>DETENTE VETUE ANTIDIARREICO INY X 100 ML</t>
  </si>
  <si>
    <t>DEXAMETASONA I.A. VETUE X 10 ML</t>
  </si>
  <si>
    <t>DEXAMETASONA I.A. VETUE X 100 ML</t>
  </si>
  <si>
    <t>DEXAMETASONA V.T. VETUE X 10 ML</t>
  </si>
  <si>
    <t>DILA-T VETUE GEL ORAL POTE X 1 LT</t>
  </si>
  <si>
    <t>DILA-T VETUE GEL ORAL POTE X 500 ML</t>
  </si>
  <si>
    <t>DILA-T VETUE INYECTABLE X 100 ML</t>
  </si>
  <si>
    <t>DMSO 90% VETUE X 100 ML</t>
  </si>
  <si>
    <t>FUROSEMIDA VETUE INY X 50 ML</t>
  </si>
  <si>
    <t>GENTA G ANTIBIOTICO VETUE X 100 ML</t>
  </si>
  <si>
    <t>HEPATCEL 92 VETUE X 100 ML</t>
  </si>
  <si>
    <t>HEPATCEL 92 VETUE X 250 ML</t>
  </si>
  <si>
    <t>IVER VETUE 1% X 50 ML</t>
  </si>
  <si>
    <t>IVER VETUE 1% X 500 ML</t>
  </si>
  <si>
    <t>LIDOCAINA VETUE X 100 ML</t>
  </si>
  <si>
    <t>NEUMOSULFA VETUE BOLSA X 25 KG</t>
  </si>
  <si>
    <t>NEUMOSULFA VETUE POTE X 1 KG</t>
  </si>
  <si>
    <t>NEUMOSULFA VETUE POTE X 5 KG</t>
  </si>
  <si>
    <t>NEUMOSULFA VETUE TALQUERA X 100 GRS</t>
  </si>
  <si>
    <t>NORMALIZADOR X 100 ML</t>
  </si>
  <si>
    <t>OXI VT VETUE POLVO SOLUBLE X 5 KG</t>
  </si>
  <si>
    <t>OXI VT VETUE POTE X 1 KG</t>
  </si>
  <si>
    <t>OXI VT VETUE TALQUERA X 100 GRS</t>
  </si>
  <si>
    <t>POJHA MIX X 5 LTS</t>
  </si>
  <si>
    <t>PURON VT VETUE X 1 LT</t>
  </si>
  <si>
    <t>PURON VT VETUE X 250 ML</t>
  </si>
  <si>
    <t>PURON VT VETUE X 5 LTS</t>
  </si>
  <si>
    <t>PURON X2 VETUE X 1 LT</t>
  </si>
  <si>
    <t>PURON X2 VETUE X 5 LT</t>
  </si>
  <si>
    <t>QUINOL 5% VETUE X 100 ML</t>
  </si>
  <si>
    <t>QUINOL 5% VETUE X 250 ML</t>
  </si>
  <si>
    <t>QUINOL 5% VETUE X 500 ML</t>
  </si>
  <si>
    <t>VETUEMICINA E X 100 ML</t>
  </si>
  <si>
    <t>ADAPTADOR LUER LOCK LTBC-8</t>
  </si>
  <si>
    <t>AGUJA HIPOD. LIDER 10X18 IMPORTADA X 12 UNIDADES</t>
  </si>
  <si>
    <t>AGUJA HIPOD. LIDER 12X15 IMPORTADA X 12 UNIDADES</t>
  </si>
  <si>
    <t>AGUJA HIPOD. LIDER 12X18 IMPORTADA X 12 UNIDADES</t>
  </si>
  <si>
    <t>AGUJA HIPOD. LIDER 15X18 IMPORTADA X 12 UNIDADES</t>
  </si>
  <si>
    <t>AGUJA HIPOD. LIDER 15X20 IMPORTADA X 12 UNIDADES</t>
  </si>
  <si>
    <t>AGUJA HIPOD. LIDER 20X18 IMPORTADA X 12 UNIDADES</t>
  </si>
  <si>
    <t>AGUJA HIPOD. LIDER 20X20 IMPORTADA X 12 UNIDADES</t>
  </si>
  <si>
    <t>AGUJA HIPOD. LIDER 40X12 IMPORTADA X 12 UNIDADES</t>
  </si>
  <si>
    <t>AGUJA HIPOD. LIDER 50X20 IMPORTADA X 12 UNIDADES</t>
  </si>
  <si>
    <t>AGUJA HIPOD. PRIMOR 6 X 5 IMPORTADA X 12 UNID)</t>
  </si>
  <si>
    <t>AGUJA HIPOD. PRIMOR 10 X 18 IMPORTADA X 12 UNIDADE</t>
  </si>
  <si>
    <t>AGUJA HIPOD. PRIMOR 12 X 15 IMPORTADA X 12 UNIDADE</t>
  </si>
  <si>
    <t>AGUJA HIPOD. PRIMOR 12 X 18 IMPORTADA X 12 UNIDADE</t>
  </si>
  <si>
    <t>AGUJA HIPOD. PRIMOR 15X18 IMPORTADA X 12 UNIDADES</t>
  </si>
  <si>
    <t>AGUJA HIPOD. PRIMOR 15X20 IMPORTADA X 12 UNIDADES</t>
  </si>
  <si>
    <t>AGUJA HIPOD. PRIMOR 20 X 18 IMPORTADA X 12 UNIDADE</t>
  </si>
  <si>
    <t>AGUJA HIPOD. PRIMOR 20X15 IMPORTADA X 12 UNIDADES</t>
  </si>
  <si>
    <t>AGUJA HIPOD. PRIMOR 20X20 IMPORTADA X 12 UNIDADES</t>
  </si>
  <si>
    <t>AGUJA HIPOD. PRIMOR 40 X 15 IMPORTADA X 12 UNIDADE</t>
  </si>
  <si>
    <t>AGUJA HIPOD. PRIMOR 40X12 IMPORTADA X 12 UNIDADES</t>
  </si>
  <si>
    <t>AGUJA HIPOD. PRIMOR 40X18 IMPORTADA X 12 UNIDADES</t>
  </si>
  <si>
    <t>AGUJA HIPOD. PRIMOR 50 X 20 IMPORTADA X 12 UNIDADS</t>
  </si>
  <si>
    <t>AGUJA HIPOD. PRIMOR 50X18 IMPORTADA X 12 UNIDADES</t>
  </si>
  <si>
    <t>AGUJA REPUESTO PARA PINZA ALLFLEX</t>
  </si>
  <si>
    <t>AISLADOR ELFIN PARA CLAVAR X 25 UN</t>
  </si>
  <si>
    <t>AISLADOR REGULABLE PLASTICO X 100 UNIDADES</t>
  </si>
  <si>
    <t>AISLADOR ROLDANA PLASTICO X 100 UNIDADES</t>
  </si>
  <si>
    <t>ALICATE PARA DESCOLMILLAR IMP.</t>
  </si>
  <si>
    <t>ALLFLEX BOTON AMARILLA LISA X 25 UNIDADES</t>
  </si>
  <si>
    <t>ALLFLEX BOTON AMARILLA NUMERADA X 25 UNIDADES</t>
  </si>
  <si>
    <t>ALLFLEX BOTON AZUL LISA X 25 UNIDADES</t>
  </si>
  <si>
    <t>ALLFLEX BOTON BLANCA LISA X 2S</t>
  </si>
  <si>
    <t>ALLFLEX BOTON BLANCA NUMERADA X 25 UNIDADES</t>
  </si>
  <si>
    <t>ALLFLEX BOTON NARANJA NUMERADA X 25 UNIDADES</t>
  </si>
  <si>
    <t>ALLFLEX BOTON ROJA NUMERADA X 25 UNIDADES</t>
  </si>
  <si>
    <t>ALLFLEX BOTON ROJO LISA X 25 UNIDADES</t>
  </si>
  <si>
    <t>ALLFLEX BOTON VERDE CLARO LISA X 25 UNIDADES</t>
  </si>
  <si>
    <t>ALLFLEX CERDO LISA AMARILLO X 25 UNIDADES</t>
  </si>
  <si>
    <t>ALLFLEX CERDO LISA AZUL X 25 UNIDADES</t>
  </si>
  <si>
    <t>ALLFLEX CERDO LISA BLANCA X 25 UNIDADES</t>
  </si>
  <si>
    <t>ALLFLEX CERDO LISA ROJA X 25 UNIDADES</t>
  </si>
  <si>
    <t>ALLFLEX CERDO LISA VERDE X 25 UNIDADES</t>
  </si>
  <si>
    <t>ALLFLEX CERDO NUMERADA AZUL X 25 UNIDADES</t>
  </si>
  <si>
    <t>ALLFLEX CERDO NUMERADA NARANJA X 25 UNIDADES</t>
  </si>
  <si>
    <t>ALLFLEX DOBLE GRANDE LISA X 25 UNIDADES</t>
  </si>
  <si>
    <t>ALLFLEX ELECTRONICA FDX B/B ABIERTA</t>
  </si>
  <si>
    <t>ALLFLEX ELECTRONICA HDX B/B ABIERTA</t>
  </si>
  <si>
    <t>ALLFLEX GRANDE NUMERADA AMARILLA X 25 UNIDADES</t>
  </si>
  <si>
    <t>ALLFLEX GRANDE NUMERADA AZUL X 25 UNIDADES</t>
  </si>
  <si>
    <t>ALLFLEX GRANDE NUMERADA BLANCO X 25 UNIDADES</t>
  </si>
  <si>
    <t>ALLFLEX GRANDE NUMERADA ROJA X 25 UNIDADES</t>
  </si>
  <si>
    <t>ALLFLEX GRANDE S/N AMARILLA X 25 UNIDADES</t>
  </si>
  <si>
    <t>ALLFLEX GRANDE S/N AZUL X 25 UNIDADES</t>
  </si>
  <si>
    <t>ALLFLEX GRANDE S/N BLANCA X 25 UNIDADES</t>
  </si>
  <si>
    <t>ALLFLEX GRANDE S/N NARANJA X 25 UNIDADES</t>
  </si>
  <si>
    <t>ALLFLEX GRANDE S/N ROJA X 25 UNIDADES</t>
  </si>
  <si>
    <t>ALLFLEX GRANDE S/N VERDE CLARO X 25 UNIDADES</t>
  </si>
  <si>
    <t>ALLFLEX GRANDE S/N VERDE OSCURO X 25 UNIDADES</t>
  </si>
  <si>
    <t>ALLFLEX LECHON MAX AMARILLA X 25 UNIDADES</t>
  </si>
  <si>
    <t>ALLFLEX MACHO PEQUEÑO VASTAGO P/ID ELECTRONICA</t>
  </si>
  <si>
    <t>ALLFLEX MACHO SUELTO AMARILLO</t>
  </si>
  <si>
    <t>ALLFLEX MAXI BLANCA ESPECIAL</t>
  </si>
  <si>
    <t>ALLFLEX MAXI NUMERADA AZUL X 25 UNIDADES</t>
  </si>
  <si>
    <t>ALLFLEX MAXI NUMERADA NARANJA X 25 UNIDADES</t>
  </si>
  <si>
    <t>ALLFLEX MAXI S/N AMARILLA X 25 UNIDADES</t>
  </si>
  <si>
    <t>ALLFLEX MAXI S/N AZUL X 25 UNIDADES</t>
  </si>
  <si>
    <t>ALLFLEX MAXI S/N BLANCA X 25 UNIDADES</t>
  </si>
  <si>
    <t>ALLFLEX MAXI S/N NARANJA X 25 UNIDADES</t>
  </si>
  <si>
    <t>ALLFLEX MAXI S/N ROJA X 25 UNIDADES</t>
  </si>
  <si>
    <t>ALLFLEX MAXI S/N VERDE X 25 UNIDADES</t>
  </si>
  <si>
    <t>ALLFLEX MEDIANA NUMERADA AMARILLA X 25 UNIDADES</t>
  </si>
  <si>
    <t>ALLFLEX MEDIANA NUMERADA AZUL X 25 UNIDADES</t>
  </si>
  <si>
    <t>ALLFLEX MEDIANA NUMERADA BLANCA X 25 UNIDADES</t>
  </si>
  <si>
    <t>ALLFLEX MEDIANA NUMERADA NARANJA X 25 UNIDADES</t>
  </si>
  <si>
    <t>ALLFLEX MEDIANA NUMERADA ROJA X 25 UNIDADES</t>
  </si>
  <si>
    <t>ALLFLEX MEDIANA NUMERADA VERDE X 25 UNIDADES</t>
  </si>
  <si>
    <t>ALLFLEX MEDIANA S/N AMARILLA X 25 UNIDADES</t>
  </si>
  <si>
    <t>ALLFLEX MEDIANA S/N AZUL X 25 UNIDADES</t>
  </si>
  <si>
    <t>ALLFLEX MEDIANA S/N BLANCA X 25 UNIDADE</t>
  </si>
  <si>
    <t>ALLFLEX MEDIANA S/N NARANJA X 25 UNIDADES</t>
  </si>
  <si>
    <t>ALLFLEX MEDIANA S/N ROJA X 25 UNIDADES</t>
  </si>
  <si>
    <t>ALLFLEX MEDIANA S/N VERDE X 25 UNIDADES</t>
  </si>
  <si>
    <t>ALLFLEX MICROCHIP ESTANDAR LIFE C/JER. DESC.</t>
  </si>
  <si>
    <t>ALLFLEX R.257/17 BOTON AMARRILO</t>
  </si>
  <si>
    <t>ALLFLEX R.257/17 CONJUNTO AMARILLO</t>
  </si>
  <si>
    <t>ALLFLEX REMOVEDOR DE CARAVANAS</t>
  </si>
  <si>
    <t>ALLFLEX TIP TAG AMARILLA LISA X 100 UNIDADES</t>
  </si>
  <si>
    <t>ALLFLEX TIP TAG AZUL LISA X 100 UNIDADES</t>
  </si>
  <si>
    <t>ALLFLEX TIP TAG BLANCA LISA X 100 UNIDADES</t>
  </si>
  <si>
    <t>ALLFLEX TIP TAG LISA NARANJA X 100 UNIDADES</t>
  </si>
  <si>
    <t>ALLFLEX TIP TAG LISA ROJO X 100 UNIDADES</t>
  </si>
  <si>
    <t>ALLFLEX TIP TAG LISA VERDE X 100 UNIDADES</t>
  </si>
  <si>
    <t>ALLFLEX TIP TAG NUMERADA AMARILLA X 100 UNIDADES</t>
  </si>
  <si>
    <t>ALLFLEX TIP TAG NUMERADA AZUL X 100 UNIDADES</t>
  </si>
  <si>
    <t>ALLFLEX TIP TAG NUMERADA BLANCA X 100 UNIDADES</t>
  </si>
  <si>
    <t>ALLFLEX TIP TAG NUMERADA NARANJA X 100 UNIDADES</t>
  </si>
  <si>
    <t>ALLFLEX TIP TAG NUMERADA ROJA X 100 UNIDADES</t>
  </si>
  <si>
    <t>ALLFLEX TIP TAG NUMERADA VERDE X 100 UNIDADES</t>
  </si>
  <si>
    <t>ARREADOR FIBRA DE VIDRIO</t>
  </si>
  <si>
    <t>ARREADOR FLEXIBLE CORTO CJB</t>
  </si>
  <si>
    <t>ARREADOR FLEXIBLE LARGO CJB</t>
  </si>
  <si>
    <t>ARREADOR MINI ROJO CJB</t>
  </si>
  <si>
    <t>ARREADOR SUPER CORTO CJB</t>
  </si>
  <si>
    <t>ARREADOR SUPER LARGO CJB</t>
  </si>
  <si>
    <t>AUTODOSIFICADOR LIDER DOSI X 50 CC</t>
  </si>
  <si>
    <t>AUTODOSIFICADOR LIDER MATIC X 10 CC</t>
  </si>
  <si>
    <t>AUTODOSIFICADOR LIDER MATIC X 20 CC</t>
  </si>
  <si>
    <t>BANDA ELASTICA PARA CASTRADOR IMPORTADO</t>
  </si>
  <si>
    <t>BARRA PAINTSTICK AMARILLA</t>
  </si>
  <si>
    <t>BARRA PAINTSTICK AZUL</t>
  </si>
  <si>
    <t>BARRA PAINTSTICK NARANJA</t>
  </si>
  <si>
    <t>BARRA PAINTSTICK ROJO</t>
  </si>
  <si>
    <t>BARRA PAINTSTICK VERDE</t>
  </si>
  <si>
    <t>BEBEDERO AUT P/CERDOS X 5 ACERO INOX.</t>
  </si>
  <si>
    <t>BOLSA PARA CALOSTRO VILLANUEVA</t>
  </si>
  <si>
    <t>BOQUILLA COMPLETA 1 1/2 LT GIBER 704</t>
  </si>
  <si>
    <t>BOTON AJUSTE</t>
  </si>
  <si>
    <t>BOZAL CON CABESTRO NAC DE CINTA DE PP</t>
  </si>
  <si>
    <t>CADENA PARA ESTACA</t>
  </si>
  <si>
    <t>CALENTADOR PARA MARCAR A GAS (2 MARCAS)</t>
  </si>
  <si>
    <t>CANULA BUCAL LARGA BOVINOS (LM10-17)</t>
  </si>
  <si>
    <t>CANULA GANCHO VACUNO DOSIFICADOR</t>
  </si>
  <si>
    <t>CANULA POUR ON (LM10-21)</t>
  </si>
  <si>
    <t>CANULA TIPO LLUVIA POUR ON MATIC X 10 CC (ID710</t>
  </si>
  <si>
    <t>COMEDERO DE LONA X 25 MTS 120G/M</t>
  </si>
  <si>
    <t>COSMOS PORTABLE DEHORNER</t>
  </si>
  <si>
    <t>CUCHILLA PARA PELADORA OSTER N° 10</t>
  </si>
  <si>
    <t>CUCHILLA PARA PELADORA OSTER N° 40</t>
  </si>
  <si>
    <t>CUCHILLA PARA PELADORA OSTER N° 5</t>
  </si>
  <si>
    <t>CUCHILLA PARA PELADORA OSTER N° 5 "F"</t>
  </si>
  <si>
    <t>CUCHILLA PARA PELADORA OSTER N° 7</t>
  </si>
  <si>
    <t>CUCHILLA PARA PELADORA OSTER N° 7 "F"</t>
  </si>
  <si>
    <t>CUERPO GRADUADO TRANSPARENTE</t>
  </si>
  <si>
    <t>CUERPO PLASTICO CALIBRADO (LTBC-11)</t>
  </si>
  <si>
    <t>CUERPO PLASTICO CON ROSCA METALICA</t>
  </si>
  <si>
    <t>DESCONGELADOR DE PAJUELAS IFT SEMEX</t>
  </si>
  <si>
    <t>DESCORNADOR CUCHARA GRANDE VNSA</t>
  </si>
  <si>
    <t>DESTETADOR PLASTICO EL DESTETE X 10 UNIDADES</t>
  </si>
  <si>
    <t>DESTETADOR PLASTICO SIMIL WALMUR - VILLANUEVA</t>
  </si>
  <si>
    <t>ELECTRIFICADOR SUPER 12V 40 KM PICANA</t>
  </si>
  <si>
    <t>EMBOLO Y ARANDELA LIDER X JUEGO</t>
  </si>
  <si>
    <t>ESTACA CON CADENA Y CANASTO 16 MM</t>
  </si>
  <si>
    <t>GANCHO PARA ELFIN X 25 UN</t>
  </si>
  <si>
    <t>GRAMPA GALVANIZADA N° 3 X 100 UN</t>
  </si>
  <si>
    <t>GRAMPA GALVANIZADA N° 5 X 100 UN</t>
  </si>
  <si>
    <t>GUANTES DESC. KRUTEX AGRO X 100 AZULES</t>
  </si>
  <si>
    <t>GUANTES DESC. SOFT KRUTEX X 100 VERDES</t>
  </si>
  <si>
    <t>GUBIA DERECHA PAMPA FORGE MUSTAD</t>
  </si>
  <si>
    <t>GUBIA IZQUIERDA PAMPA FORGE MUSTAD</t>
  </si>
  <si>
    <t>GUBIA REDONDA PAMPA FORGE</t>
  </si>
  <si>
    <t>HILO PICK UP P/ARROLLADORA X 4500 MTS</t>
  </si>
  <si>
    <t>JABON DE GLICERINA PARA TORO X 1K</t>
  </si>
  <si>
    <t>JERINGA AUTOMATICA CUERPO PLASTICO 50 CC</t>
  </si>
  <si>
    <t>JERINGA AUTOMATICA LIDER TBC X 1 CC</t>
  </si>
  <si>
    <t>JUEGO DE N° PARA MARCAR CARAVANAS A FUEGO</t>
  </si>
  <si>
    <t>JUEGO DE PEINE CORTANTE OSTER AU83/84</t>
  </si>
  <si>
    <t>JUEGO PEINE Y CORTANTE AAA P/SHEARMASTER</t>
  </si>
  <si>
    <t>KIT MOCHILA 12/16/20 LTS GIBER 1501</t>
  </si>
  <si>
    <t>LANZA COMPLETA NEGRA P/MOCHILA Y TANQUE</t>
  </si>
  <si>
    <t>LAPIZ MARCADOR ALLFLEX</t>
  </si>
  <si>
    <t>LETRA TATUAJE 5/16 STONE 7,937 MM X JUEGO</t>
  </si>
  <si>
    <t>MANGUERA COMPLETA 12/16/20 GIBER 757</t>
  </si>
  <si>
    <t>MARIPOSA PARA ELFIN X 25 UN</t>
  </si>
  <si>
    <t>MOCHETA 31 CM CROMADA VNSA</t>
  </si>
  <si>
    <t>MOCHETA 31 CM ZINCADA VNSA</t>
  </si>
  <si>
    <t>MOCHETA 40 CM CROMADA VNSA</t>
  </si>
  <si>
    <t>MOCHETA 40 CM ZINCADA VNSA</t>
  </si>
  <si>
    <t>MOCHETA CORTA A RESORTE DE ALUMINIO</t>
  </si>
  <si>
    <t>MOCHILA 12 LTS GIBER SH-12</t>
  </si>
  <si>
    <t>MOCHILA 16 LTS GIBER SH-16</t>
  </si>
  <si>
    <t>MOCHILA 20 LTS GIBER SH-20</t>
  </si>
  <si>
    <t>NUMERO TATUAJE 3/8 STONE 9.525 MM</t>
  </si>
  <si>
    <t>NUMERO TATUAJE 5/16 STONE 7.937 MM</t>
  </si>
  <si>
    <t>PASTA TATUAJE 140 GRS KEMKO</t>
  </si>
  <si>
    <t>PASTA TATUAJE 30 GRS KEMKO</t>
  </si>
  <si>
    <t>PELADORA OSTER A6 SLIM</t>
  </si>
  <si>
    <t>PICO CHAMPION (L8)</t>
  </si>
  <si>
    <t>PINZA ALLFLEX</t>
  </si>
  <si>
    <t>PINZA ALLFLEX CON FLIP-PIN</t>
  </si>
  <si>
    <t>PINZA ALLFLEX UTT3S</t>
  </si>
  <si>
    <t>PINZA ELASTRATOR</t>
  </si>
  <si>
    <t>PINZA P/GRAMPAR CERDOS ZINCADA VNSA</t>
  </si>
  <si>
    <t>PINZA P/TATUAJE STONE 4 X 3/8 OREJA TERNERO</t>
  </si>
  <si>
    <t>PINZA P/TATUAJE STONE 5 X 5/16 OREJA TERNERO</t>
  </si>
  <si>
    <t>PINZA TIP TAG ALLFLEX</t>
  </si>
  <si>
    <t>PLUVIOMETRO RECTANGULAR (VN)</t>
  </si>
  <si>
    <t>PORTA AGUJAS MATHIEU 20 CM</t>
  </si>
  <si>
    <t>PRES. PREVIA 9LTS GIBER H-9</t>
  </si>
  <si>
    <t>PRES. PREVIA REP. MANGUERA COMP. 5/7/9LTS GIBER 77</t>
  </si>
  <si>
    <t>PRESION PREVIA X 1,5 LTS GIBER H-1,5</t>
  </si>
  <si>
    <t>PRESION PREVIA X 5 LTS GIBER H-5</t>
  </si>
  <si>
    <t>PRESION PREVIA X 7 LTS GIBER H-5</t>
  </si>
  <si>
    <t>REP. GIBER 1 1/2 LT KIT PRESION PREVIA</t>
  </si>
  <si>
    <t>REP. GIBER 1,5 LT OBTURADOR</t>
  </si>
  <si>
    <t>REP. GIBER 5/7/9 LT CAMARA COMPLETA</t>
  </si>
  <si>
    <t>REP. GIBER 5/7/9 LT KIT PRESION PREVIA</t>
  </si>
  <si>
    <t>SEÑALADOR SEGÚN CATALOGO N° XXX VILLA N.</t>
  </si>
  <si>
    <t>SEPARADOR DE ALAMBRE CORTO</t>
  </si>
  <si>
    <t>SOBRE DE REPUESTOS TBC X 1 CC. (EC000)</t>
  </si>
  <si>
    <t>SOBRE REPUESTO (LTBC-6)</t>
  </si>
  <si>
    <t>SONDA CON TETINA P/BOLSA DE CALOSTRO</t>
  </si>
  <si>
    <t>SONDA Y TAPA FLEXI TUBER</t>
  </si>
  <si>
    <t>TERMOMETRO AMBIENTE BASE MADERA ALCOHOL CHICO</t>
  </si>
  <si>
    <t>TERMOMETRO AMBIENTE BASE MADERA ALCOHOL GRANDE</t>
  </si>
  <si>
    <t>TERMOMETRO MERCURIO ALCOHOL GRANDE</t>
  </si>
  <si>
    <t>TERMOMETRO PARA CREMERIA SUIZO</t>
  </si>
  <si>
    <t>TERMOMETRO QUIMICO P/TERMO -10°/60°</t>
  </si>
  <si>
    <t>TIJERA MAYO CURVA 15-17 CM</t>
  </si>
  <si>
    <t>TIJERA MAYO RECTA 15-17 CM</t>
  </si>
  <si>
    <t>TIJERA PUNTA ROMA RECTA 15 CM</t>
  </si>
  <si>
    <t>TRUSTI TUBER P/BOLSA DE CALASTRO</t>
  </si>
  <si>
    <t>TUBO ACRILICO 50 CC L2A</t>
  </si>
  <si>
    <t>VARILLA HIERRO CON RULO 10 MM</t>
  </si>
  <si>
    <t>VARILLA HIERRO CON RULO 8 MM</t>
  </si>
  <si>
    <t>VELA</t>
  </si>
  <si>
    <t>VOLTIMETRO VM-5 PICANA</t>
  </si>
  <si>
    <t>AMOXIN LA X 100 ML</t>
  </si>
  <si>
    <t>BENZATRIOL X 100 ML</t>
  </si>
  <si>
    <t>BIOFLOR X 100 ML</t>
  </si>
  <si>
    <t>BUTROFINA X 50 ML</t>
  </si>
  <si>
    <t>CEFTIOMASTIN X JERINGA</t>
  </si>
  <si>
    <t>CEFTIOZUR X 100 ML</t>
  </si>
  <si>
    <t>CEFTIOZUR X 250 ML</t>
  </si>
  <si>
    <t>CELOCHECK FLUO AMARILLO X 500 ML</t>
  </si>
  <si>
    <t>CELOCHECK FLUO CELESTE X 500 ML</t>
  </si>
  <si>
    <t>CELOCHECK FLUO FUCSIA X 500 ML</t>
  </si>
  <si>
    <t>CELOCHECK FLUO NARANJA X 500 ML</t>
  </si>
  <si>
    <t>CELOCHECK FLUO VERDE X 500 ML</t>
  </si>
  <si>
    <t>CELOPROST X 20 ML</t>
  </si>
  <si>
    <t>CIPIONATO X 50 ML</t>
  </si>
  <si>
    <t>CMT REACTIVO X 1 LTS</t>
  </si>
  <si>
    <t>COMPLEJO VIT. ADE WEIZUR X 250 ML</t>
  </si>
  <si>
    <t>CONTRACTYL X 250 ML</t>
  </si>
  <si>
    <t>CONTRACTYL X 50 ML</t>
  </si>
  <si>
    <t>DISPROZUR 1 GR X 10 DISPOSITIVOS</t>
  </si>
  <si>
    <t>ENFLOXAZUR X 100 ML</t>
  </si>
  <si>
    <t>ENFLOXAZUR X 250 ML</t>
  </si>
  <si>
    <t>FLUMEXINE X 100 ML</t>
  </si>
  <si>
    <t>FLUMEXINE X 250 ML</t>
  </si>
  <si>
    <t>FUROZUR D X 25 ML</t>
  </si>
  <si>
    <t>GLUCOMAG X 500 ML</t>
  </si>
  <si>
    <t>GUANTES SENSY FLEX X 100 UNIDADES</t>
  </si>
  <si>
    <t>INTRASEC PLUS X JERINGA</t>
  </si>
  <si>
    <t>KIT REPRODUCTIVO WEIZUR DISP 1 GR X 50 TRAT</t>
  </si>
  <si>
    <t>MASTIZUR CL X JERINGA</t>
  </si>
  <si>
    <t>METAXONA X 100 ML</t>
  </si>
  <si>
    <t>METAXONA X 50 ML</t>
  </si>
  <si>
    <t>MICOZUR 300 X 100 ML</t>
  </si>
  <si>
    <t>MICOZUR 300 X 250 ML</t>
  </si>
  <si>
    <t>NOXAMINE X 100 ML</t>
  </si>
  <si>
    <t>OXICLEAN BIDON X 10 LTS</t>
  </si>
  <si>
    <t>OXITETRACICLINA LA WEIZUR X 250 ML</t>
  </si>
  <si>
    <t>PALETA PARA TEST DE MASTITIS</t>
  </si>
  <si>
    <t>PEROXILAC BIDON X 20 LTS</t>
  </si>
  <si>
    <t>POVIDINE X 1 LT</t>
  </si>
  <si>
    <t>POVIDINE X 5 LT</t>
  </si>
  <si>
    <t>POVIZUR X 1 LITRO</t>
  </si>
  <si>
    <t>POVIZUR X 5 LITROS</t>
  </si>
  <si>
    <t>PROTHEPAT M X 100 ML</t>
  </si>
  <si>
    <t>SLINE X 200 ML</t>
  </si>
  <si>
    <t>TILOZUR X 250 ML</t>
  </si>
  <si>
    <t>UDDER BALM DESINFLAMANTE X 250 GRS</t>
  </si>
  <si>
    <t>UDDER BALM X 250 GRS</t>
  </si>
  <si>
    <t>ULTRASEAL X JERINGA</t>
  </si>
  <si>
    <t>PODOCARE X 20 LT</t>
  </si>
  <si>
    <t>ADVOCIN X 50 ML</t>
  </si>
  <si>
    <t>CICLASE DL X 100 ML</t>
  </si>
  <si>
    <t>CICLASE DL X 20 ML</t>
  </si>
  <si>
    <t>CICLASE DL X 50 ML</t>
  </si>
  <si>
    <t>CIDR X 10 DISPOSITIVOS</t>
  </si>
  <si>
    <t>CIPIOSIN ZOETIS X 100 ML</t>
  </si>
  <si>
    <t>CLAMOXIL LA X 100 ML</t>
  </si>
  <si>
    <t>CLAVAMOX JERINGA X 3 GRS (CAJA X 12 POMOS)</t>
  </si>
  <si>
    <t>CYDECTIN ALFA FRASCO X 500 ML</t>
  </si>
  <si>
    <t>DECTOMAX X 50 ML</t>
  </si>
  <si>
    <t>DECTOMAX X 250 ML</t>
  </si>
  <si>
    <t>DECTOMAX X 500 ML</t>
  </si>
  <si>
    <t>DIB 0.5 GRS X 10 UNIDADES</t>
  </si>
  <si>
    <t>DIB 1 GR X 10 UNIDADES</t>
  </si>
  <si>
    <t>DRAXXIN "KP" X 250 ML</t>
  </si>
  <si>
    <t>DRAXXIN "KP" X 50 ML</t>
  </si>
  <si>
    <t>DRAXXIN INY X 50 ML</t>
  </si>
  <si>
    <t>DUOGESTAL EGG</t>
  </si>
  <si>
    <t>DUPHAMOX X 100 ML</t>
  </si>
  <si>
    <t>EXCEDE CATTLE X 100 ML</t>
  </si>
  <si>
    <t>GONADIOL X 100 ML</t>
  </si>
  <si>
    <t>LUTALYSE INY. 5 MG X 100 ML</t>
  </si>
  <si>
    <t>LUTALYSE INY. 5 MG X 30 ML</t>
  </si>
  <si>
    <t>MATABICHERA FD X 500 CC</t>
  </si>
  <si>
    <t>MEFLOSYL X 50 ML</t>
  </si>
  <si>
    <t>NOVORMON 20000</t>
  </si>
  <si>
    <t>NOVORMON 5000 (FRASCO X 12,5 DOSIS)</t>
  </si>
  <si>
    <t>ONE SHOT ULTRA 8 X 50 DS</t>
  </si>
  <si>
    <t>ORBENIN JERINGA (CAJA X 24 POMOS)</t>
  </si>
  <si>
    <t>OVALYSE X 20 ML</t>
  </si>
  <si>
    <t>OVUSYN</t>
  </si>
  <si>
    <t>PACK REPRODUCTIVO CIDR 100 TRAT C/CIPIO</t>
  </si>
  <si>
    <t>PACK REPRODUCTIVO ZOETIS 100 TRAT DIB 0.5 GR C/BEN</t>
  </si>
  <si>
    <t>PACK REPRODUCTIVO ZOETIS 100 TRAT DIB 0.5 GR C/CIP</t>
  </si>
  <si>
    <t>PACK REPRODUCTIVO ZOETIS 100 TRAT DIB 1 GR C/BENZO</t>
  </si>
  <si>
    <t>PACK REPRODUCTIVO ZOETIS 100 TRAT DIB 1 GR C/CIPIO</t>
  </si>
  <si>
    <t>PENTABIOTICO REFORZADO</t>
  </si>
  <si>
    <t>PROGESPON BOLSA X 50 UNIDADES</t>
  </si>
  <si>
    <t>RIPERCOL L FOSFATO X 250 ML</t>
  </si>
  <si>
    <t>SPECTRAMAST DC X JERINGA</t>
  </si>
  <si>
    <t>SPECTRAMAST LC X JERINGA</t>
  </si>
  <si>
    <t>SPIROVAC L5 X 50 DOSIS</t>
  </si>
  <si>
    <t>SPIROVAC VL5 X 50 DOSIS</t>
  </si>
  <si>
    <t>STARTEC X 1 LITRO</t>
  </si>
  <si>
    <t>TEAT SEAL JERINGA X 4 GRS</t>
  </si>
  <si>
    <t>TERRA "LA" X 50 ML</t>
  </si>
  <si>
    <t>TERRA "LA" X 250 ML</t>
  </si>
  <si>
    <t>TERRA "LA" X 500 ML</t>
  </si>
  <si>
    <t>TERRACORTRIL SPRAY X 125 ML</t>
  </si>
  <si>
    <t>TERRAMICINA 100 X 100 ML</t>
  </si>
  <si>
    <t>TERRAMICINA SOL INY X 50 ML</t>
  </si>
  <si>
    <t>TERRAMICINA SOL INY X 250 ML</t>
  </si>
  <si>
    <t>TERRAMICINA SOL INY X 500 ML</t>
  </si>
  <si>
    <t>TREO ACE SOL X 500 ML</t>
  </si>
  <si>
    <t>ULTRACHOICE X 50 DOSIS</t>
  </si>
  <si>
    <t>VITAMINA ADE X 100 ML</t>
  </si>
  <si>
    <t>APOQUEL 3,6 MG X 20 COMPRIMIDOS</t>
  </si>
  <si>
    <t>APOQUEL 5,4 MG X 20 COMPRIMIDOS</t>
  </si>
  <si>
    <t>APOQUEL 16 MG X 20 COMPRIMIDOS</t>
  </si>
  <si>
    <t>ARTROGLYCAN PLUS X 60 COMPRIMIDOS</t>
  </si>
  <si>
    <t>ARTROGLYCAN X 90 COMP</t>
  </si>
  <si>
    <t>CERENIA INY X 20</t>
  </si>
  <si>
    <t>CLAVAMOX TABS 250 MG X 50 TABLETAS</t>
  </si>
  <si>
    <t>CONVENIA X 10 ML</t>
  </si>
  <si>
    <t>CONVENIA X 4 ML</t>
  </si>
  <si>
    <t>COUGHGUARD PLUS X DOSIS</t>
  </si>
  <si>
    <t>CYTOPOINT X 20 MG</t>
  </si>
  <si>
    <t>CYTOPOINT X 40 MG</t>
  </si>
  <si>
    <t>DEFENSOR X DOSIS</t>
  </si>
  <si>
    <t>FELOCELL CVR X DOSIS</t>
  </si>
  <si>
    <t>GIARDIA VAX X 1 DS</t>
  </si>
  <si>
    <t>RIMADYL CHEWABLE 25 MG X 60 TAB</t>
  </si>
  <si>
    <t>RIMADYL CHEWABLE 75 MG X 60 TAB</t>
  </si>
  <si>
    <t>RIMADYL CHEWABLE 100 MG X 60 TAB</t>
  </si>
  <si>
    <t>SIMPARICA 120 MG (40 A 60 KG)</t>
  </si>
  <si>
    <t>SIMPARICA 5 MG (1,3 A 2,5 KG)</t>
  </si>
  <si>
    <t>VANGUARD PLUS 5 L4 "CV" X DS</t>
  </si>
  <si>
    <t>VANGUARD PLUS 5 L4 X DS</t>
  </si>
  <si>
    <t>VANGUARD PLUS 5 X DS</t>
  </si>
  <si>
    <t>EXCEDE SWINE (CERDOS) X 100 ML</t>
  </si>
  <si>
    <t>FARROWSURE GOLD B X 50 DOSIS</t>
  </si>
  <si>
    <t>FOSTERA PCV MH X 50 DS</t>
  </si>
  <si>
    <t>IMPROVAC X 125 DOSIS</t>
  </si>
  <si>
    <t>IMPROVAC X 50 DS</t>
  </si>
  <si>
    <t>LITTERGUARD LT-C FCO X 50 DS</t>
  </si>
  <si>
    <t>PARVO LEPTO 7 X 10 DS</t>
  </si>
  <si>
    <t>PARVO LEPTO 7 X 50 DS</t>
  </si>
  <si>
    <t>RESPISURE COMUN X 50 DS</t>
  </si>
  <si>
    <t>RESPISURE ONE X 50 DS</t>
  </si>
  <si>
    <t>SUVAXYN MH HPS FRASCO X 125 DOSIS</t>
  </si>
  <si>
    <t>SUVAXYN RESPIFEND APP50 X 50 DOSIS</t>
  </si>
  <si>
    <t>A4 ZOOVET X 100 ML</t>
  </si>
  <si>
    <t>A4 ZOOVET X 5 LTS</t>
  </si>
  <si>
    <t>A4 ZOOVET X 500 ML</t>
  </si>
  <si>
    <t>ACTINOMICINA X 40 ML</t>
  </si>
  <si>
    <t>ALGICAM 2% X 50 ML</t>
  </si>
  <si>
    <t>ALGIMINE X 100 ML</t>
  </si>
  <si>
    <t>ALGIMINE X 250 ML</t>
  </si>
  <si>
    <t>ALGIMINE X 50 ML</t>
  </si>
  <si>
    <t>ALGITOCINA X 100 ML</t>
  </si>
  <si>
    <t>AMOXIVET X 100 ML</t>
  </si>
  <si>
    <t>ANTIVERRUGAS ZOOVET X 50 ML</t>
  </si>
  <si>
    <t>APLICADOR VERMEX ORAL X 30 ML</t>
  </si>
  <si>
    <t>ATB 5 (POLVO+DILUYENTE)</t>
  </si>
  <si>
    <t>ATB FENAC 10M (POLVO+DILUYENTE)</t>
  </si>
  <si>
    <t>ATB FENAC 5M (POLVO+DILUYENTE)</t>
  </si>
  <si>
    <t>BENZOATO DE ESTRADIOL ZOOVET X 100 ML</t>
  </si>
  <si>
    <t>BRONCOMICINA X 100 ML</t>
  </si>
  <si>
    <t>BRONCOMICINA X 250 ML</t>
  </si>
  <si>
    <t>BUSERELINA X 25 ML</t>
  </si>
  <si>
    <t>BUSERELINA X 50 ML</t>
  </si>
  <si>
    <t>CEFAFUR 75-K X 100 ML</t>
  </si>
  <si>
    <t>CEFAFUR 75-K X 250 ML</t>
  </si>
  <si>
    <t>CEFAFUR INY X 100 ML</t>
  </si>
  <si>
    <t>CEFAFUR INY X 250 ML</t>
  </si>
  <si>
    <t>CEFAFUR MASTITIS AGUDA (BALDE X 180 POMOS)</t>
  </si>
  <si>
    <t>CEFAFUR SECADO (BALDE X 180 JGAS)</t>
  </si>
  <si>
    <t>CEFATENOL MV (POLVO+DILUYENTE+APLICADOR)</t>
  </si>
  <si>
    <t>CEFAVET X 100 ML</t>
  </si>
  <si>
    <t>CICLAR X 20 ML (ZOOVET)</t>
  </si>
  <si>
    <t>CICLAR X 50 ML (ZOOVET)</t>
  </si>
  <si>
    <t>CIPIONATO ZOOVET X 50 ML (0,1%)</t>
  </si>
  <si>
    <t>CLOXAMPI M.A (BALDE X 180 JGAS)</t>
  </si>
  <si>
    <t>CLOXASEC SECADO (BALDE X 180 JGAS)</t>
  </si>
  <si>
    <t>COAGULANTE ZOOVET X 50 ML</t>
  </si>
  <si>
    <t>CONTRACTINA X 50 ML</t>
  </si>
  <si>
    <t>CURAPIETIN X 100 ML</t>
  </si>
  <si>
    <t>CUZINC X 500 ML</t>
  </si>
  <si>
    <t>DELTA 50 FRASCOS X 20 ML</t>
  </si>
  <si>
    <t>DELTA 50 PIPETAS X 10 ML</t>
  </si>
  <si>
    <t>DELTA 50 X 100 ML</t>
  </si>
  <si>
    <t>DEXA 21-VET X 10 ML (ZOOVET)</t>
  </si>
  <si>
    <t>DEXA 21-VET X 100 ML (ZOOVET)</t>
  </si>
  <si>
    <t>DEXA 21-VET X 20 ML (ZOOVET)</t>
  </si>
  <si>
    <t>DI OXI FORTE X 100 ML</t>
  </si>
  <si>
    <t>DI OXI FORTE X 250 ML</t>
  </si>
  <si>
    <t>DICLAZURIL AVES ZOOVET X 1 LT</t>
  </si>
  <si>
    <t>DIPROGEST 1200 X 10 DOSIS</t>
  </si>
  <si>
    <t>DIPROGEST 600 X 10 DOSIS</t>
  </si>
  <si>
    <t>DRM 1% X 50 ML</t>
  </si>
  <si>
    <t>DRM 1% X 500 ML</t>
  </si>
  <si>
    <t>DUO DEXA FENAC X 100 ML</t>
  </si>
  <si>
    <t>DUOSECRETINA INY X 100 ML</t>
  </si>
  <si>
    <t>EB365 X 50 ML</t>
  </si>
  <si>
    <t>ECTO 2 A PLUS X 200 ML</t>
  </si>
  <si>
    <t>ECTO-TAK X 1 LT</t>
  </si>
  <si>
    <t>ECTO-TAK X 5 LTS</t>
  </si>
  <si>
    <t>ECTO-THION X 1 LT</t>
  </si>
  <si>
    <t>ECTO-THION X 5 LTS</t>
  </si>
  <si>
    <t>EDEMAX X 30 ML</t>
  </si>
  <si>
    <t>ELECTROLAC POMO X 50 ML</t>
  </si>
  <si>
    <t>ELECTROLAC X 1 LT</t>
  </si>
  <si>
    <t>ENDECTION 3,15% X 500 ML</t>
  </si>
  <si>
    <t>ENDECTOMICIN ADE 4% X 500 ML</t>
  </si>
  <si>
    <t>ENROPLUS I X 100 ML</t>
  </si>
  <si>
    <t>ENROPLUS ORAL X 1 LT</t>
  </si>
  <si>
    <t>ENTERO RELAX DUO X 50 ML</t>
  </si>
  <si>
    <t>ENTEROPLUS JARABE X 500 C/DOSIF.</t>
  </si>
  <si>
    <t>ENTEROPLUS JBE JERINGA MONODOSIS X 12 ML</t>
  </si>
  <si>
    <t>ENTEROPLUS X 100 CAPSULAS</t>
  </si>
  <si>
    <t>EUTANASICO ZOOVET X 100 ML</t>
  </si>
  <si>
    <t>FLOXA MAX 10% X 100 ML</t>
  </si>
  <si>
    <t>FOLI-REC X 100 ML (50 DOSIS)</t>
  </si>
  <si>
    <t>FOLI-REC X 30 ML (15 DOSIS)</t>
  </si>
  <si>
    <t>GRAM 100 X 100 ML</t>
  </si>
  <si>
    <t>HEMOSHOCK X 100 ML</t>
  </si>
  <si>
    <t>IDOCARB B12 X 100 ML</t>
  </si>
  <si>
    <t>IDOCARB B12 X 20 ML</t>
  </si>
  <si>
    <t>INJECTION INY X 500 ML</t>
  </si>
  <si>
    <t>IODURO ZOOVET X 50 ML</t>
  </si>
  <si>
    <t>IVERMEX JGA X 12 ML</t>
  </si>
  <si>
    <t>IVERMEX PLUS X 12 ML</t>
  </si>
  <si>
    <t>KIT CUT 5 X 50 DOSIS</t>
  </si>
  <si>
    <t>KIT DIPROGEST 1200 (LECHE) X 50 DOSIS</t>
  </si>
  <si>
    <t>KIT DIPROGEST 600 X 50 DOSIS</t>
  </si>
  <si>
    <t>KIT HORMONAL X 5 DOSIS</t>
  </si>
  <si>
    <t>KIT J-SYNCH DIPROGEST 600 X 50 DS</t>
  </si>
  <si>
    <t>KIT PROCICLAR FULL X 50 DOSIS</t>
  </si>
  <si>
    <t>KIT SINERGIA RECRIA (2 FCOS X 500 ML)</t>
  </si>
  <si>
    <t>LINCO 300 X 100 ML (ZOOVET)</t>
  </si>
  <si>
    <t>MAGNEZINC PLUS X 500 ML ( ZOOVET )</t>
  </si>
  <si>
    <t>MAS D3 INY X 120 ML</t>
  </si>
  <si>
    <t>MAS D3 X 10 ML (CAJA X 100 JGAS)</t>
  </si>
  <si>
    <t>MAS D3 X 10 ML (CAJA X 20 JGAS)</t>
  </si>
  <si>
    <t>METHIONIL INY X 100 ML</t>
  </si>
  <si>
    <t>MK 471 X 250 ML</t>
  </si>
  <si>
    <t>MULTIPEN 10M (POLVO+DILUYENTE)</t>
  </si>
  <si>
    <t>MULTIPEN 5M (POLVO + DILUYENTE)</t>
  </si>
  <si>
    <t>NEUMOXINA X 50 ML</t>
  </si>
  <si>
    <t>OLEOVET ADE INY X 100 ML</t>
  </si>
  <si>
    <t>ONCE (7+4) C/SELENIO X 500 ML</t>
  </si>
  <si>
    <t>ML</t>
  </si>
  <si>
    <t>OXIFENAC LA X 100 ML</t>
  </si>
  <si>
    <t>OXIFENAC LA X 250 ML</t>
  </si>
  <si>
    <t>OXIFENAC LA X 500 ML</t>
  </si>
  <si>
    <t>OXISOL "LA" X 250 ML</t>
  </si>
  <si>
    <t>OXISOL "LA" X 500 ML</t>
  </si>
  <si>
    <t>OXISOL X 250 ML</t>
  </si>
  <si>
    <t>PARENTERIL INY X 100 ML</t>
  </si>
  <si>
    <t>POLICALCIO B12 X 250 ML</t>
  </si>
  <si>
    <t>POLICALCIO B12 X 500 ML</t>
  </si>
  <si>
    <t>POWERMIN ADE X 500 ML</t>
  </si>
  <si>
    <t>PREXICAN X 25 ML</t>
  </si>
  <si>
    <t>PRO CICLAR P4 X 10 DOSIS</t>
  </si>
  <si>
    <t>ROCHY CREMA X 200 GR</t>
  </si>
  <si>
    <t>ROCHY LIQUIDO X 1 LT</t>
  </si>
  <si>
    <t>ROCHY LIQUIDO X 250 ML</t>
  </si>
  <si>
    <t>ROCHY PASTA X 450 GR</t>
  </si>
  <si>
    <t>ROCHY PASTA X 900 GR</t>
  </si>
  <si>
    <t>ROCHY POLVO X 1 KG</t>
  </si>
  <si>
    <t>ROCHY POLVO X 200 GR</t>
  </si>
  <si>
    <t>SELEVIT ENERGY X 500 ML</t>
  </si>
  <si>
    <t>SULFADERM AEROSOL X 240 ML</t>
  </si>
  <si>
    <t>SULFAVET X 100 ML</t>
  </si>
  <si>
    <t>TBO ZOOVET X 1 LT</t>
  </si>
  <si>
    <t>TDF 35 X 100 ML</t>
  </si>
  <si>
    <t>TILMICOFULL DUO INY X 100 ML</t>
  </si>
  <si>
    <t>TILMICOFULL DUO INY X 250 ML</t>
  </si>
  <si>
    <t>TILMICOFULL SPRAY X 200 ML</t>
  </si>
  <si>
    <t>TILMICOVET X 100 ML</t>
  </si>
  <si>
    <t>TONICFOS X 50 ML</t>
  </si>
  <si>
    <t>VAQUERO POUR ON X 1 LT</t>
  </si>
  <si>
    <t>VAQUERO POUR ON X 5 LTS</t>
  </si>
  <si>
    <t>VCC FRASCO X 500 ZOOVET</t>
  </si>
  <si>
    <t>VCC SACHET X 500 ZOOVET</t>
  </si>
  <si>
    <t>VERMEX "L" X 500 ML</t>
  </si>
  <si>
    <t>VERMEX INY. X 500 ML</t>
  </si>
  <si>
    <t>VERMEX ORAL 10% X 1 LT</t>
  </si>
  <si>
    <t>VERMEX ORAL 10% X 5 LT</t>
  </si>
  <si>
    <t>VERMEX ORAL 3.8% X 1 LT</t>
  </si>
  <si>
    <t>XILAZINA ZOOVET X 20 ML</t>
  </si>
  <si>
    <t>ZIFLOR FENAC X 100 ML</t>
  </si>
  <si>
    <t>ZIFLOR FENAC X 250 ML</t>
  </si>
  <si>
    <t>ZIFLOR GEL POMO X 150 GRS</t>
  </si>
  <si>
    <t>ALBEX COMPRIMIDO - FP X 10 COMP</t>
  </si>
  <si>
    <t>ALBEX PREMIUN X 10 COMP</t>
  </si>
  <si>
    <t>ALGICAM PETS 2 MG BLISTER X 10 COMP</t>
  </si>
  <si>
    <t>ALGICAM PETS 4 MG BLISTER X 10 COMP</t>
  </si>
  <si>
    <t>ALGICAM PETS INY 0,5% X 50 ML</t>
  </si>
  <si>
    <t>ALGIDOL DUO 75 MG FP X 5 COMP</t>
  </si>
  <si>
    <t>ALGIDOL INY X 50 ML</t>
  </si>
  <si>
    <t>ARTROVET FP X 10 COMP</t>
  </si>
  <si>
    <t>ARTROVET PLUS - FP X 5 COMP</t>
  </si>
  <si>
    <t>ARTROVET PLUS PREMIUN - 2 FP X 5 COMP</t>
  </si>
  <si>
    <t>ATB LISTO X 100 ML</t>
  </si>
  <si>
    <t>BARBITOL 30 MG X 30 COMP</t>
  </si>
  <si>
    <t>BARBITOL 60 MG X 30 COMP</t>
  </si>
  <si>
    <t>BARBITOL 90 MG X 30 COMP</t>
  </si>
  <si>
    <t>BUCAL VET X 100 ML</t>
  </si>
  <si>
    <t>BUCAL VET X 250 ML</t>
  </si>
  <si>
    <t>BUCAL VET X 500 ML</t>
  </si>
  <si>
    <t>CAE PERRO CHICO 500 MG X 21</t>
  </si>
  <si>
    <t>CARPRODOL 100 MG X 21 COMP</t>
  </si>
  <si>
    <t>CARPRODOL 75 MG X 21 COMP</t>
  </si>
  <si>
    <t>CEFALONG COMP 1000 MG (FP X 5 COMP)</t>
  </si>
  <si>
    <t>CEFALONG COMP 500 MG (FP X 8 COMP)</t>
  </si>
  <si>
    <t>CIPROPLUS GEL OTICO JGA X 10 ML</t>
  </si>
  <si>
    <t>MAYORS</t>
  </si>
  <si>
    <t>CURAVET PLATA AEROSOL X 267 GRS</t>
  </si>
  <si>
    <t>DIAZEPAN ZOOVET X 20 ML</t>
  </si>
  <si>
    <t>DIAZEPAN ZOOVET X 50 ML</t>
  </si>
  <si>
    <t>DOXIN INY X 50 ML</t>
  </si>
  <si>
    <t>DOXIVIT ZOOVET 100 MG FP X 10 COMP</t>
  </si>
  <si>
    <t>DOXIVIT ZOOVET 200 MG FP X 5 COMP</t>
  </si>
  <si>
    <t>DUOSECRETINA COMP - FP X 10 COMP</t>
  </si>
  <si>
    <t>DUOSECRETINA PREMIUM X 10 COMP</t>
  </si>
  <si>
    <t>ECTOCAN X 100 ML</t>
  </si>
  <si>
    <t>ENROPLUS 100 MG FP X 10 COMP</t>
  </si>
  <si>
    <t>ENROPLUS 150 MG FP X 10 COMP</t>
  </si>
  <si>
    <t>ENROPLUS 50 MG FP X 10 COMP</t>
  </si>
  <si>
    <t>ENTERO PLUS JARABE X 50 ML</t>
  </si>
  <si>
    <t>EUTANASICO ZOOVET X 15 ML</t>
  </si>
  <si>
    <t>FIP FORTE DE 24 A 40 KG</t>
  </si>
  <si>
    <t>FIP FORTE DE 4 A 9 KG</t>
  </si>
  <si>
    <t>FIP FORTE DE 40 A 60 KG</t>
  </si>
  <si>
    <t>FIP FORTE DE 9 A 24 KG</t>
  </si>
  <si>
    <t>FIP FORTE HASTA 4 KG</t>
  </si>
  <si>
    <t>FULL HEPAT 100 MG X 30 COMP</t>
  </si>
  <si>
    <t>FULL HEPAT 50 MG X 30 COMP</t>
  </si>
  <si>
    <t>INJECTION INY X 50 ML</t>
  </si>
  <si>
    <t>ITRACONAZOL ZOOVET FP X 10 COMP</t>
  </si>
  <si>
    <t>PEP 90 DE 10,1 A 20 KG</t>
  </si>
  <si>
    <t>PEP 90 DE 2 A 4,4 KG</t>
  </si>
  <si>
    <t>PEP 90 DE 20,1 A 32 KG</t>
  </si>
  <si>
    <t>PEP 90 DE 32,1 A 64 KG</t>
  </si>
  <si>
    <t>PEP 90 DE 4,5 A 10 KG</t>
  </si>
  <si>
    <t>PERFUME 16 SPRAY + 4 TESTER - EXHIBIDOR</t>
  </si>
  <si>
    <t>PERFUME LISBOA (GERONTE) SPRAY X 120 ML</t>
  </si>
  <si>
    <t>PERFUME MILAN (HEMBRAS) SPRAY X 120 ML</t>
  </si>
  <si>
    <t>PERFUME MOSCU (MACHOS) SPRAY X 120 ML</t>
  </si>
  <si>
    <t>PERFUME PARIS (CACHORROS) SPRAY X 120 ML</t>
  </si>
  <si>
    <t>PERFUME PARIS (CACHORROS) X 500 ML</t>
  </si>
  <si>
    <t>PETS PROTECTOR MAX DE 10 A 20 KG</t>
  </si>
  <si>
    <t>PETS PROTECTOR MAX DE 2 A 5 KG</t>
  </si>
  <si>
    <t>PETS PROTECTOR MAX DE 20 A 40 KG</t>
  </si>
  <si>
    <t>PETS PROTECTOR MAX DE 40 A 60 KG</t>
  </si>
  <si>
    <t>PETS PROTECTOR MAX DE 5 A 10 KG</t>
  </si>
  <si>
    <t>PETS PROTECTOR MAX GATOS 4 KG</t>
  </si>
  <si>
    <t>PETS PROTECTOR SPRAY X 250 ML</t>
  </si>
  <si>
    <t>PIP GATO HASTA 4 KG X FP</t>
  </si>
  <si>
    <t>PIP GATO MÁS DE 4 KG X FP</t>
  </si>
  <si>
    <t>PIP PLUS 4 KG X FP</t>
  </si>
  <si>
    <t>PIP PLUS 10 KG X FP</t>
  </si>
  <si>
    <t>PIP PLUS 25 KG X FP</t>
  </si>
  <si>
    <t>PIP PLUS 40 KG X FP</t>
  </si>
  <si>
    <t>PIP PLUS 60 KG X FP</t>
  </si>
  <si>
    <t>PLANO 3 X 50 ML (KETAMINA)</t>
  </si>
  <si>
    <t>PREDNOVET FP X 10 COMP</t>
  </si>
  <si>
    <t>PREDNOVET PREMIUN X 10 COMP</t>
  </si>
  <si>
    <t>ROCHY CREMA X 15 GR</t>
  </si>
  <si>
    <t>ROCHY CREMA X 60 GR</t>
  </si>
  <si>
    <t>SHAMPOO BELLEZA ZOOVET X 350 ML</t>
  </si>
  <si>
    <t>SHAMPOO BELLEZA ZOOVET X 5 LTS</t>
  </si>
  <si>
    <t>SINCELAR BLISTER X 10 COMP</t>
  </si>
  <si>
    <t>SINCELAR I X 1 ML</t>
  </si>
  <si>
    <t>SINCELAR I X 1,5 ML</t>
  </si>
  <si>
    <t>SINCELAR I X 10 ML</t>
  </si>
  <si>
    <t>SPINOMAX DUO DE 18 A 36 KG</t>
  </si>
  <si>
    <t>SPINOMAX DUO DE 2 A 4 KG</t>
  </si>
  <si>
    <t>SPINOMAX DUO DE 36 A 70 KG</t>
  </si>
  <si>
    <t>SPINOMAX DUO DE 4 A 9 KG</t>
  </si>
  <si>
    <t>SPINOMAX DUO DE 9 A 18 KG</t>
  </si>
  <si>
    <t>SULFADERM AEROSOL 45 GR</t>
  </si>
  <si>
    <t>TETRAVERMEX PERROS CHIC SURTIDO X 12 FP</t>
  </si>
  <si>
    <t>TILDREN 10 FRASCOS X 50 MG</t>
  </si>
  <si>
    <t>TIU X 30 COMP (3 BL X 10 COMP)</t>
  </si>
  <si>
    <t>TOTALVET CHICO FP X 10 COMP</t>
  </si>
  <si>
    <t>TOTALVET GRANDE FP X 5 COMP</t>
  </si>
  <si>
    <t>TOTALVET MEDIANO FP X 8 COMP</t>
  </si>
  <si>
    <t>TOTALVET X 30 ML</t>
  </si>
  <si>
    <t>TRAT. INTEGRAL 24 A 40 KG (FIP+LPA)</t>
  </si>
  <si>
    <t>TRAT. INTEGRAL 4 A 9 KG (FIP+LPA)</t>
  </si>
  <si>
    <t>TRAT. INTEGRAL 40 A 60 KG (FIP+LPA)</t>
  </si>
  <si>
    <t>TRAT. INTEGRAL 9 A 24 KG (FIP+LPA)</t>
  </si>
  <si>
    <t>TRAT. INTEGRAL GATOS 0 A 4 KG</t>
  </si>
  <si>
    <t>TRAT. INTEGRAL GATOS 4 A 9 KG</t>
  </si>
  <si>
    <t>TRAT. INTEGRAL HASTA 4 KG (FIP+LPA)</t>
  </si>
  <si>
    <t>TRIAVET X 20 ML</t>
  </si>
  <si>
    <t>TRIVERMEX 40 KG - FP X 4 COMP</t>
  </si>
  <si>
    <t>TRIVERMEX 60 KG - FP X 3 COMP</t>
  </si>
  <si>
    <t>OSSPRET</t>
  </si>
  <si>
    <t>TRIVERMEX PREMIUM 20 KG</t>
  </si>
  <si>
    <t>TRIVERMEX PREMIUM 40 KG</t>
  </si>
  <si>
    <t>TRIVERMEX PREMIUM 60 KG</t>
  </si>
  <si>
    <t>TRIVERMEX SUSP X 100 ML</t>
  </si>
  <si>
    <t>TRIVERMEX SUSP X 15 ML</t>
  </si>
  <si>
    <t>VITA PLUS CHICOS X 20 COMP (2 BL X 10 C)</t>
  </si>
  <si>
    <t>VITA PLUS GRANDES X 21 COMP (7 BL X 3 C)</t>
  </si>
  <si>
    <t>VITA PLUS MEDIANOS X 20 COMP (4 BL X 5 C)</t>
  </si>
  <si>
    <t>ZIFLOR CREMA CICATRIZANTE X 15 GR</t>
  </si>
  <si>
    <t>ZOETIS P.A</t>
  </si>
  <si>
    <t>mg</t>
  </si>
  <si>
    <t>ZOOVET P.A</t>
  </si>
  <si>
    <t>MSD P.A</t>
  </si>
  <si>
    <t>BOEHRINGER PEQUEÑOS</t>
  </si>
  <si>
    <t>Comp</t>
  </si>
  <si>
    <t>Cardinas</t>
  </si>
  <si>
    <t>P-816</t>
  </si>
  <si>
    <t>P-817</t>
  </si>
  <si>
    <t>COLLAR CON PAÑUELO CHICO</t>
  </si>
  <si>
    <t>Collares</t>
  </si>
  <si>
    <t>COLLAR CON PAÑUELO MEDIANO</t>
  </si>
  <si>
    <t>Animall</t>
  </si>
  <si>
    <t>COLLAR CON PAÑUELO GRANDE</t>
  </si>
  <si>
    <t>collar nylon  talle 1</t>
  </si>
  <si>
    <t>C-1105</t>
  </si>
  <si>
    <t>C-1106</t>
  </si>
  <si>
    <t>C-1107</t>
  </si>
  <si>
    <t>C-1108</t>
  </si>
  <si>
    <t>C-1109</t>
  </si>
  <si>
    <t>COLLAR NYLON N°6</t>
  </si>
  <si>
    <t>C-1110</t>
  </si>
  <si>
    <t>COLLAR NYLON N°8</t>
  </si>
  <si>
    <t>C-1113</t>
  </si>
  <si>
    <t>collares  con cascabel</t>
  </si>
  <si>
    <t>C-133</t>
  </si>
  <si>
    <t>Correas y collares (Kit)</t>
  </si>
  <si>
    <t>C-1115</t>
  </si>
  <si>
    <t>C-1118</t>
  </si>
  <si>
    <t xml:space="preserve">Correas  </t>
  </si>
  <si>
    <t>C-1101</t>
  </si>
  <si>
    <t>C-1102</t>
  </si>
  <si>
    <t>C-1103</t>
  </si>
  <si>
    <t>C-132</t>
  </si>
  <si>
    <t>Ropa</t>
  </si>
  <si>
    <t>I-404</t>
  </si>
  <si>
    <t>I-406</t>
  </si>
  <si>
    <t>I-407</t>
  </si>
  <si>
    <t>I-408</t>
  </si>
  <si>
    <t>I-409</t>
  </si>
  <si>
    <t>Blondi</t>
  </si>
  <si>
    <t>Cuchas</t>
  </si>
  <si>
    <t>Quantum</t>
  </si>
  <si>
    <t>DHPPI</t>
  </si>
  <si>
    <t>E-309</t>
  </si>
  <si>
    <t>0-1006</t>
  </si>
  <si>
    <t xml:space="preserve">Bandeja  </t>
  </si>
  <si>
    <t>0-1005</t>
  </si>
  <si>
    <t>C-101</t>
  </si>
  <si>
    <t>D-202</t>
  </si>
  <si>
    <t>EXTRACCION SANGUÍNEA,TOMA DE MUESTRAS</t>
  </si>
  <si>
    <t xml:space="preserve">SUELTO X 1 KG - EXCELLENT PUPPY(r.med. y grandes) </t>
  </si>
  <si>
    <t>PRO PLAN</t>
  </si>
  <si>
    <t>ROYAL CANIN</t>
  </si>
  <si>
    <t>Lab. joliday</t>
  </si>
  <si>
    <t>ODONTOBIOTIC  Blister x 10 Comp</t>
  </si>
  <si>
    <t>Jambier</t>
  </si>
  <si>
    <t>OPTIMUM</t>
  </si>
  <si>
    <t>JM</t>
  </si>
  <si>
    <t>AGILITY DERMA CONTROL ADULTO X 3 KG</t>
  </si>
  <si>
    <t>FRONTLINE</t>
  </si>
  <si>
    <t>0-1026</t>
  </si>
  <si>
    <t>SIEGER  ADULTOS MORDIDA PEQUEÑA Present: 3 KG</t>
  </si>
  <si>
    <t>SIEGER</t>
  </si>
  <si>
    <t>CARDIOVIER  E 20 KG X blister 10 Comprimidos</t>
  </si>
  <si>
    <t>Anticonceptivas y pseudopreniez</t>
  </si>
  <si>
    <t xml:space="preserve">Orejas de vaca </t>
  </si>
  <si>
    <t>E-314</t>
  </si>
  <si>
    <t>C-1129</t>
  </si>
  <si>
    <t>C-104</t>
  </si>
  <si>
    <t>C-105</t>
  </si>
  <si>
    <t>J-1563</t>
  </si>
  <si>
    <t>J-537</t>
  </si>
  <si>
    <t>J-561</t>
  </si>
  <si>
    <t>Correa extensible x 3 metros</t>
  </si>
  <si>
    <t>C-177</t>
  </si>
  <si>
    <t>D-205</t>
  </si>
  <si>
    <t xml:space="preserve">Huesos porta bolsa </t>
  </si>
  <si>
    <t>0-1012</t>
  </si>
  <si>
    <t>0-1010</t>
  </si>
  <si>
    <t>GATOLAC x 350 Gr Leche en Polvo</t>
  </si>
  <si>
    <t>D-204</t>
  </si>
  <si>
    <t>D-209</t>
  </si>
  <si>
    <t>D-203</t>
  </si>
  <si>
    <t>P-834</t>
  </si>
  <si>
    <t>J-1502</t>
  </si>
  <si>
    <t>Mg</t>
  </si>
  <si>
    <t>Kg</t>
  </si>
  <si>
    <t>L-613</t>
  </si>
  <si>
    <t>P-803</t>
  </si>
  <si>
    <t>M-1136</t>
  </si>
  <si>
    <t>E-315</t>
  </si>
  <si>
    <t>J-548</t>
  </si>
  <si>
    <t>M-1134</t>
  </si>
  <si>
    <t>CONJUNTO PRETAL Y CORREA ESTAMP XXL</t>
  </si>
  <si>
    <t>C-106</t>
  </si>
  <si>
    <t>J-546</t>
  </si>
  <si>
    <t>Global Precios_Images/331.Foto Producto.005042.jpg</t>
  </si>
  <si>
    <t>PRETAL NYLON N 5</t>
  </si>
  <si>
    <t>C-1117</t>
  </si>
  <si>
    <t>C-103</t>
  </si>
  <si>
    <t>Comprimido/s</t>
  </si>
  <si>
    <t>PET-shop</t>
  </si>
  <si>
    <t>P-811</t>
  </si>
  <si>
    <t>L-610</t>
  </si>
  <si>
    <t>DIPIRONA  400 MG BLISTER X 10 COMP</t>
  </si>
  <si>
    <t>PYO</t>
  </si>
  <si>
    <t>CAT CHOW</t>
  </si>
  <si>
    <t>DOG CHOW</t>
  </si>
  <si>
    <t>Gr</t>
  </si>
  <si>
    <t>J-1531</t>
  </si>
  <si>
    <t>C-110</t>
  </si>
  <si>
    <t xml:space="preserve">HUESO DE CUERO 3/4 </t>
  </si>
  <si>
    <t>E-301</t>
  </si>
  <si>
    <t>E-302</t>
  </si>
  <si>
    <t>HUESO DE CUERO 10/11</t>
  </si>
  <si>
    <t>E-305</t>
  </si>
  <si>
    <t>J-1514</t>
  </si>
  <si>
    <t>J-1515</t>
  </si>
  <si>
    <t>0-1034</t>
  </si>
  <si>
    <t>PRETAL NYLON N° 1</t>
  </si>
  <si>
    <t>J-503</t>
  </si>
  <si>
    <t>J-540</t>
  </si>
  <si>
    <t>ZOOVET G.A</t>
  </si>
  <si>
    <t>I-402</t>
  </si>
  <si>
    <t>I-403</t>
  </si>
  <si>
    <t>I-405</t>
  </si>
  <si>
    <t>I-418</t>
  </si>
  <si>
    <t>J-523</t>
  </si>
  <si>
    <t>C-185</t>
  </si>
  <si>
    <t>C-186</t>
  </si>
  <si>
    <t>comprimidos</t>
  </si>
  <si>
    <t>PRO PLAN URINARY CATS X 1 KG</t>
  </si>
  <si>
    <t>KG</t>
  </si>
  <si>
    <t>PURINA</t>
  </si>
  <si>
    <t>DISTRIMAX</t>
  </si>
  <si>
    <t>Global Precios_Images/395.Foto Producto.015159.jpg</t>
  </si>
  <si>
    <t>J-1576</t>
  </si>
  <si>
    <t>.</t>
  </si>
  <si>
    <t>CAT CHOW ADULTO CARNE  Y POLLO</t>
  </si>
  <si>
    <t>C-184</t>
  </si>
  <si>
    <t>L-605</t>
  </si>
  <si>
    <t>D-236</t>
  </si>
  <si>
    <t>C-108</t>
  </si>
  <si>
    <t>J-530</t>
  </si>
  <si>
    <t>C-156</t>
  </si>
  <si>
    <t>BOEHRINGER</t>
  </si>
  <si>
    <t>BROUWER</t>
  </si>
  <si>
    <t>KONING</t>
  </si>
  <si>
    <t>Grs</t>
  </si>
  <si>
    <t>MSD</t>
  </si>
  <si>
    <t>ZOOVET</t>
  </si>
  <si>
    <t>AGILITY</t>
  </si>
  <si>
    <t>AGILITY CATS MERLUZA X 90 GRS</t>
  </si>
  <si>
    <t>J-524</t>
  </si>
  <si>
    <t>Global Precios_Images/428.Foto Producto.004804.jpg</t>
  </si>
  <si>
    <t>Global Precios_Images/429.Foto Producto.005029.jpg</t>
  </si>
  <si>
    <t>J-577</t>
  </si>
  <si>
    <t>Koning</t>
  </si>
  <si>
    <t>OP. CORDERO Y ARROZ ADULTO SMALL X 3 KG</t>
  </si>
  <si>
    <t>Old Prince</t>
  </si>
  <si>
    <t>Sieger</t>
  </si>
  <si>
    <t>J-509</t>
  </si>
  <si>
    <t>Comprimido</t>
  </si>
  <si>
    <t>PREVICOX 57 mg  X COMPRIMIDO</t>
  </si>
  <si>
    <t>C-187</t>
  </si>
  <si>
    <t>Mayors</t>
  </si>
  <si>
    <t>Mv</t>
  </si>
  <si>
    <t>Royal canin</t>
  </si>
  <si>
    <t>Jenner</t>
  </si>
  <si>
    <t>Pedigree</t>
  </si>
  <si>
    <t>Msd</t>
  </si>
  <si>
    <t>Zoovet</t>
  </si>
  <si>
    <t>Virbac</t>
  </si>
  <si>
    <t>Boehringer pequeños</t>
  </si>
  <si>
    <t>Holliday</t>
  </si>
  <si>
    <t xml:space="preserve">PIEDRAS SANITARIAS ALTA GAMA LAVANDA X 2 KG </t>
  </si>
  <si>
    <t>Alta gama</t>
  </si>
  <si>
    <t>Michi felíz</t>
  </si>
  <si>
    <t>Pro plan</t>
  </si>
  <si>
    <t>Mv Holliday</t>
  </si>
  <si>
    <t xml:space="preserve">OP. CORDERO Y ARROZ SMALL BREED X 15 KG </t>
  </si>
  <si>
    <t>Laika</t>
  </si>
  <si>
    <t>Labyes</t>
  </si>
  <si>
    <t>E-304</t>
  </si>
  <si>
    <t>Old prince</t>
  </si>
  <si>
    <t>León Pharma</t>
  </si>
  <si>
    <t>Zoetis</t>
  </si>
  <si>
    <t>Brouwer</t>
  </si>
  <si>
    <t>John martin</t>
  </si>
  <si>
    <t>Dermosedan</t>
  </si>
  <si>
    <t>7 vidas</t>
  </si>
  <si>
    <t>JUGUETE SURTIDO X 3</t>
  </si>
  <si>
    <t>J-511</t>
  </si>
  <si>
    <t>JUGUETE SURTIDO X 2</t>
  </si>
  <si>
    <t>J-517</t>
  </si>
  <si>
    <t>HUESO GRANDE CON PINCHES</t>
  </si>
  <si>
    <t>J-541</t>
  </si>
  <si>
    <t>POLLO PARLANTE MEDIANO</t>
  </si>
  <si>
    <t>J-586</t>
  </si>
  <si>
    <t>PLUMAS/RATA MÓVIL CON RESORTE Y VARITA</t>
  </si>
  <si>
    <t>HUESO CAUCHO GRANDE</t>
  </si>
  <si>
    <t>J-553</t>
  </si>
  <si>
    <t>RATA PLUMA CATNIP</t>
  </si>
  <si>
    <t>J-1575</t>
  </si>
  <si>
    <t>CONJUNTO PRETAL Y CORREA OSITO</t>
  </si>
  <si>
    <t>C-1141</t>
  </si>
  <si>
    <t>ARO CAUCHO MEDIANO</t>
  </si>
  <si>
    <t>J-550</t>
  </si>
  <si>
    <t>PRETAL NYLON TALLE 4</t>
  </si>
  <si>
    <t>C-1116</t>
  </si>
  <si>
    <t>CONJUNTO NEOPRENO CAMUFLADO XL</t>
  </si>
  <si>
    <t>C-123</t>
  </si>
  <si>
    <t>CAMISETA ARGENTINA TALLE 3</t>
  </si>
  <si>
    <t>John Martin</t>
  </si>
  <si>
    <t>LONA REPUESTO CATRE GRANDE</t>
  </si>
  <si>
    <t>FRONTLINE SPOT ON GATOS</t>
  </si>
  <si>
    <t>523</t>
  </si>
  <si>
    <t>RP ALIMENTO MEDICADO GATO X 2 KG</t>
  </si>
  <si>
    <t>Janvier</t>
  </si>
  <si>
    <t>524</t>
  </si>
  <si>
    <t>RP ALIMENTO MEDICADO PERRO X 2 KG</t>
  </si>
  <si>
    <t>525</t>
  </si>
  <si>
    <t>CREDELIO 225 MG(5,5-11KG) X 1 COMPRIMIDO</t>
  </si>
  <si>
    <t>Elanco-Bayer</t>
  </si>
  <si>
    <t>526</t>
  </si>
  <si>
    <t>CREDELIO 450 MG(11-22KG) X 1 COMPRIMIDO</t>
  </si>
  <si>
    <t>527</t>
  </si>
  <si>
    <t>CREDELIO 900 MG(22-45KG) X 1 COMPRIMIDO</t>
  </si>
  <si>
    <t>528</t>
  </si>
  <si>
    <t>CREDELIO 112 MG(2,5-5,5KG) X 1 COMPRIMIDO</t>
  </si>
  <si>
    <t>529</t>
  </si>
  <si>
    <t>COLCHONETA CUERINA DOBLE 60X80</t>
  </si>
  <si>
    <t>M-1114</t>
  </si>
  <si>
    <t>530</t>
  </si>
  <si>
    <t>EXCELLENT ADULT CAT X 15 KG</t>
  </si>
  <si>
    <t>531</t>
  </si>
  <si>
    <t>EXCELLENT URINARY CAT X 7,5 KG</t>
  </si>
  <si>
    <t>532</t>
  </si>
  <si>
    <t>Kualcos</t>
  </si>
  <si>
    <t>533</t>
  </si>
  <si>
    <t>RP ALIMENTO MEDICADO PARA PERROS X 10 KG</t>
  </si>
  <si>
    <t>535</t>
  </si>
  <si>
    <t>OL-TRANS FLEX X 7 COMPRIMIDOS</t>
  </si>
  <si>
    <t>534</t>
  </si>
  <si>
    <t>SIEGER REDUCED CALORIE X 3 KG</t>
  </si>
  <si>
    <t>536</t>
  </si>
  <si>
    <t>537</t>
  </si>
  <si>
    <t>SIEGER PUPPY MINI X 3 KG</t>
  </si>
  <si>
    <t>538</t>
  </si>
  <si>
    <t>VENTILVET-C x 10 COMPRIMIDOS</t>
  </si>
  <si>
    <t>ALFA VET</t>
  </si>
  <si>
    <t>539</t>
  </si>
  <si>
    <t>APOQUEL 16 MG X 10 COMPRIMIDOS</t>
  </si>
  <si>
    <t>ZOETIS</t>
  </si>
  <si>
    <t>540</t>
  </si>
  <si>
    <t>541</t>
  </si>
  <si>
    <t>FULL HEPAT 100 MG X 10 COMPRIMIDOS</t>
  </si>
  <si>
    <t>542</t>
  </si>
  <si>
    <t>543</t>
  </si>
  <si>
    <t>JORNADA LIMPIEZA</t>
  </si>
  <si>
    <t>MILI</t>
  </si>
  <si>
    <t>544</t>
  </si>
  <si>
    <t>FELIX FANTASTIC DELI ATÚN</t>
  </si>
  <si>
    <t>Felix</t>
  </si>
  <si>
    <t>545</t>
  </si>
  <si>
    <t>DOG CHOW ADULTO MEDIANO Y GRANDE X 15 KG</t>
  </si>
  <si>
    <t>546</t>
  </si>
  <si>
    <t>SESIÓN DE FISIOTERAPIA</t>
  </si>
  <si>
    <t>547</t>
  </si>
  <si>
    <t>SIEGER REDUCED CALORIE X 12 KG</t>
  </si>
  <si>
    <t>548</t>
  </si>
  <si>
    <t>549</t>
  </si>
  <si>
    <t>550</t>
  </si>
  <si>
    <t>CLINDEX 400 MG X 8 COMPRIMIDOS</t>
  </si>
  <si>
    <t>Richmond</t>
  </si>
  <si>
    <t>551</t>
  </si>
  <si>
    <t>OP.CATS ADULTS URINARY CARE X 3 KG</t>
  </si>
  <si>
    <t>OLD PRINCE</t>
  </si>
  <si>
    <t>552</t>
  </si>
  <si>
    <t>CADENA CORREA NYLON 1</t>
  </si>
  <si>
    <t>C-161</t>
  </si>
  <si>
    <t>553</t>
  </si>
  <si>
    <t>CONJUNTO PRETAL Y CORREA SUBLIMADO N2</t>
  </si>
  <si>
    <t>C-93</t>
  </si>
  <si>
    <t>554</t>
  </si>
  <si>
    <t>PRETAL NYLON N 8</t>
  </si>
  <si>
    <t>C-1120</t>
  </si>
  <si>
    <t>DOXIVIT 200 MG X 5 COMPRIMIDOS</t>
  </si>
  <si>
    <t>EXCELLENT REDUCED CALORIE X 15 KG</t>
  </si>
  <si>
    <t>558</t>
  </si>
  <si>
    <t>JASPE PERRO ADULTO MT X 20 KG</t>
  </si>
  <si>
    <t>Jaspe</t>
  </si>
  <si>
    <t>559</t>
  </si>
  <si>
    <t>JASPE GATO X 10 KG</t>
  </si>
  <si>
    <t>560</t>
  </si>
  <si>
    <t>JASPE PERRO ADULTO MP X 8 KG</t>
  </si>
  <si>
    <t>561</t>
  </si>
  <si>
    <t>OP.NOVEL CORDERO Y ARROZ ADULTO M Y L x 7,5 KG</t>
  </si>
  <si>
    <t>562</t>
  </si>
  <si>
    <t>PANTOVIER 10 MG X 10 COMPRIMIDOS</t>
  </si>
  <si>
    <t>563</t>
  </si>
  <si>
    <t>OP.NOVEL CORDERO Y ARROZ LIGHT X 3 KG</t>
  </si>
  <si>
    <t>564</t>
  </si>
  <si>
    <t>565</t>
  </si>
  <si>
    <t>DOGPRO CACHORRO X 15 KG</t>
  </si>
  <si>
    <t>Dogpro</t>
  </si>
  <si>
    <t>SUELTO X 1 KG - JASPE PERRO ADULTO MT</t>
  </si>
  <si>
    <t>SUELTO X 1 KG - JASPE GATO</t>
  </si>
  <si>
    <t>SUELTO X 1 KG - JASPE PERRO ADULTO MP</t>
  </si>
  <si>
    <t>567</t>
  </si>
  <si>
    <t>VACUNA KC</t>
  </si>
  <si>
    <t>569</t>
  </si>
  <si>
    <t>COLLAR NYLON N° 7</t>
  </si>
  <si>
    <t>571</t>
  </si>
  <si>
    <t>COLCHONETA ANTIDESGARRO CON SILVER 70X100</t>
  </si>
  <si>
    <t>572</t>
  </si>
  <si>
    <t>CONJUNTO NEOPRENE CAMUFLADO XXL</t>
  </si>
  <si>
    <t>573</t>
  </si>
  <si>
    <t>COLLAR ELASTIZADO</t>
  </si>
  <si>
    <t>C-139</t>
  </si>
  <si>
    <t>574</t>
  </si>
  <si>
    <t>TOTAL FULL CG X  15 ML</t>
  </si>
  <si>
    <t>575</t>
  </si>
  <si>
    <t>FRONTLINE SPOT-ON PERRO GRANDE</t>
  </si>
  <si>
    <t>576</t>
  </si>
  <si>
    <t>OVERDOG COMPRIMIDOS 2,5 A 5 KG</t>
  </si>
  <si>
    <t>Over</t>
  </si>
  <si>
    <t>577</t>
  </si>
  <si>
    <t>OVERDOG COMPRIMIDOS 30 A 40 KG</t>
  </si>
  <si>
    <t>578</t>
  </si>
  <si>
    <t>OVERDOG COMPRIMIDOS 5 A 10 KG</t>
  </si>
  <si>
    <t>Overdog</t>
  </si>
  <si>
    <t>579</t>
  </si>
  <si>
    <t>JASPE ADULTO MP X 20 KG</t>
  </si>
  <si>
    <t>580</t>
  </si>
  <si>
    <t>SIEGER KATZE ADULTO X 1 KG</t>
  </si>
  <si>
    <t>581</t>
  </si>
  <si>
    <t>SIEGER KATZE URINARY X 1 KG</t>
  </si>
  <si>
    <t>582</t>
  </si>
  <si>
    <t>JASPE PREMIUM AD MT X 20 KG</t>
  </si>
  <si>
    <t>583</t>
  </si>
  <si>
    <t>PIMODEN 2.5 MG X 10 COMPRIMIDOS</t>
  </si>
  <si>
    <t>584</t>
  </si>
  <si>
    <t>CARDIOVIER E 10 KG X 10 COMPRIMIDOS</t>
  </si>
  <si>
    <t>585</t>
  </si>
  <si>
    <t>586</t>
  </si>
  <si>
    <t>587</t>
  </si>
  <si>
    <t>JASPE GATO URINARY X 8 KG</t>
  </si>
  <si>
    <t>588</t>
  </si>
  <si>
    <t>MOISES HEXAGONAL</t>
  </si>
  <si>
    <t>589</t>
  </si>
  <si>
    <t>JASPE PREMIUM AD MP X 15 KG</t>
  </si>
  <si>
    <t>592</t>
  </si>
  <si>
    <t>593</t>
  </si>
  <si>
    <t>JASPE PREMIUM AD MT X 15 KG</t>
  </si>
  <si>
    <t>594</t>
  </si>
  <si>
    <t>595</t>
  </si>
  <si>
    <t>596</t>
  </si>
  <si>
    <t>PYO DERM 1000 X 4 COMP</t>
  </si>
  <si>
    <t>597</t>
  </si>
  <si>
    <t>ROYAL CANNIN URINARY S/O FELINE X 1.5 KG</t>
  </si>
  <si>
    <t>598</t>
  </si>
  <si>
    <t>ROYAL CANNIN URINARY S/O FELINE X 400 GRS</t>
  </si>
  <si>
    <t>599</t>
  </si>
  <si>
    <t>CONJUNTO ALPINO RAYADO XL</t>
  </si>
  <si>
    <t>600</t>
  </si>
  <si>
    <t>COLLAR CON BANDANA S</t>
  </si>
  <si>
    <t>601</t>
  </si>
  <si>
    <t>KITTY SAN PIEDRAS SANITARIAS X 2,5 KG</t>
  </si>
  <si>
    <t>602</t>
  </si>
  <si>
    <t>603</t>
  </si>
  <si>
    <t>604</t>
  </si>
  <si>
    <t>ACEITE/CREMA OZONIZADA X 30 ML</t>
  </si>
  <si>
    <t>SUELTO X 1 KG - JASPE GATO URINARY</t>
  </si>
  <si>
    <t>AGILITY DOG ADULTO CARNE X 340 GR.</t>
  </si>
  <si>
    <t>Boheringer pequeños</t>
  </si>
  <si>
    <t>Konig</t>
  </si>
  <si>
    <t>POLLO PARLANTE CHICO</t>
  </si>
  <si>
    <t>HUESO CUERO 8/9</t>
  </si>
  <si>
    <t>PRETAL NYLON N°7</t>
  </si>
  <si>
    <t>PALITA</t>
  </si>
  <si>
    <t>617</t>
  </si>
  <si>
    <t>INTERNACIÓN día completo hasta 10 kg+med.+descart</t>
  </si>
  <si>
    <t>618</t>
  </si>
  <si>
    <t>INTERNACIÓN medio día hasta 10 kg+consulta+med.+descart.</t>
  </si>
  <si>
    <t>619</t>
  </si>
  <si>
    <t>INTERNACIÓN día completo hasta 10 kg(s/c)+medic.+descart.</t>
  </si>
  <si>
    <t>620</t>
  </si>
  <si>
    <t>INTERNACIÓN medio día hasta 10 kg(s/c)+medic.descart.</t>
  </si>
  <si>
    <t>621</t>
  </si>
  <si>
    <t>INTERNACIÓN día completo más de 10 kg+Cons+medic+descar</t>
  </si>
  <si>
    <t>622</t>
  </si>
  <si>
    <t>INTERNACIÓN medio día más de 10 kg+cons+medic+descar</t>
  </si>
  <si>
    <t>623</t>
  </si>
  <si>
    <t>INTERNACIÓN día completo más de 10 Kg (s/c)+med.+descar</t>
  </si>
  <si>
    <t>624</t>
  </si>
  <si>
    <t>INTERNACIÓN medio día más de 10 Kg (s/c)+med.+descar</t>
  </si>
  <si>
    <t>625</t>
  </si>
  <si>
    <t>Baño hasta 5 kg pelo corto</t>
  </si>
  <si>
    <t>626</t>
  </si>
  <si>
    <t>Baño hasta 10 Kg pelo corto</t>
  </si>
  <si>
    <t>627</t>
  </si>
  <si>
    <t>Baño hasta 20 Kg pelo corto</t>
  </si>
  <si>
    <t>628</t>
  </si>
  <si>
    <t>Baño hasta 30 Kg pelo corto</t>
  </si>
  <si>
    <t>629</t>
  </si>
  <si>
    <t>Baño más de 30 Kg pelo corto</t>
  </si>
  <si>
    <t>630</t>
  </si>
  <si>
    <t>Baño hasta 5 kg pelo largo</t>
  </si>
  <si>
    <t>631</t>
  </si>
  <si>
    <t>Baño hasta 10 Kg pelo largo</t>
  </si>
  <si>
    <t>632</t>
  </si>
  <si>
    <t>Baño hasta 20 Kg pelo largo</t>
  </si>
  <si>
    <t>633</t>
  </si>
  <si>
    <t>Baño hasta 30 Kg pelo largo</t>
  </si>
  <si>
    <t>634</t>
  </si>
  <si>
    <t>635</t>
  </si>
  <si>
    <t>Corte y Baño hasta 5 kg</t>
  </si>
  <si>
    <t>636</t>
  </si>
  <si>
    <t>Corte y Baño hasta 10 kg</t>
  </si>
  <si>
    <t>637</t>
  </si>
  <si>
    <t>Corte y Baño hasta 20 kg</t>
  </si>
  <si>
    <t>638</t>
  </si>
  <si>
    <t>Corte y Baño hasta 30 kg</t>
  </si>
  <si>
    <t>639</t>
  </si>
  <si>
    <t>Corte y Baño más de 30 kg</t>
  </si>
  <si>
    <t>640</t>
  </si>
  <si>
    <t>Ferroglobin x 90 ml</t>
  </si>
  <si>
    <t>641</t>
  </si>
  <si>
    <t>642</t>
  </si>
  <si>
    <t>Perfos</t>
  </si>
  <si>
    <t>643</t>
  </si>
  <si>
    <t>TRIVERMEX PREMIUM 60 KG x 1 COMPRIMIDO</t>
  </si>
  <si>
    <t>644</t>
  </si>
  <si>
    <t>CLAVAMOX 250 MG X 10 COMPRIMIDOS</t>
  </si>
  <si>
    <t>645</t>
  </si>
  <si>
    <t>CORREA EXTENSIBLE FLOREADA 3 MTS</t>
  </si>
  <si>
    <t>646</t>
  </si>
  <si>
    <t>COLCHONETA ANTIDES.CON AILVER 60X80</t>
  </si>
  <si>
    <t>647</t>
  </si>
  <si>
    <t>COLCHONETA DESMONTABLE</t>
  </si>
  <si>
    <t>648</t>
  </si>
  <si>
    <t>JASPE AD PREMIUM MT X 20 KG</t>
  </si>
  <si>
    <t>649</t>
  </si>
  <si>
    <t>INYECT. PERRO/GATO CHICO</t>
  </si>
  <si>
    <t>650</t>
  </si>
  <si>
    <t>INYECT.PERRO MEDIANO</t>
  </si>
  <si>
    <t>651</t>
  </si>
  <si>
    <t>INYECT.PERRO GRANDE</t>
  </si>
  <si>
    <t>652</t>
  </si>
  <si>
    <t>RASPAJE/CROPRO</t>
  </si>
  <si>
    <t>653</t>
  </si>
  <si>
    <t>PONCHO N°12</t>
  </si>
  <si>
    <t>654</t>
  </si>
  <si>
    <t>EXCELLENT REDUCED CALORIE X 3 KG</t>
  </si>
  <si>
    <t>EXCELLENT</t>
  </si>
  <si>
    <t>655</t>
  </si>
  <si>
    <t>SOGA 2 NUDOS MEDIANA</t>
  </si>
  <si>
    <t>656</t>
  </si>
  <si>
    <t>MV PERRO CARDIACO X 2 KG</t>
  </si>
  <si>
    <t>657</t>
  </si>
  <si>
    <t>EXCELLENT GATO ADULTO X 3 KG</t>
  </si>
  <si>
    <t>658</t>
  </si>
  <si>
    <t>659</t>
  </si>
  <si>
    <t>POWER GOLD 10 A 20 KG</t>
  </si>
  <si>
    <t>660</t>
  </si>
  <si>
    <t>POWER GOLD 20 A 40 KG</t>
  </si>
  <si>
    <t>661</t>
  </si>
  <si>
    <t>POWER GOLD 40 A 56 KG</t>
  </si>
  <si>
    <t>662</t>
  </si>
  <si>
    <t>EXCELLENT GATO STERILIZED X 1 KG</t>
  </si>
  <si>
    <t>663</t>
  </si>
  <si>
    <t>FRONTLINE SPOT-ON PERRO MEDIANO</t>
  </si>
  <si>
    <t>Behringer pequeños</t>
  </si>
  <si>
    <t>664</t>
  </si>
  <si>
    <t>CISTICALM X 10 CAPSULAS</t>
  </si>
  <si>
    <t>665</t>
  </si>
  <si>
    <t>CISTICALM X 60 CAPSULAS x 10 comprimidos</t>
  </si>
  <si>
    <t>Bechlab</t>
  </si>
  <si>
    <t>666</t>
  </si>
  <si>
    <t>NEURO GREEN X 16 COMPR</t>
  </si>
  <si>
    <t>667</t>
  </si>
  <si>
    <t>PEP 90 DE 10 A 20 KG</t>
  </si>
  <si>
    <t>668</t>
  </si>
  <si>
    <t>PEP 90 DE 20 A 32 KG</t>
  </si>
  <si>
    <t>669</t>
  </si>
  <si>
    <t>PEP 90 DE 32 A 64 KG</t>
  </si>
  <si>
    <t>670</t>
  </si>
  <si>
    <t>DEFENDER TOP 90 4 A 10 KG</t>
  </si>
  <si>
    <t>León pharma</t>
  </si>
  <si>
    <t>671</t>
  </si>
  <si>
    <t>DEFENDER TOP 90 10 A 20 KG</t>
  </si>
  <si>
    <t>672</t>
  </si>
  <si>
    <t>DEFENDER TOP 90 20 A 32 KG</t>
  </si>
  <si>
    <t>673</t>
  </si>
  <si>
    <t>DEFENDER TOP 90 32 A 64 KG</t>
  </si>
  <si>
    <t>674</t>
  </si>
  <si>
    <t>Defender comprimidos 5 a 10 Kg felinos hasta 3 kg</t>
  </si>
  <si>
    <t>675</t>
  </si>
  <si>
    <t>Defender compr. 5 a 10 Kg felinos 3 a 6 kg</t>
  </si>
  <si>
    <t>676</t>
  </si>
  <si>
    <t>Doxiciclina 100 MG X 10 comprimidos</t>
  </si>
  <si>
    <t>677</t>
  </si>
  <si>
    <t>FRONTLINE SPOT-ON PERRO CHICO</t>
  </si>
  <si>
    <t>678</t>
  </si>
  <si>
    <t>Boehringer</t>
  </si>
  <si>
    <t>679</t>
  </si>
  <si>
    <t>CARDIOVIER 2,5 MG X 10 COMP.</t>
  </si>
  <si>
    <t>680</t>
  </si>
  <si>
    <t>681</t>
  </si>
  <si>
    <t>682</t>
  </si>
  <si>
    <t>SHAMPOO MOKSHA ANALERGENICO CACHORROS</t>
  </si>
  <si>
    <t>Moksha</t>
  </si>
  <si>
    <t>684</t>
  </si>
  <si>
    <t>POWER GOLD 1 MES 4,6 A 10 KG</t>
  </si>
  <si>
    <t>685</t>
  </si>
  <si>
    <t>POWER GOLD 1 MES DE 10,1 A 20 KG</t>
  </si>
  <si>
    <t>686</t>
  </si>
  <si>
    <t>POWER GOLD 1 MES DE 20,1 A 40 KG</t>
  </si>
  <si>
    <t>687</t>
  </si>
  <si>
    <t>PONCHO TALLE 9</t>
  </si>
  <si>
    <t>688</t>
  </si>
  <si>
    <t>PONCHO TALLE 10</t>
  </si>
  <si>
    <t>689</t>
  </si>
  <si>
    <t>PONCHO TALLE 11</t>
  </si>
  <si>
    <t>692</t>
  </si>
  <si>
    <t>FLEE pulguicida y acaricida Aerosol</t>
  </si>
  <si>
    <t>Ruminal</t>
  </si>
  <si>
    <t>693</t>
  </si>
  <si>
    <t>694</t>
  </si>
  <si>
    <t>695</t>
  </si>
  <si>
    <t>FLURAVET-C 20 kg</t>
  </si>
  <si>
    <t>Alfa vet</t>
  </si>
  <si>
    <t>696</t>
  </si>
  <si>
    <t>FLURAVET-C 5 A 10 KG</t>
  </si>
  <si>
    <t>Alfa c</t>
  </si>
  <si>
    <t>697</t>
  </si>
  <si>
    <t>TRILOBECH 10 MG X 10 COMP.</t>
  </si>
  <si>
    <t>698</t>
  </si>
  <si>
    <t>FLURAVET-C 4,6 A 10 kg</t>
  </si>
  <si>
    <t>699</t>
  </si>
  <si>
    <t>FLURAVET-C 10 A 20 KG</t>
  </si>
  <si>
    <t>700</t>
  </si>
  <si>
    <t>FLURAVET-C 40 A 80 kg X 4 COMP.</t>
  </si>
  <si>
    <t>701</t>
  </si>
  <si>
    <t>Global Precios_Images/701.Foto Producto.220101.jpg</t>
  </si>
  <si>
    <t>702</t>
  </si>
  <si>
    <t>703</t>
  </si>
  <si>
    <t>704</t>
  </si>
  <si>
    <t>705</t>
  </si>
  <si>
    <t>706</t>
  </si>
  <si>
    <t>SIEGER ULTRA OSTEOARTICULAR X 1,5 KG</t>
  </si>
  <si>
    <t>707</t>
  </si>
  <si>
    <t>GIACOCCIDE AMARILLO HOSP. X 100 COMP. X 10</t>
  </si>
  <si>
    <t>708</t>
  </si>
  <si>
    <t>709</t>
  </si>
  <si>
    <t>EXCELLENT PUPPY RAZAS PEQ.X 1 KG</t>
  </si>
  <si>
    <t>710</t>
  </si>
  <si>
    <t>EXCELLENT ADULT RAZAS PEQ. X 1 KG</t>
  </si>
  <si>
    <t>711</t>
  </si>
  <si>
    <t>JASPE GATO URINARY PREMIUM X 1 KG</t>
  </si>
  <si>
    <t>712</t>
  </si>
  <si>
    <t>GIACOCCIDE VERDE BLISTER X 10 COMPRIMIDOS</t>
  </si>
  <si>
    <t>Biogénesis bago</t>
  </si>
  <si>
    <t>713</t>
  </si>
  <si>
    <t>JASPE AD MT X 3 KG</t>
  </si>
  <si>
    <t>714</t>
  </si>
  <si>
    <t>JASPE AD MP X 3 KG</t>
  </si>
  <si>
    <t>715</t>
  </si>
  <si>
    <t>PREGALIV 80 MG X 10 COMPRIMIDOS</t>
  </si>
  <si>
    <t>Jonh martin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</si>
</sst>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-&quot;$&quot;\ * #,##0_-;\-&quot;$&quot;\ * #,##0_-;_-&quot;$&quot;\ * &quot;-&quot;??_-;_-@"/>
    <numFmt numFmtId="165" formatCode="[$ $]#,##0.00"/>
    <numFmt numFmtId="166" formatCode="_-&quot;$&quot;\ * #,##0.00_-;\-&quot;$&quot;\ * #,##0.00_-;_-&quot;$&quot;\ * &quot;-&quot;??_-;_-@"/>
    <numFmt numFmtId="167" formatCode="d/MM/yyyy"/>
    <numFmt numFmtId="168" formatCode="[$ $]#,##0"/>
    <numFmt numFmtId="169" formatCode="d.m"/>
    <numFmt numFmtId="170" formatCode="0.0"/>
    <numFmt numFmtId="171" formatCode="dd/mm/yyyy"/>
    <numFmt numFmtId="172" formatCode="d/m/yyyy"/>
  </numFmts>
  <fonts count="21">
    <font>
      <sz val="10.0"/>
      <color rgb="FF000000"/>
      <name val="Arial"/>
      <scheme val="minor"/>
    </font>
    <font>
      <sz val="9.0"/>
      <color rgb="FF000000"/>
      <name val="Aptos"/>
    </font>
    <font>
      <b/>
      <sz val="11.0"/>
      <color rgb="FF000000"/>
      <name val="Calibri"/>
    </font>
    <font>
      <b/>
      <sz val="9.0"/>
      <color rgb="FF000000"/>
      <name val="Aptos"/>
    </font>
    <font>
      <sz val="11.0"/>
      <color rgb="FF000000"/>
      <name val="Calibri"/>
    </font>
    <font>
      <sz val="11.0"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4.0"/>
      <color theme="1"/>
      <name val="Calibri"/>
    </font>
    <font>
      <color theme="1"/>
      <name val="Arial"/>
      <scheme val="minor"/>
    </font>
    <font>
      <sz val="14.0"/>
      <color theme="1"/>
      <name val="Calibri"/>
    </font>
    <font>
      <sz val="11.0"/>
      <color theme="1"/>
      <name val="Inconsolata"/>
    </font>
    <font>
      <color rgb="FF000000"/>
      <name val="Arial"/>
    </font>
    <font>
      <sz val="11.0"/>
      <color rgb="FF000000"/>
      <name val="Roboto"/>
    </font>
    <font>
      <color rgb="FF000000"/>
      <name val="Arial"/>
      <scheme val="minor"/>
    </font>
    <font>
      <sz val="14.0"/>
      <color theme="1"/>
      <name val="Arial"/>
    </font>
    <font>
      <b/>
      <color theme="1"/>
      <name val="Arial"/>
      <scheme val="minor"/>
    </font>
    <font>
      <sz val="11.0"/>
      <color theme="1"/>
      <name val="Roboto"/>
    </font>
    <font>
      <sz val="11.0"/>
      <color rgb="FF3C4043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74F089"/>
        <bgColor rgb="FF74F089"/>
      </patternFill>
    </fill>
    <fill>
      <patternFill patternType="solid">
        <fgColor rgb="FFFFFFFF"/>
        <bgColor rgb="FFFFFFFF"/>
      </patternFill>
    </fill>
    <fill>
      <patternFill patternType="solid">
        <fgColor rgb="FFDAE9F8"/>
        <bgColor rgb="FFDAE9F8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B7E1CD"/>
        <bgColor rgb="FFB7E1CD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ED7D31"/>
        <bgColor rgb="FFED7D31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3">
    <border/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center" readingOrder="0" shrinkToFit="0" vertical="bottom" wrapText="0"/>
    </xf>
    <xf borderId="1" fillId="2" fontId="3" numFmtId="3" xfId="0" applyAlignment="1" applyBorder="1" applyFill="1" applyFont="1" applyNumberFormat="1">
      <alignment horizontal="left" readingOrder="0"/>
    </xf>
    <xf borderId="0" fillId="0" fontId="4" numFmtId="0" xfId="0" applyAlignment="1" applyFont="1">
      <alignment horizontal="right" readingOrder="0" vertical="bottom"/>
    </xf>
    <xf borderId="0" fillId="3" fontId="1" numFmtId="0" xfId="0" applyAlignment="1" applyFill="1" applyFont="1">
      <alignment horizontal="left" readingOrder="0" shrinkToFit="0" vertical="bottom" wrapText="0"/>
    </xf>
    <xf borderId="0" fillId="0" fontId="5" numFmtId="0" xfId="0" applyAlignment="1" applyFont="1">
      <alignment readingOrder="0" vertical="bottom"/>
    </xf>
    <xf borderId="2" fillId="3" fontId="6" numFmtId="0" xfId="0" applyAlignment="1" applyBorder="1" applyFill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7" numFmtId="3" xfId="0" applyAlignment="1" applyFont="1" applyNumberFormat="1">
      <alignment horizontal="center" vertical="bottom"/>
    </xf>
    <xf borderId="2" fillId="3" fontId="8" numFmtId="0" xfId="0" applyAlignment="1" applyBorder="1" applyFill="1" applyFont="1">
      <alignment vertical="bottom"/>
    </xf>
    <xf borderId="0" fillId="3" fontId="1" numFmtId="3" xfId="0" applyAlignment="1" applyFill="1" applyFont="1" applyNumberFormat="1">
      <alignment horizontal="right" readingOrder="0" shrinkToFit="0" vertical="bottom" wrapText="0"/>
    </xf>
    <xf borderId="0" fillId="4" fontId="1" numFmtId="0" xfId="0" applyAlignment="1" applyFill="1" applyFont="1">
      <alignment horizontal="left" readingOrder="0" shrinkToFit="0" vertical="bottom" wrapText="0"/>
    </xf>
    <xf borderId="0" fillId="0" fontId="4" numFmtId="0" xfId="0" applyAlignment="1" applyFont="1">
      <alignment readingOrder="0" vertical="bottom"/>
    </xf>
    <xf borderId="0" fillId="3" fontId="9" numFmtId="3" xfId="0" applyAlignment="1" applyFill="1" applyFont="1" applyNumberFormat="1">
      <alignment vertical="bottom"/>
    </xf>
    <xf borderId="2" fillId="3" fontId="10" numFmtId="164" xfId="0" applyAlignment="1" applyBorder="1" applyFill="1" applyFont="1" applyNumberFormat="1">
      <alignment vertical="bottom"/>
    </xf>
    <xf borderId="2" fillId="3" fontId="8" numFmtId="0" xfId="0" applyAlignment="1" applyBorder="1" applyFill="1" applyFont="1">
      <alignment horizontal="center" vertical="bottom"/>
    </xf>
    <xf borderId="2" fillId="5" fontId="7" numFmtId="0" xfId="0" applyAlignment="1" applyBorder="1" applyFill="1" applyFont="1">
      <alignment horizontal="right" readingOrder="0" vertical="bottom"/>
    </xf>
    <xf borderId="0" fillId="0" fontId="9" numFmtId="0" xfId="0" applyAlignment="1" applyFont="1">
      <alignment horizontal="center" vertical="bottom"/>
    </xf>
    <xf borderId="0" fillId="3" fontId="7" numFmtId="0" xfId="0" applyAlignment="1" applyFill="1" applyFont="1">
      <alignment readingOrder="0" vertical="bottom"/>
    </xf>
    <xf borderId="0" fillId="0" fontId="4" numFmtId="0" xfId="0" applyAlignment="1" applyFont="1">
      <alignment horizontal="right" readingOrder="0" shrinkToFit="0" vertical="bottom" wrapText="0"/>
    </xf>
    <xf borderId="0" fillId="3" fontId="9" numFmtId="0" xfId="0" applyAlignment="1" applyFill="1" applyFont="1">
      <alignment vertical="bottom"/>
    </xf>
    <xf borderId="0" fillId="6" fontId="7" numFmtId="0" xfId="0" applyAlignment="1" applyFill="1" applyFont="1">
      <alignment readingOrder="0" vertical="bottom"/>
    </xf>
    <xf borderId="0" fillId="6" fontId="11" numFmtId="0" xfId="0" applyAlignment="1" applyFill="1" applyFont="1">
      <alignment readingOrder="0"/>
    </xf>
    <xf borderId="0" fillId="6" fontId="11" numFmtId="10" xfId="0" applyAlignment="1" applyFill="1" applyFont="1" applyNumberFormat="1">
      <alignment readingOrder="0"/>
    </xf>
    <xf borderId="0" fillId="0" fontId="7" numFmtId="0" xfId="0" applyAlignment="1" applyFont="1">
      <alignment horizontal="center" vertical="bottom"/>
    </xf>
    <xf borderId="0" fillId="6" fontId="11" numFmtId="0" xfId="0" applyAlignment="1" applyFill="1" applyFont="1">
      <alignment horizontal="center" readingOrder="0"/>
    </xf>
    <xf borderId="0" fillId="3" fontId="9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readingOrder="0" shrinkToFit="0" vertical="bottom" wrapText="0"/>
    </xf>
    <xf borderId="0" fillId="3" fontId="7" numFmtId="0" xfId="0" applyAlignment="1" applyFill="1" applyFont="1">
      <alignment vertical="bottom"/>
    </xf>
    <xf borderId="0" fillId="0" fontId="9" numFmtId="4" xfId="0" applyAlignment="1" applyFont="1" applyNumberFormat="1">
      <alignment vertical="bottom"/>
    </xf>
    <xf borderId="0" fillId="3" fontId="9" numFmtId="165" xfId="0" applyAlignment="1" applyFill="1" applyFont="1" applyNumberFormat="1">
      <alignment vertical="bottom"/>
    </xf>
    <xf borderId="0" fillId="6" fontId="7" numFmtId="1" xfId="0" applyAlignment="1" applyFill="1" applyFont="1" applyNumberFormat="1">
      <alignment horizontal="right" readingOrder="0" vertical="bottom"/>
    </xf>
    <xf borderId="0" fillId="3" fontId="12" numFmtId="164" xfId="0" applyAlignment="1" applyFill="1" applyFont="1" applyNumberFormat="1">
      <alignment horizontal="right" vertical="bottom"/>
    </xf>
    <xf borderId="0" fillId="3" fontId="9" numFmtId="166" xfId="0" applyAlignment="1" applyFill="1" applyFont="1" applyNumberFormat="1">
      <alignment vertical="bottom"/>
    </xf>
    <xf borderId="0" fillId="5" fontId="7" numFmtId="167" xfId="0" applyAlignment="1" applyFill="1" applyFont="1" applyNumberFormat="1">
      <alignment horizontal="right" readingOrder="0" vertical="bottom"/>
    </xf>
    <xf borderId="0" fillId="3" fontId="13" numFmtId="0" xfId="0" applyAlignment="1" applyFill="1" applyFont="1">
      <alignment horizontal="right" vertical="bottom"/>
    </xf>
    <xf borderId="0" fillId="3" fontId="7" numFmtId="0" xfId="0" applyAlignment="1" applyFill="1" applyFon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3" fontId="9" numFmtId="1" xfId="0" applyAlignment="1" applyFill="1" applyFont="1" applyNumberFormat="1">
      <alignment vertical="bottom"/>
    </xf>
    <xf borderId="0" fillId="0" fontId="4" numFmtId="0" xfId="0" applyAlignment="1" applyFont="1">
      <alignment vertical="bottom"/>
    </xf>
    <xf borderId="0" fillId="7" fontId="9" numFmtId="0" xfId="0" applyAlignment="1" applyFill="1" applyFont="1">
      <alignment vertical="bottom"/>
    </xf>
    <xf borderId="0" fillId="7" fontId="11" numFmtId="0" xfId="0" applyFill="1" applyFont="1"/>
    <xf borderId="0" fillId="0" fontId="5" numFmtId="0" xfId="0" applyAlignment="1" applyFont="1">
      <alignment horizontal="right" readingOrder="0" vertical="bottom"/>
    </xf>
    <xf borderId="0" fillId="7" fontId="11" numFmtId="10" xfId="0" applyFill="1" applyFont="1" applyNumberFormat="1"/>
    <xf borderId="0" fillId="7" fontId="11" numFmtId="0" xfId="0" applyFill="1" applyFont="1"/>
    <xf borderId="0" fillId="7" fontId="11" numFmtId="0" xfId="0" applyAlignment="1" applyFill="1" applyFont="1">
      <alignment horizontal="center" readingOrder="0"/>
    </xf>
    <xf borderId="0" fillId="3" fontId="7" numFmtId="1" xfId="0" applyAlignment="1" applyFill="1" applyFont="1" applyNumberFormat="1">
      <alignment readingOrder="0" vertical="bottom"/>
    </xf>
    <xf borderId="0" fillId="3" fontId="7" numFmtId="165" xfId="0" applyAlignment="1" applyFill="1" applyFont="1" applyNumberFormat="1">
      <alignment readingOrder="0" vertical="bottom"/>
    </xf>
    <xf borderId="0" fillId="0" fontId="15" numFmtId="0" xfId="0" applyAlignment="1" applyFont="1">
      <alignment readingOrder="0" vertical="bottom"/>
    </xf>
    <xf borderId="0" fillId="3" fontId="9" numFmtId="0" xfId="0" applyAlignment="1" applyFill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16" numFmtId="0" xfId="0" applyAlignment="1" applyFont="1">
      <alignment readingOrder="0"/>
    </xf>
    <xf borderId="0" fillId="0" fontId="16" numFmtId="0" xfId="0" applyFont="1"/>
    <xf borderId="0" fillId="3" fontId="7" numFmtId="10" xfId="0" applyAlignment="1" applyFill="1" applyFont="1" applyNumberFormat="1">
      <alignment readingOrder="0" vertical="bottom"/>
    </xf>
    <xf borderId="0" fillId="3" fontId="9" numFmtId="2" xfId="0" applyAlignment="1" applyFill="1" applyFont="1" applyNumberFormat="1">
      <alignment horizontal="right" readingOrder="0" vertical="bottom"/>
    </xf>
    <xf borderId="0" fillId="3" fontId="7" numFmtId="9" xfId="0" applyAlignment="1" applyFill="1" applyFont="1" applyNumberFormat="1">
      <alignment horizontal="right" vertical="bottom"/>
    </xf>
    <xf borderId="0" fillId="3" fontId="12" numFmtId="164" xfId="0" applyAlignment="1" applyFill="1" applyFont="1" applyNumberFormat="1">
      <alignment horizontal="center" vertical="bottom"/>
    </xf>
    <xf borderId="0" fillId="3" fontId="7" numFmtId="9" xfId="0" applyAlignment="1" applyFill="1" applyFont="1" applyNumberFormat="1">
      <alignment horizontal="right" readingOrder="0" vertical="bottom"/>
    </xf>
    <xf borderId="0" fillId="3" fontId="7" numFmtId="2" xfId="0" applyAlignment="1" applyFill="1" applyFont="1" applyNumberFormat="1">
      <alignment horizontal="right" readingOrder="0" vertical="bottom"/>
    </xf>
    <xf borderId="0" fillId="3" fontId="9" numFmtId="9" xfId="0" applyAlignment="1" applyFill="1" applyFont="1" applyNumberFormat="1">
      <alignment horizontal="right" vertical="bottom"/>
    </xf>
    <xf borderId="0" fillId="7" fontId="11" numFmtId="168" xfId="0" applyFill="1" applyFont="1" applyNumberFormat="1"/>
    <xf borderId="0" fillId="3" fontId="17" numFmtId="164" xfId="0" applyAlignment="1" applyFill="1" applyFont="1" applyNumberFormat="1">
      <alignment horizontal="center" vertical="bottom"/>
    </xf>
    <xf borderId="0" fillId="3" fontId="9" numFmtId="165" xfId="0" applyAlignment="1" applyFill="1" applyFont="1" applyNumberFormat="1">
      <alignment horizontal="right" vertical="bottom"/>
    </xf>
    <xf borderId="0" fillId="3" fontId="9" numFmtId="165" xfId="0" applyAlignment="1" applyFill="1" applyFont="1" applyNumberFormat="1">
      <alignment horizontal="right" readingOrder="0" vertical="bottom"/>
    </xf>
    <xf borderId="0" fillId="0" fontId="8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8" numFmtId="0" xfId="0" applyAlignment="1" applyFont="1">
      <alignment readingOrder="0"/>
    </xf>
    <xf borderId="0" fillId="0" fontId="9" numFmtId="0" xfId="0" applyAlignment="1" applyFont="1">
      <alignment vertical="bottom"/>
    </xf>
    <xf borderId="0" fillId="3" fontId="9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3" fontId="7" numFmtId="165" xfId="0" applyAlignment="1" applyFill="1" applyFont="1" applyNumberFormat="1">
      <alignment horizontal="right" vertical="bottom"/>
    </xf>
    <xf borderId="0" fillId="0" fontId="11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8" fontId="9" numFmtId="0" xfId="0" applyAlignment="1" applyFill="1" applyFont="1">
      <alignment vertical="bottom"/>
    </xf>
    <xf borderId="0" fillId="3" fontId="9" numFmtId="2" xfId="0" applyAlignment="1" applyFill="1" applyFont="1" applyNumberFormat="1">
      <alignment horizontal="right" vertical="bottom"/>
    </xf>
    <xf borderId="0" fillId="9" fontId="11" numFmtId="0" xfId="0" applyAlignment="1" applyFill="1" applyFont="1">
      <alignment readingOrder="0"/>
    </xf>
    <xf borderId="0" fillId="0" fontId="11" numFmtId="0" xfId="0" applyFont="1"/>
    <xf borderId="0" fillId="7" fontId="11" numFmtId="0" xfId="0" applyAlignment="1" applyFill="1" applyFont="1">
      <alignment readingOrder="0"/>
    </xf>
    <xf borderId="0" fillId="0" fontId="11" numFmtId="9" xfId="0" applyAlignment="1" applyFont="1" applyNumberFormat="1">
      <alignment readingOrder="0"/>
    </xf>
    <xf borderId="0" fillId="0" fontId="9" numFmtId="9" xfId="0" applyAlignment="1" applyFont="1" applyNumberFormat="1">
      <alignment horizontal="center" vertical="bottom"/>
    </xf>
    <xf borderId="0" fillId="3" fontId="9" numFmtId="9" xfId="0" applyAlignment="1" applyFill="1" applyFont="1" applyNumberFormat="1">
      <alignment horizontal="right" readingOrder="0" vertical="bottom"/>
    </xf>
    <xf borderId="0" fillId="3" fontId="9" numFmtId="166" xfId="0" applyAlignment="1" applyFill="1" applyFont="1" applyNumberFormat="1">
      <alignment readingOrder="0" vertical="bottom"/>
    </xf>
    <xf borderId="0" fillId="10" fontId="9" numFmtId="0" xfId="0" applyAlignment="1" applyFill="1" applyFont="1">
      <alignment vertical="bottom"/>
    </xf>
    <xf borderId="0" fillId="10" fontId="9" numFmtId="166" xfId="0" applyAlignment="1" applyFill="1" applyFont="1" applyNumberFormat="1">
      <alignment vertical="bottom"/>
    </xf>
    <xf borderId="0" fillId="5" fontId="7" numFmtId="167" xfId="0" applyAlignment="1" applyFill="1" applyFont="1" applyNumberFormat="1">
      <alignment horizontal="right" vertical="bottom"/>
    </xf>
    <xf borderId="0" fillId="3" fontId="9" numFmtId="2" xfId="0" applyAlignment="1" applyFill="1" applyFont="1" applyNumberFormat="1">
      <alignment vertical="bottom"/>
    </xf>
    <xf borderId="0" fillId="3" fontId="9" numFmtId="9" xfId="0" applyAlignment="1" applyFill="1" applyFont="1" applyNumberFormat="1">
      <alignment vertical="bottom"/>
    </xf>
    <xf borderId="0" fillId="5" fontId="7" numFmtId="167" xfId="0" applyAlignment="1" applyFill="1" applyFont="1" applyNumberFormat="1">
      <alignment vertical="bottom"/>
    </xf>
    <xf borderId="0" fillId="3" fontId="7" numFmtId="0" xfId="0" applyAlignment="1" applyFill="1" applyFont="1">
      <alignment horizontal="right" vertical="bottom"/>
    </xf>
    <xf borderId="0" fillId="3" fontId="7" numFmtId="166" xfId="0" applyAlignment="1" applyFill="1" applyFont="1" applyNumberForma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3" fontId="9" numFmtId="9" xfId="0" applyAlignment="1" applyFill="1" applyFont="1" applyNumberFormat="1">
      <alignment readingOrder="0" vertical="bottom"/>
    </xf>
    <xf quotePrefix="1" borderId="0" fillId="7" fontId="11" numFmtId="0" xfId="0" applyAlignment="1" applyFill="1" applyFont="1">
      <alignment horizontal="center" readingOrder="0"/>
    </xf>
    <xf borderId="0" fillId="11" fontId="7" numFmtId="0" xfId="0" applyAlignment="1" applyFill="1" applyFont="1">
      <alignment vertical="bottom"/>
    </xf>
    <xf borderId="0" fillId="6" fontId="9" numFmtId="0" xfId="0" applyAlignment="1" applyFill="1" applyFont="1">
      <alignment vertical="bottom"/>
    </xf>
    <xf borderId="0" fillId="3" fontId="7" numFmtId="165" xfId="0" applyAlignment="1" applyFill="1" applyFont="1" applyNumberFormat="1">
      <alignment horizontal="right" readingOrder="0" vertical="bottom"/>
    </xf>
    <xf borderId="0" fillId="6" fontId="7" numFmtId="0" xfId="0" applyAlignment="1" applyFill="1" applyFont="1">
      <alignment vertical="bottom"/>
    </xf>
    <xf borderId="0" fillId="3" fontId="9" numFmtId="0" xfId="0" applyAlignment="1" applyFill="1" applyFont="1">
      <alignment horizontal="right" readingOrder="0" vertical="bottom"/>
    </xf>
    <xf borderId="0" fillId="0" fontId="9" numFmtId="165" xfId="0" applyAlignment="1" applyFont="1" applyNumberFormat="1">
      <alignment horizontal="right" vertical="bottom"/>
    </xf>
    <xf borderId="0" fillId="0" fontId="7" numFmtId="9" xfId="0" applyAlignment="1" applyFont="1" applyNumberFormat="1">
      <alignment horizontal="right" vertical="bottom"/>
    </xf>
    <xf borderId="0" fillId="3" fontId="19" numFmtId="0" xfId="0" applyAlignment="1" applyFill="1" applyFont="1">
      <alignment vertical="bottom"/>
    </xf>
    <xf borderId="0" fillId="3" fontId="9" numFmtId="165" xfId="0" applyAlignment="1" applyFill="1" applyFont="1" applyNumberFormat="1">
      <alignment horizontal="right" vertical="bottom"/>
    </xf>
    <xf borderId="0" fillId="3" fontId="7" numFmtId="165" xfId="0" applyAlignment="1" applyFill="1" applyFont="1" applyNumberFormat="1">
      <alignment horizontal="right" readingOrder="0" vertical="bottom"/>
    </xf>
    <xf borderId="0" fillId="3" fontId="7" numFmtId="0" xfId="0" applyAlignment="1" applyFill="1" applyFont="1">
      <alignment horizontal="right" vertical="bottom"/>
    </xf>
    <xf borderId="0" fillId="3" fontId="7" numFmtId="10" xfId="0" applyAlignment="1" applyFill="1" applyFont="1" applyNumberFormat="1">
      <alignment horizontal="right" readingOrder="0" vertical="bottom"/>
    </xf>
    <xf borderId="0" fillId="3" fontId="7" numFmtId="166" xfId="0" applyAlignment="1" applyFill="1" applyFont="1" applyNumberFormat="1">
      <alignment readingOrder="0" vertical="bottom"/>
    </xf>
    <xf borderId="0" fillId="3" fontId="7" numFmtId="0" xfId="0" applyAlignment="1" applyFill="1" applyFont="1">
      <alignment vertical="bottom"/>
    </xf>
    <xf borderId="0" fillId="3" fontId="7" numFmtId="9" xfId="0" applyAlignment="1" applyFill="1" applyFont="1" applyNumberFormat="1">
      <alignment readingOrder="0" vertical="bottom"/>
    </xf>
    <xf borderId="0" fillId="3" fontId="7" numFmtId="169" xfId="0" applyAlignment="1" applyFill="1" applyFont="1" applyNumberFormat="1">
      <alignment readingOrder="0" vertical="bottom"/>
    </xf>
    <xf borderId="0" fillId="5" fontId="9" numFmtId="167" xfId="0" applyAlignment="1" applyFill="1" applyFont="1" applyNumberFormat="1">
      <alignment readingOrder="0" vertical="bottom"/>
    </xf>
    <xf borderId="0" fillId="3" fontId="9" numFmtId="0" xfId="0" applyAlignment="1" applyFill="1" applyFont="1">
      <alignment vertical="bottom"/>
    </xf>
    <xf borderId="0" fillId="3" fontId="9" numFmtId="167" xfId="0" applyAlignment="1" applyFill="1" applyFont="1" applyNumberFormat="1">
      <alignment readingOrder="0" vertical="bottom"/>
    </xf>
    <xf borderId="0" fillId="3" fontId="9" numFmtId="170" xfId="0" applyAlignment="1" applyFill="1" applyFont="1" applyNumberFormat="1">
      <alignment readingOrder="0" vertical="bottom"/>
    </xf>
    <xf borderId="0" fillId="5" fontId="9" numFmtId="0" xfId="0" applyAlignment="1" applyFill="1" applyFont="1">
      <alignment readingOrder="0" vertical="bottom"/>
    </xf>
    <xf borderId="0" fillId="12" fontId="7" numFmtId="0" xfId="0" applyAlignment="1" applyFill="1" applyFont="1">
      <alignment readingOrder="0" vertical="bottom"/>
    </xf>
    <xf borderId="0" fillId="3" fontId="7" numFmtId="167" xfId="0" applyAlignment="1" applyFill="1" applyFont="1" applyNumberFormat="1">
      <alignment readingOrder="0" vertical="bottom"/>
    </xf>
    <xf borderId="0" fillId="3" fontId="20" numFmtId="0" xfId="0" applyAlignment="1" applyFill="1" applyFont="1">
      <alignment readingOrder="0"/>
    </xf>
    <xf borderId="0" fillId="3" fontId="9" numFmtId="0" xfId="0" applyAlignment="1" applyFill="1" applyFont="1">
      <alignment horizontal="right" vertical="bottom"/>
    </xf>
    <xf borderId="0" fillId="0" fontId="11" numFmtId="0" xfId="0" applyFont="1"/>
    <xf borderId="0" fillId="3" fontId="9" numFmtId="164" xfId="0" applyAlignment="1" applyFill="1" applyFont="1" applyNumberFormat="1">
      <alignment vertical="bottom"/>
    </xf>
    <xf borderId="0" fillId="3" fontId="9" numFmtId="0" xfId="0" applyAlignment="1" applyFill="1" applyFont="1">
      <alignment readingOrder="0" vertical="bottom"/>
    </xf>
    <xf quotePrefix="1" borderId="0" fillId="3" fontId="9" numFmtId="0" xfId="0" applyAlignment="1" applyFill="1" applyFont="1">
      <alignment horizontal="right" readingOrder="0" vertical="bottom"/>
    </xf>
    <xf borderId="0" fillId="13" fontId="9" numFmtId="0" xfId="0" applyAlignment="1" applyFill="1" applyFont="1">
      <alignment readingOrder="0" vertical="bottom"/>
    </xf>
    <xf borderId="0" fillId="9" fontId="9" numFmtId="0" xfId="0" applyAlignment="1" applyFill="1" applyFont="1">
      <alignment readingOrder="0" vertical="bottom"/>
    </xf>
    <xf borderId="0" fillId="7" fontId="11" numFmtId="0" xfId="0" applyAlignment="1" applyFill="1" applyFont="1">
      <alignment horizontal="center"/>
    </xf>
    <xf quotePrefix="1" borderId="0" fillId="3" fontId="7" numFmtId="0" xfId="0" applyAlignment="1" applyFill="1" applyFont="1">
      <alignment horizontal="right" readingOrder="0" vertical="bottom"/>
    </xf>
    <xf borderId="0" fillId="3" fontId="9" numFmtId="171" xfId="0" applyAlignment="1" applyFill="1" applyFont="1" applyNumberFormat="1">
      <alignment readingOrder="0" vertical="bottom"/>
    </xf>
    <xf borderId="0" fillId="7" fontId="11" numFmtId="10" xfId="0" applyAlignment="1" applyFill="1" applyFont="1" applyNumberFormat="1">
      <alignment horizontal="center"/>
    </xf>
    <xf borderId="0" fillId="3" fontId="9" numFmtId="172" xfId="0" applyAlignment="1" applyFill="1" applyFont="1" applyNumberFormat="1">
      <alignment readingOrder="0" vertical="bottom"/>
    </xf>
    <xf quotePrefix="1" borderId="0" fillId="3" fontId="9" numFmtId="0" xfId="0" applyAlignment="1" applyFill="1" applyFont="1">
      <alignment readingOrder="0" vertical="bottom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13"/>
    <col customWidth="1" min="4" max="4" width="58.63"/>
    <col customWidth="1" min="5" max="5" width="24.25"/>
    <col customWidth="1" min="6" max="6" width="15.38"/>
    <col customWidth="1" min="7" max="7" width="39.5"/>
    <col customWidth="1" min="8" max="8" width="18.0"/>
    <col customWidth="1" min="9" max="9" width="12.25"/>
    <col customWidth="1" min="10" max="10" width="10.75"/>
    <col customWidth="1" min="11" max="11" width="7.5"/>
    <col customWidth="1" min="12" max="12" width="26.13"/>
    <col customWidth="1" min="13" max="13" width="12.5"/>
    <col customWidth="1" min="14" max="14" width="12.25"/>
    <col customWidth="1" min="15" max="15" width="12.75"/>
    <col customWidth="1" min="16" max="16" width="21.38"/>
    <col customWidth="1" min="17" max="17" width="9.88"/>
    <col customWidth="1" min="20" max="20" width="16.38"/>
    <col customWidth="1" min="21" max="21" width="12.38"/>
    <col customWidth="1" min="22" max="22" width="19.25"/>
  </cols>
  <sheetData>
    <row r="1">
      <c r="A1" s="7" t="s">
        <v>0</v>
      </c>
      <c r="B1" s="10" t="s">
        <v>8</v>
      </c>
      <c r="C1" s="10" t="s">
        <v>12</v>
      </c>
      <c r="D1" s="10" t="s">
        <v>3</v>
      </c>
      <c r="E1" s="10" t="s">
        <v>15</v>
      </c>
      <c r="F1" s="10" t="s">
        <v>17</v>
      </c>
      <c r="G1" s="10" t="s">
        <v>18</v>
      </c>
      <c r="H1" s="10" t="s">
        <v>21</v>
      </c>
      <c r="I1" s="7" t="s">
        <v>24</v>
      </c>
      <c r="J1" s="10" t="s">
        <v>28</v>
      </c>
      <c r="K1" s="10" t="s">
        <v>30</v>
      </c>
      <c r="L1" s="15" t="s">
        <v>36</v>
      </c>
      <c r="M1" s="10" t="s">
        <v>44</v>
      </c>
      <c r="N1" s="10" t="s">
        <v>46</v>
      </c>
      <c r="O1" s="16" t="s">
        <v>51</v>
      </c>
      <c r="P1" s="17" t="s">
        <v>58</v>
      </c>
      <c r="Q1" s="10" t="s">
        <v>66</v>
      </c>
      <c r="R1" s="19" t="s">
        <v>70</v>
      </c>
      <c r="S1" s="21"/>
      <c r="T1" s="22" t="s">
        <v>80</v>
      </c>
      <c r="U1" s="23" t="s">
        <v>87</v>
      </c>
      <c r="V1" s="23" t="s">
        <v>96</v>
      </c>
      <c r="W1" s="24" t="s">
        <v>100</v>
      </c>
      <c r="X1" s="23" t="s">
        <v>105</v>
      </c>
      <c r="Y1" s="23" t="s">
        <v>4</v>
      </c>
      <c r="Z1" s="26" t="s">
        <v>110</v>
      </c>
      <c r="AA1" s="26" t="s">
        <v>115</v>
      </c>
    </row>
    <row r="2">
      <c r="A2" s="27">
        <v>1.0</v>
      </c>
      <c r="B2" s="21"/>
      <c r="C2" s="21" t="s">
        <v>182</v>
      </c>
      <c r="D2" s="29" t="s">
        <v>6</v>
      </c>
      <c r="E2" s="21" t="s">
        <v>189</v>
      </c>
      <c r="F2" s="21" t="s">
        <v>204</v>
      </c>
      <c r="G2" s="21"/>
      <c r="H2" s="31">
        <f t="shared" ref="H2:H25" si="1">IF(J2="","",J2/1.21)</f>
        <v>68163.63636</v>
      </c>
      <c r="I2" s="31"/>
      <c r="J2" s="32">
        <v>82478.0</v>
      </c>
      <c r="K2" s="21"/>
      <c r="L2" s="33">
        <f>IF('Global Precios'!J2*(1-I2)*(1+'Global Precios'!K2)&gt;10000,MROUND('Global Precios'!J2*(1-I2)*(1+'Global Precios'!K2),1000),MROUND('Global Precios'!J2*(1-I2)*(1+'Global Precios'!K2),500))</f>
        <v>82000</v>
      </c>
      <c r="M2" s="27">
        <v>1.0</v>
      </c>
      <c r="N2" s="34" t="s">
        <v>313</v>
      </c>
      <c r="O2" s="21"/>
      <c r="P2" s="35">
        <v>45809.0</v>
      </c>
      <c r="Q2" s="36">
        <f t="shared" ref="Q2:Q108" si="2">LEN(D2)</f>
        <v>15</v>
      </c>
      <c r="R2" s="37">
        <v>60.0</v>
      </c>
      <c r="S2" s="39"/>
      <c r="T2" s="41" t="str">
        <f>IFERROR(VLOOKUP(D2,BUSCARV!$A$1:$C$5524,2,0),"")</f>
        <v/>
      </c>
      <c r="U2" s="42"/>
      <c r="V2" s="42" t="str">
        <f t="shared" ref="V2:V991" si="3">IF(U2="",T2,T2/U2)</f>
        <v/>
      </c>
      <c r="W2" s="44" t="str">
        <f t="shared" ref="W2:W594" si="4">IF(V2="","", IFERROR((V2-J2)/J2,""))</f>
        <v/>
      </c>
      <c r="X2" s="44"/>
      <c r="Y2" s="45">
        <f t="shared" ref="Y2:Y465" si="5">IFERROR(VLOOKUP(A2,#REF!,3,0),0)</f>
        <v>0</v>
      </c>
      <c r="Z2" s="46" t="s">
        <v>449</v>
      </c>
      <c r="AA2" s="46"/>
    </row>
    <row r="3">
      <c r="A3" s="27">
        <v>2.0</v>
      </c>
      <c r="B3" s="21"/>
      <c r="C3" s="21" t="s">
        <v>182</v>
      </c>
      <c r="D3" s="29" t="s">
        <v>7</v>
      </c>
      <c r="E3" s="21" t="s">
        <v>189</v>
      </c>
      <c r="F3" s="21" t="s">
        <v>204</v>
      </c>
      <c r="G3" s="21"/>
      <c r="H3" s="31">
        <f t="shared" si="1"/>
        <v>83251.23967</v>
      </c>
      <c r="I3" s="31"/>
      <c r="J3" s="32">
        <v>100734.0</v>
      </c>
      <c r="K3" s="21"/>
      <c r="L3" s="33">
        <f>IF('Global Precios'!J3*(1-I3)*(1+'Global Precios'!K3)&gt;10000,MROUND('Global Precios'!J3*(1-I3)*(1+'Global Precios'!K3),1000),MROUND('Global Precios'!J3*(1-I3)*(1+'Global Precios'!K3),500))</f>
        <v>101000</v>
      </c>
      <c r="M3" s="27">
        <v>1.0</v>
      </c>
      <c r="N3" s="34" t="s">
        <v>313</v>
      </c>
      <c r="O3" s="21"/>
      <c r="P3" s="35">
        <v>45809.0</v>
      </c>
      <c r="Q3" s="36">
        <f t="shared" si="2"/>
        <v>28</v>
      </c>
      <c r="R3" s="37">
        <v>60.0</v>
      </c>
      <c r="S3" s="39"/>
      <c r="T3" s="41" t="str">
        <f>IFERROR(VLOOKUP(D3,BUSCARV!$A$1:$C$5524,2,0),"")</f>
        <v/>
      </c>
      <c r="U3" s="42"/>
      <c r="V3" s="42" t="str">
        <f t="shared" si="3"/>
        <v/>
      </c>
      <c r="W3" s="44" t="str">
        <f t="shared" si="4"/>
        <v/>
      </c>
      <c r="X3" s="44"/>
      <c r="Y3" s="45">
        <f t="shared" si="5"/>
        <v>0</v>
      </c>
      <c r="Z3" s="46" t="s">
        <v>449</v>
      </c>
      <c r="AA3" s="46"/>
    </row>
    <row r="4">
      <c r="A4" s="27">
        <v>3.0</v>
      </c>
      <c r="B4" s="21"/>
      <c r="C4" s="29" t="s">
        <v>182</v>
      </c>
      <c r="D4" s="29" t="s">
        <v>9</v>
      </c>
      <c r="E4" s="21" t="s">
        <v>189</v>
      </c>
      <c r="F4" s="21" t="s">
        <v>204</v>
      </c>
      <c r="G4" s="21"/>
      <c r="H4" s="31">
        <f t="shared" si="1"/>
        <v>85819.83471</v>
      </c>
      <c r="I4" s="31"/>
      <c r="J4" s="47">
        <v>103842.0</v>
      </c>
      <c r="K4" s="21"/>
      <c r="L4" s="33">
        <f>IF('Global Precios'!J4*(1-I4)*(1+'Global Precios'!K4)&gt;10000,MROUND('Global Precios'!J4*(1-I4)*(1+'Global Precios'!K4),1000),MROUND('Global Precios'!J4*(1-I4)*(1+'Global Precios'!K4),500))</f>
        <v>104000</v>
      </c>
      <c r="M4" s="27">
        <v>1.0</v>
      </c>
      <c r="N4" s="34" t="s">
        <v>313</v>
      </c>
      <c r="O4" s="21"/>
      <c r="P4" s="35">
        <v>45809.0</v>
      </c>
      <c r="Q4" s="36">
        <f t="shared" si="2"/>
        <v>28</v>
      </c>
      <c r="R4" s="37">
        <v>60.0</v>
      </c>
      <c r="S4" s="39"/>
      <c r="T4" s="41" t="str">
        <f>IFERROR(VLOOKUP(D4,BUSCARV!$A$1:$C$5524,2,0),"")</f>
        <v/>
      </c>
      <c r="U4" s="42"/>
      <c r="V4" s="42" t="str">
        <f t="shared" si="3"/>
        <v/>
      </c>
      <c r="W4" s="44" t="str">
        <f t="shared" si="4"/>
        <v/>
      </c>
      <c r="X4" s="44"/>
      <c r="Y4" s="45">
        <f t="shared" si="5"/>
        <v>0</v>
      </c>
      <c r="Z4" s="46" t="s">
        <v>449</v>
      </c>
      <c r="AA4" s="46"/>
    </row>
    <row r="5">
      <c r="A5" s="27">
        <v>4.0</v>
      </c>
      <c r="B5" s="21"/>
      <c r="C5" s="21" t="s">
        <v>182</v>
      </c>
      <c r="D5" s="29" t="s">
        <v>10</v>
      </c>
      <c r="E5" s="21" t="s">
        <v>189</v>
      </c>
      <c r="F5" s="21" t="s">
        <v>204</v>
      </c>
      <c r="G5" s="21"/>
      <c r="H5" s="31">
        <f t="shared" si="1"/>
        <v>90454.54545</v>
      </c>
      <c r="I5" s="31"/>
      <c r="J5" s="47">
        <v>109450.0</v>
      </c>
      <c r="K5" s="21"/>
      <c r="L5" s="33">
        <f>IF('Global Precios'!J5*(1-I5)*(1+'Global Precios'!K5)&gt;10000,MROUND('Global Precios'!J5*(1-I5)*(1+'Global Precios'!K5),1000),MROUND('Global Precios'!J5*(1-I5)*(1+'Global Precios'!K5),500))</f>
        <v>109000</v>
      </c>
      <c r="M5" s="27">
        <v>1.0</v>
      </c>
      <c r="N5" s="34" t="s">
        <v>313</v>
      </c>
      <c r="O5" s="21"/>
      <c r="P5" s="35">
        <v>45809.0</v>
      </c>
      <c r="Q5" s="36">
        <f t="shared" si="2"/>
        <v>28</v>
      </c>
      <c r="R5" s="37">
        <v>60.0</v>
      </c>
      <c r="S5" s="39"/>
      <c r="T5" s="41" t="str">
        <f>IFERROR(VLOOKUP(D5,BUSCARV!$A$1:$C$5524,2,0),"")</f>
        <v/>
      </c>
      <c r="U5" s="42"/>
      <c r="V5" s="42" t="str">
        <f t="shared" si="3"/>
        <v/>
      </c>
      <c r="W5" s="44" t="str">
        <f t="shared" si="4"/>
        <v/>
      </c>
      <c r="X5" s="44"/>
      <c r="Y5" s="45">
        <f t="shared" si="5"/>
        <v>0</v>
      </c>
      <c r="Z5" s="46" t="s">
        <v>449</v>
      </c>
      <c r="AA5" s="46"/>
    </row>
    <row r="6">
      <c r="A6" s="27">
        <v>5.0</v>
      </c>
      <c r="B6" s="21"/>
      <c r="C6" s="21" t="s">
        <v>182</v>
      </c>
      <c r="D6" s="29" t="s">
        <v>11</v>
      </c>
      <c r="E6" s="21" t="s">
        <v>189</v>
      </c>
      <c r="F6" s="21" t="s">
        <v>204</v>
      </c>
      <c r="G6" s="21"/>
      <c r="H6" s="31">
        <f t="shared" si="1"/>
        <v>97890.08264</v>
      </c>
      <c r="I6" s="48"/>
      <c r="J6" s="47">
        <v>118447.0</v>
      </c>
      <c r="K6" s="21"/>
      <c r="L6" s="33">
        <f>IF('Global Precios'!J6*(1-I6)*(1+'Global Precios'!K6)&gt;10000,MROUND('Global Precios'!J6*(1-I6)*(1+'Global Precios'!K6),1000),MROUND('Global Precios'!J6*(1-I6)*(1+'Global Precios'!K6),500))</f>
        <v>118000</v>
      </c>
      <c r="M6" s="27">
        <v>1.0</v>
      </c>
      <c r="N6" s="34" t="s">
        <v>313</v>
      </c>
      <c r="O6" s="21"/>
      <c r="P6" s="35">
        <v>45809.0</v>
      </c>
      <c r="Q6" s="36">
        <f t="shared" si="2"/>
        <v>28</v>
      </c>
      <c r="R6" s="37">
        <v>60.0</v>
      </c>
      <c r="S6" s="39"/>
      <c r="T6" s="41" t="str">
        <f>IFERROR(VLOOKUP(D6,BUSCARV!$A$1:$C$5524,2,0),"")</f>
        <v/>
      </c>
      <c r="U6" s="42"/>
      <c r="V6" s="42" t="str">
        <f t="shared" si="3"/>
        <v/>
      </c>
      <c r="W6" s="44" t="str">
        <f t="shared" si="4"/>
        <v/>
      </c>
      <c r="X6" s="44"/>
      <c r="Y6" s="45">
        <f t="shared" si="5"/>
        <v>0</v>
      </c>
      <c r="Z6" s="46" t="s">
        <v>449</v>
      </c>
      <c r="AA6" s="46"/>
    </row>
    <row r="7">
      <c r="A7" s="27">
        <v>6.0</v>
      </c>
      <c r="B7" s="21"/>
      <c r="C7" s="21" t="s">
        <v>182</v>
      </c>
      <c r="D7" s="29" t="s">
        <v>13</v>
      </c>
      <c r="E7" s="21" t="s">
        <v>189</v>
      </c>
      <c r="F7" s="21" t="s">
        <v>204</v>
      </c>
      <c r="G7" s="21"/>
      <c r="H7" s="31">
        <f t="shared" si="1"/>
        <v>105325.6198</v>
      </c>
      <c r="I7" s="31"/>
      <c r="J7" s="47">
        <v>127444.0</v>
      </c>
      <c r="K7" s="21"/>
      <c r="L7" s="33">
        <f>IF('Global Precios'!J7*(1-I7)*(1+'Global Precios'!K7)&gt;10000,MROUND('Global Precios'!J7*(1-I7)*(1+'Global Precios'!K7),1000),MROUND('Global Precios'!J7*(1-I7)*(1+'Global Precios'!K7),500))</f>
        <v>127000</v>
      </c>
      <c r="M7" s="27">
        <v>1.0</v>
      </c>
      <c r="N7" s="34" t="s">
        <v>313</v>
      </c>
      <c r="O7" s="21"/>
      <c r="P7" s="35">
        <v>45809.0</v>
      </c>
      <c r="Q7" s="36">
        <f t="shared" si="2"/>
        <v>28</v>
      </c>
      <c r="R7" s="37">
        <v>60.0</v>
      </c>
      <c r="S7" s="39"/>
      <c r="T7" s="41" t="str">
        <f>IFERROR(VLOOKUP(D7,BUSCARV!$A$1:$C$5524,2,0),"")</f>
        <v/>
      </c>
      <c r="U7" s="42"/>
      <c r="V7" s="42" t="str">
        <f t="shared" si="3"/>
        <v/>
      </c>
      <c r="W7" s="44" t="str">
        <f t="shared" si="4"/>
        <v/>
      </c>
      <c r="X7" s="44"/>
      <c r="Y7" s="45">
        <f t="shared" si="5"/>
        <v>0</v>
      </c>
      <c r="Z7" s="46" t="s">
        <v>449</v>
      </c>
      <c r="AA7" s="46"/>
    </row>
    <row r="8">
      <c r="A8" s="27">
        <v>7.0</v>
      </c>
      <c r="B8" s="21"/>
      <c r="C8" s="21" t="s">
        <v>182</v>
      </c>
      <c r="D8" s="29" t="s">
        <v>16</v>
      </c>
      <c r="E8" s="21" t="s">
        <v>189</v>
      </c>
      <c r="F8" s="21" t="s">
        <v>204</v>
      </c>
      <c r="G8" s="21"/>
      <c r="H8" s="31">
        <f t="shared" si="1"/>
        <v>114000.8264</v>
      </c>
      <c r="I8" s="31"/>
      <c r="J8" s="47">
        <v>137941.0</v>
      </c>
      <c r="K8" s="21"/>
      <c r="L8" s="33">
        <f>IF('Global Precios'!J8*(1-I8)*(1+'Global Precios'!K8)&gt;10000,MROUND('Global Precios'!J8*(1-I8)*(1+'Global Precios'!K8),1000),MROUND('Global Precios'!J8*(1-I8)*(1+'Global Precios'!K8),500))</f>
        <v>138000</v>
      </c>
      <c r="M8" s="27">
        <v>1.0</v>
      </c>
      <c r="N8" s="34" t="s">
        <v>313</v>
      </c>
      <c r="O8" s="21"/>
      <c r="P8" s="35">
        <v>45809.0</v>
      </c>
      <c r="Q8" s="36">
        <f t="shared" si="2"/>
        <v>28</v>
      </c>
      <c r="R8" s="37">
        <v>60.0</v>
      </c>
      <c r="S8" s="39"/>
      <c r="T8" s="41" t="str">
        <f>IFERROR(VLOOKUP(D8,BUSCARV!$A$1:$C$5524,2,0),"")</f>
        <v/>
      </c>
      <c r="U8" s="42"/>
      <c r="V8" s="42" t="str">
        <f t="shared" si="3"/>
        <v/>
      </c>
      <c r="W8" s="44" t="str">
        <f t="shared" si="4"/>
        <v/>
      </c>
      <c r="X8" s="44"/>
      <c r="Y8" s="45">
        <f t="shared" si="5"/>
        <v>0</v>
      </c>
      <c r="Z8" s="46" t="s">
        <v>449</v>
      </c>
      <c r="AA8" s="46"/>
    </row>
    <row r="9">
      <c r="A9" s="27">
        <v>8.0</v>
      </c>
      <c r="B9" s="21"/>
      <c r="C9" s="21" t="s">
        <v>182</v>
      </c>
      <c r="D9" s="21" t="s">
        <v>22</v>
      </c>
      <c r="E9" s="21" t="s">
        <v>189</v>
      </c>
      <c r="F9" s="21" t="s">
        <v>204</v>
      </c>
      <c r="G9" s="21"/>
      <c r="H9" s="31">
        <f t="shared" si="1"/>
        <v>14871.07438</v>
      </c>
      <c r="I9" s="31"/>
      <c r="J9" s="47">
        <v>17994.0</v>
      </c>
      <c r="K9" s="21"/>
      <c r="L9" s="33">
        <f>IF('Global Precios'!J9*(1-I9)*(1+'Global Precios'!K9)&gt;1000,MROUND('Global Precios'!J9*(1-I9)*(1+'Global Precios'!K9),100),MROUND('Global Precios'!J9*(1-I9)*(1+'Global Precios'!K9),10))</f>
        <v>18000</v>
      </c>
      <c r="M9" s="27">
        <v>1.0</v>
      </c>
      <c r="N9" s="34" t="s">
        <v>313</v>
      </c>
      <c r="O9" s="21"/>
      <c r="P9" s="35">
        <v>45809.0</v>
      </c>
      <c r="Q9" s="36">
        <f t="shared" si="2"/>
        <v>42</v>
      </c>
      <c r="R9" s="37">
        <v>60.0</v>
      </c>
      <c r="S9" s="39"/>
      <c r="T9" s="41" t="str">
        <f>IFERROR(VLOOKUP(D9,BUSCARV!$A$1:$C$5524,2,0),"")</f>
        <v/>
      </c>
      <c r="U9" s="42"/>
      <c r="V9" s="42" t="str">
        <f t="shared" si="3"/>
        <v/>
      </c>
      <c r="W9" s="44" t="str">
        <f t="shared" si="4"/>
        <v/>
      </c>
      <c r="X9" s="44"/>
      <c r="Y9" s="45">
        <f t="shared" si="5"/>
        <v>0</v>
      </c>
      <c r="Z9" s="46" t="s">
        <v>1075</v>
      </c>
      <c r="AA9" s="46"/>
    </row>
    <row r="10">
      <c r="A10" s="27">
        <v>9.0</v>
      </c>
      <c r="B10" s="21"/>
      <c r="C10" s="21" t="s">
        <v>182</v>
      </c>
      <c r="D10" s="21" t="s">
        <v>26</v>
      </c>
      <c r="E10" s="21" t="s">
        <v>189</v>
      </c>
      <c r="F10" s="21" t="s">
        <v>204</v>
      </c>
      <c r="G10" s="21"/>
      <c r="H10" s="31">
        <f t="shared" si="1"/>
        <v>12143.80165</v>
      </c>
      <c r="I10" s="31"/>
      <c r="J10" s="47">
        <v>14694.0</v>
      </c>
      <c r="K10" s="21"/>
      <c r="L10" s="33">
        <f>IF('Global Precios'!J10*(1-I10)*(1+'Global Precios'!K10)&gt;1000,MROUND('Global Precios'!J10*(1-I10)*(1+'Global Precios'!K10),100),MROUND('Global Precios'!J10*(1-I10)*(1+'Global Precios'!K10),10))</f>
        <v>14700</v>
      </c>
      <c r="M10" s="27">
        <v>1.0</v>
      </c>
      <c r="N10" s="34" t="s">
        <v>313</v>
      </c>
      <c r="O10" s="21"/>
      <c r="P10" s="35">
        <v>45809.0</v>
      </c>
      <c r="Q10" s="36">
        <f t="shared" si="2"/>
        <v>42</v>
      </c>
      <c r="R10" s="37">
        <v>60.0</v>
      </c>
      <c r="S10" s="39"/>
      <c r="T10" s="41" t="str">
        <f>IFERROR(VLOOKUP(D10,BUSCARV!$A$1:$C$5524,2,0),"")</f>
        <v/>
      </c>
      <c r="U10" s="42"/>
      <c r="V10" s="42" t="str">
        <f t="shared" si="3"/>
        <v/>
      </c>
      <c r="W10" s="44" t="str">
        <f t="shared" si="4"/>
        <v/>
      </c>
      <c r="X10" s="44"/>
      <c r="Y10" s="45">
        <f t="shared" si="5"/>
        <v>0</v>
      </c>
      <c r="Z10" s="46" t="s">
        <v>1075</v>
      </c>
      <c r="AA10" s="46"/>
    </row>
    <row r="11">
      <c r="A11" s="27">
        <v>10.0</v>
      </c>
      <c r="B11" s="21"/>
      <c r="C11" s="21" t="s">
        <v>182</v>
      </c>
      <c r="D11" s="50" t="s">
        <v>31</v>
      </c>
      <c r="E11" s="21" t="s">
        <v>189</v>
      </c>
      <c r="F11" s="21" t="s">
        <v>204</v>
      </c>
      <c r="G11" s="21"/>
      <c r="H11" s="31">
        <f t="shared" si="1"/>
        <v>50544.6281</v>
      </c>
      <c r="I11" s="31"/>
      <c r="J11" s="47">
        <v>61159.0</v>
      </c>
      <c r="K11" s="21"/>
      <c r="L11" s="33">
        <f>IF('Global Precios'!J11*(1-I11)*(1+'Global Precios'!K11)&gt;10000,MROUND('Global Precios'!J11*(1-I11)*(1+'Global Precios'!K11),1000),MROUND('Global Precios'!J11*(1-I11)*(1+'Global Precios'!K11),500))</f>
        <v>61000</v>
      </c>
      <c r="M11" s="27">
        <v>1.0</v>
      </c>
      <c r="N11" s="34" t="s">
        <v>313</v>
      </c>
      <c r="O11" s="21"/>
      <c r="P11" s="35">
        <v>45809.0</v>
      </c>
      <c r="Q11" s="36">
        <f t="shared" si="2"/>
        <v>21</v>
      </c>
      <c r="R11" s="37">
        <v>60.0</v>
      </c>
      <c r="S11" s="39"/>
      <c r="T11" s="41" t="str">
        <f>IFERROR(VLOOKUP(D11,BUSCARV!$A$1:$C$5524,2,0),"")</f>
        <v/>
      </c>
      <c r="U11" s="42"/>
      <c r="V11" s="42" t="str">
        <f t="shared" si="3"/>
        <v/>
      </c>
      <c r="W11" s="44" t="str">
        <f t="shared" si="4"/>
        <v/>
      </c>
      <c r="X11" s="44"/>
      <c r="Y11" s="45">
        <f t="shared" si="5"/>
        <v>0</v>
      </c>
      <c r="Z11" s="46" t="s">
        <v>449</v>
      </c>
      <c r="AA11" s="46"/>
    </row>
    <row r="12">
      <c r="A12" s="27">
        <v>11.0</v>
      </c>
      <c r="B12" s="21"/>
      <c r="C12" s="21" t="s">
        <v>182</v>
      </c>
      <c r="D12" s="50" t="s">
        <v>34</v>
      </c>
      <c r="E12" s="21" t="s">
        <v>189</v>
      </c>
      <c r="F12" s="21" t="s">
        <v>204</v>
      </c>
      <c r="G12" s="21"/>
      <c r="H12" s="31">
        <f t="shared" si="1"/>
        <v>60022.31405</v>
      </c>
      <c r="I12" s="31"/>
      <c r="J12" s="47">
        <v>72627.0</v>
      </c>
      <c r="K12" s="21"/>
      <c r="L12" s="33">
        <f>IF('Global Precios'!J12*(1-I12)*(1+'Global Precios'!K12)&gt;10000,MROUND('Global Precios'!J12*(1-I12)*(1+'Global Precios'!K12),1000),MROUND('Global Precios'!J12*(1-I12)*(1+'Global Precios'!K12),500))</f>
        <v>73000</v>
      </c>
      <c r="M12" s="27">
        <v>1.0</v>
      </c>
      <c r="N12" s="34" t="s">
        <v>313</v>
      </c>
      <c r="O12" s="21"/>
      <c r="P12" s="35">
        <v>45809.0</v>
      </c>
      <c r="Q12" s="36">
        <f t="shared" si="2"/>
        <v>21</v>
      </c>
      <c r="R12" s="37">
        <v>60.0</v>
      </c>
      <c r="S12" s="39"/>
      <c r="T12" s="41" t="str">
        <f>IFERROR(VLOOKUP(D12,BUSCARV!$A$1:$C$5524,2,0),"")</f>
        <v/>
      </c>
      <c r="U12" s="42"/>
      <c r="V12" s="42" t="str">
        <f t="shared" si="3"/>
        <v/>
      </c>
      <c r="W12" s="44" t="str">
        <f t="shared" si="4"/>
        <v/>
      </c>
      <c r="X12" s="44"/>
      <c r="Y12" s="45">
        <f t="shared" si="5"/>
        <v>0</v>
      </c>
      <c r="Z12" s="46" t="s">
        <v>449</v>
      </c>
      <c r="AA12" s="46"/>
    </row>
    <row r="13">
      <c r="A13" s="27">
        <v>12.0</v>
      </c>
      <c r="B13" s="21"/>
      <c r="C13" s="21" t="s">
        <v>182</v>
      </c>
      <c r="D13" s="50" t="s">
        <v>37</v>
      </c>
      <c r="E13" s="21" t="s">
        <v>189</v>
      </c>
      <c r="F13" s="21" t="s">
        <v>204</v>
      </c>
      <c r="G13" s="21"/>
      <c r="H13" s="31">
        <f t="shared" si="1"/>
        <v>71605.78512</v>
      </c>
      <c r="I13" s="31"/>
      <c r="J13" s="47">
        <v>86643.0</v>
      </c>
      <c r="K13" s="21"/>
      <c r="L13" s="33">
        <f>IF('Global Precios'!J13*(1-I13)*(1+'Global Precios'!K13)&gt;10000,MROUND('Global Precios'!J13*(1-I13)*(1+'Global Precios'!K13),1000),MROUND('Global Precios'!J13*(1-I13)*(1+'Global Precios'!K13),500))</f>
        <v>87000</v>
      </c>
      <c r="M13" s="27">
        <v>1.0</v>
      </c>
      <c r="N13" s="34" t="s">
        <v>313</v>
      </c>
      <c r="O13" s="21"/>
      <c r="P13" s="35">
        <v>45809.0</v>
      </c>
      <c r="Q13" s="36">
        <f t="shared" si="2"/>
        <v>21</v>
      </c>
      <c r="R13" s="37">
        <v>60.0</v>
      </c>
      <c r="S13" s="39"/>
      <c r="T13" s="41" t="str">
        <f>IFERROR(VLOOKUP(D13,BUSCARV!$A$1:$C$5524,2,0),"")</f>
        <v/>
      </c>
      <c r="U13" s="42"/>
      <c r="V13" s="42" t="str">
        <f t="shared" si="3"/>
        <v/>
      </c>
      <c r="W13" s="44" t="str">
        <f t="shared" si="4"/>
        <v/>
      </c>
      <c r="X13" s="44"/>
      <c r="Y13" s="45">
        <f t="shared" si="5"/>
        <v>0</v>
      </c>
      <c r="Z13" s="46" t="s">
        <v>449</v>
      </c>
      <c r="AA13" s="46"/>
    </row>
    <row r="14">
      <c r="A14" s="27">
        <v>13.0</v>
      </c>
      <c r="B14" s="21"/>
      <c r="C14" s="21" t="s">
        <v>182</v>
      </c>
      <c r="D14" s="50" t="s">
        <v>40</v>
      </c>
      <c r="E14" s="21" t="s">
        <v>189</v>
      </c>
      <c r="F14" s="21" t="s">
        <v>204</v>
      </c>
      <c r="G14" s="21"/>
      <c r="H14" s="31">
        <f t="shared" si="1"/>
        <v>82136.36364</v>
      </c>
      <c r="I14" s="31"/>
      <c r="J14" s="47">
        <v>99385.0</v>
      </c>
      <c r="K14" s="21"/>
      <c r="L14" s="33">
        <f>IF('Global Precios'!J14*(1-I14)*(1+'Global Precios'!K14)&gt;10000,MROUND('Global Precios'!J14*(1-I14)*(1+'Global Precios'!K14),1000),MROUND('Global Precios'!J14*(1-I14)*(1+'Global Precios'!K14),500))</f>
        <v>99000</v>
      </c>
      <c r="M14" s="27">
        <v>1.0</v>
      </c>
      <c r="N14" s="34" t="s">
        <v>313</v>
      </c>
      <c r="O14" s="21"/>
      <c r="P14" s="35">
        <v>45809.0</v>
      </c>
      <c r="Q14" s="36">
        <f t="shared" si="2"/>
        <v>21</v>
      </c>
      <c r="R14" s="37">
        <v>60.0</v>
      </c>
      <c r="S14" s="39"/>
      <c r="T14" s="41" t="str">
        <f>IFERROR(VLOOKUP(D14,BUSCARV!$A$1:$C$5524,2,0),"")</f>
        <v/>
      </c>
      <c r="U14" s="42"/>
      <c r="V14" s="42" t="str">
        <f t="shared" si="3"/>
        <v/>
      </c>
      <c r="W14" s="44" t="str">
        <f t="shared" si="4"/>
        <v/>
      </c>
      <c r="X14" s="44"/>
      <c r="Y14" s="45">
        <f t="shared" si="5"/>
        <v>0</v>
      </c>
      <c r="Z14" s="46" t="s">
        <v>449</v>
      </c>
      <c r="AA14" s="46"/>
    </row>
    <row r="15">
      <c r="A15" s="27">
        <v>14.0</v>
      </c>
      <c r="B15" s="21"/>
      <c r="C15" s="21" t="s">
        <v>182</v>
      </c>
      <c r="D15" s="50" t="s">
        <v>42</v>
      </c>
      <c r="E15" s="21" t="s">
        <v>189</v>
      </c>
      <c r="F15" s="21" t="s">
        <v>204</v>
      </c>
      <c r="G15" s="21"/>
      <c r="H15" s="31">
        <f t="shared" si="1"/>
        <v>90454.54545</v>
      </c>
      <c r="I15" s="31"/>
      <c r="J15" s="47">
        <v>109450.0</v>
      </c>
      <c r="K15" s="21"/>
      <c r="L15" s="33">
        <f>IF('Global Precios'!J15*(1-I15)*(1+'Global Precios'!K15)&gt;10000,MROUND('Global Precios'!J15*(1-I15)*(1+'Global Precios'!K15),1000),MROUND('Global Precios'!J15*(1-I15)*(1+'Global Precios'!K15),500))</f>
        <v>109000</v>
      </c>
      <c r="M15" s="27">
        <v>1.0</v>
      </c>
      <c r="N15" s="34" t="s">
        <v>313</v>
      </c>
      <c r="O15" s="21"/>
      <c r="P15" s="35">
        <v>45809.0</v>
      </c>
      <c r="Q15" s="36">
        <f t="shared" si="2"/>
        <v>21</v>
      </c>
      <c r="R15" s="37">
        <v>60.0</v>
      </c>
      <c r="S15" s="39"/>
      <c r="T15" s="41" t="str">
        <f>IFERROR(VLOOKUP(D15,BUSCARV!$A$1:$C$5524,2,0),"")</f>
        <v/>
      </c>
      <c r="U15" s="42"/>
      <c r="V15" s="42" t="str">
        <f t="shared" si="3"/>
        <v/>
      </c>
      <c r="W15" s="44" t="str">
        <f t="shared" si="4"/>
        <v/>
      </c>
      <c r="X15" s="44"/>
      <c r="Y15" s="45">
        <f t="shared" si="5"/>
        <v>0</v>
      </c>
      <c r="Z15" s="46" t="s">
        <v>449</v>
      </c>
      <c r="AA15" s="46"/>
    </row>
    <row r="16">
      <c r="A16" s="27">
        <v>15.0</v>
      </c>
      <c r="B16" s="21"/>
      <c r="C16" s="21" t="s">
        <v>182</v>
      </c>
      <c r="D16" s="29" t="s">
        <v>47</v>
      </c>
      <c r="E16" s="21" t="s">
        <v>189</v>
      </c>
      <c r="F16" s="21" t="s">
        <v>204</v>
      </c>
      <c r="G16" s="21"/>
      <c r="H16" s="31">
        <f t="shared" si="1"/>
        <v>29740.49587</v>
      </c>
      <c r="I16" s="31"/>
      <c r="J16" s="47">
        <v>35986.0</v>
      </c>
      <c r="K16" s="21"/>
      <c r="L16" s="33">
        <f>IF('Global Precios'!J16*(1-I16)*(1+'Global Precios'!K16)&gt;10000,MROUND('Global Precios'!J16*(1-I16)*(1+'Global Precios'!K16),1000),MROUND('Global Precios'!J16*(1-I16)*(1+'Global Precios'!K16),500))</f>
        <v>36000</v>
      </c>
      <c r="M16" s="27">
        <v>1.0</v>
      </c>
      <c r="N16" s="34" t="s">
        <v>313</v>
      </c>
      <c r="O16" s="21"/>
      <c r="P16" s="35">
        <v>45809.0</v>
      </c>
      <c r="Q16" s="36">
        <f t="shared" si="2"/>
        <v>41</v>
      </c>
      <c r="R16" s="37">
        <v>60.0</v>
      </c>
      <c r="S16" s="39"/>
      <c r="T16" s="41" t="str">
        <f>IFERROR(VLOOKUP(D16,BUSCARV!$A$1:$C$5524,2,0),"")</f>
        <v/>
      </c>
      <c r="U16" s="42"/>
      <c r="V16" s="42" t="str">
        <f t="shared" si="3"/>
        <v/>
      </c>
      <c r="W16" s="44" t="str">
        <f t="shared" si="4"/>
        <v/>
      </c>
      <c r="X16" s="44"/>
      <c r="Y16" s="45">
        <f t="shared" si="5"/>
        <v>0</v>
      </c>
      <c r="Z16" s="46" t="s">
        <v>1075</v>
      </c>
      <c r="AA16" s="46"/>
    </row>
    <row r="17">
      <c r="A17" s="27">
        <v>16.0</v>
      </c>
      <c r="B17" s="21"/>
      <c r="C17" s="21" t="s">
        <v>182</v>
      </c>
      <c r="D17" s="29" t="s">
        <v>49</v>
      </c>
      <c r="E17" s="21" t="s">
        <v>189</v>
      </c>
      <c r="F17" s="21" t="s">
        <v>204</v>
      </c>
      <c r="G17" s="21"/>
      <c r="H17" s="31">
        <f t="shared" si="1"/>
        <v>18587.60331</v>
      </c>
      <c r="I17" s="31"/>
      <c r="J17" s="47">
        <v>22491.0</v>
      </c>
      <c r="K17" s="21"/>
      <c r="L17" s="33">
        <f>IF('Global Precios'!J17*(1-I17)*(1+'Global Precios'!K17)&gt;10000,MROUND('Global Precios'!J17*(1-I17)*(1+'Global Precios'!K17),1000),MROUND('Global Precios'!J17*(1-I17)*(1+'Global Precios'!K17),500))</f>
        <v>22000</v>
      </c>
      <c r="M17" s="27">
        <v>1.0</v>
      </c>
      <c r="N17" s="34" t="s">
        <v>313</v>
      </c>
      <c r="O17" s="21"/>
      <c r="P17" s="35">
        <v>45809.0</v>
      </c>
      <c r="Q17" s="36">
        <f t="shared" si="2"/>
        <v>31</v>
      </c>
      <c r="R17" s="37">
        <v>60.0</v>
      </c>
      <c r="S17" s="39"/>
      <c r="T17" s="41" t="str">
        <f>IFERROR(VLOOKUP(D17,BUSCARV!$A$1:$C$5524,2,0),"")</f>
        <v/>
      </c>
      <c r="U17" s="42"/>
      <c r="V17" s="42" t="str">
        <f t="shared" si="3"/>
        <v/>
      </c>
      <c r="W17" s="44" t="str">
        <f t="shared" si="4"/>
        <v/>
      </c>
      <c r="X17" s="44"/>
      <c r="Y17" s="45">
        <f t="shared" si="5"/>
        <v>0</v>
      </c>
      <c r="Z17" s="46" t="s">
        <v>449</v>
      </c>
      <c r="AA17" s="46"/>
    </row>
    <row r="18">
      <c r="A18" s="27">
        <v>17.0</v>
      </c>
      <c r="B18" s="21"/>
      <c r="C18" s="21" t="s">
        <v>182</v>
      </c>
      <c r="D18" s="29" t="s">
        <v>54</v>
      </c>
      <c r="E18" s="21" t="s">
        <v>189</v>
      </c>
      <c r="F18" s="21" t="s">
        <v>204</v>
      </c>
      <c r="G18" s="21"/>
      <c r="H18" s="31">
        <f t="shared" si="1"/>
        <v>40890.08264</v>
      </c>
      <c r="I18" s="31"/>
      <c r="J18" s="47">
        <v>49477.0</v>
      </c>
      <c r="K18" s="21"/>
      <c r="L18" s="33">
        <f>IF('Global Precios'!J18*(1-I18)*(1+'Global Precios'!K18)&gt;10000,MROUND('Global Precios'!J18*(1-I18)*(1+'Global Precios'!K18),1000),MROUND('Global Precios'!J18*(1-I18)*(1+'Global Precios'!K18),500))</f>
        <v>49000</v>
      </c>
      <c r="M18" s="27">
        <v>1.0</v>
      </c>
      <c r="N18" s="34" t="s">
        <v>313</v>
      </c>
      <c r="O18" s="21"/>
      <c r="P18" s="35">
        <v>45809.0</v>
      </c>
      <c r="Q18" s="36">
        <f t="shared" si="2"/>
        <v>32</v>
      </c>
      <c r="R18" s="37">
        <v>60.0</v>
      </c>
      <c r="S18" s="39"/>
      <c r="T18" s="41" t="str">
        <f>IFERROR(VLOOKUP(D18,BUSCARV!$A$1:$C$5524,2,0),"")</f>
        <v/>
      </c>
      <c r="U18" s="42"/>
      <c r="V18" s="42" t="str">
        <f t="shared" si="3"/>
        <v/>
      </c>
      <c r="W18" s="44" t="str">
        <f t="shared" si="4"/>
        <v/>
      </c>
      <c r="X18" s="44"/>
      <c r="Y18" s="45">
        <f t="shared" si="5"/>
        <v>0</v>
      </c>
      <c r="Z18" s="46" t="s">
        <v>449</v>
      </c>
      <c r="AA18" s="46"/>
    </row>
    <row r="19">
      <c r="A19" s="27">
        <v>18.0</v>
      </c>
      <c r="B19" s="21"/>
      <c r="C19" s="21" t="s">
        <v>182</v>
      </c>
      <c r="D19" s="29" t="s">
        <v>57</v>
      </c>
      <c r="E19" s="21" t="s">
        <v>189</v>
      </c>
      <c r="F19" s="21" t="s">
        <v>204</v>
      </c>
      <c r="G19" s="21"/>
      <c r="H19" s="31">
        <f t="shared" si="1"/>
        <v>32214.87603</v>
      </c>
      <c r="I19" s="31"/>
      <c r="J19" s="47">
        <v>38980.0</v>
      </c>
      <c r="K19" s="21"/>
      <c r="L19" s="33">
        <f>IF('Global Precios'!J19*(1-I19)*(1+'Global Precios'!K19)&gt;10000,MROUND('Global Precios'!J19*(1-I19)*(1+'Global Precios'!K19),1000),MROUND('Global Precios'!J19*(1-I19)*(1+'Global Precios'!K19),500))</f>
        <v>39000</v>
      </c>
      <c r="M19" s="27">
        <v>1.0</v>
      </c>
      <c r="N19" s="34" t="s">
        <v>313</v>
      </c>
      <c r="O19" s="21"/>
      <c r="P19" s="35">
        <v>45809.0</v>
      </c>
      <c r="Q19" s="36">
        <f t="shared" si="2"/>
        <v>34</v>
      </c>
      <c r="R19" s="37">
        <v>60.0</v>
      </c>
      <c r="S19" s="39"/>
      <c r="T19" s="41" t="str">
        <f>IFERROR(VLOOKUP(D19,BUSCARV!$A$1:$C$5524,2,0),"")</f>
        <v/>
      </c>
      <c r="U19" s="42"/>
      <c r="V19" s="42" t="str">
        <f t="shared" si="3"/>
        <v/>
      </c>
      <c r="W19" s="44" t="str">
        <f t="shared" si="4"/>
        <v/>
      </c>
      <c r="X19" s="44"/>
      <c r="Y19" s="45">
        <f t="shared" si="5"/>
        <v>0</v>
      </c>
      <c r="Z19" s="46" t="s">
        <v>449</v>
      </c>
      <c r="AA19" s="46"/>
    </row>
    <row r="20">
      <c r="A20" s="27">
        <v>19.0</v>
      </c>
      <c r="B20" s="21"/>
      <c r="C20" s="21" t="s">
        <v>182</v>
      </c>
      <c r="D20" s="21" t="s">
        <v>61</v>
      </c>
      <c r="E20" s="21" t="s">
        <v>189</v>
      </c>
      <c r="F20" s="21" t="s">
        <v>204</v>
      </c>
      <c r="G20" s="21"/>
      <c r="H20" s="31">
        <f t="shared" si="1"/>
        <v>5003.305785</v>
      </c>
      <c r="I20" s="31"/>
      <c r="J20" s="47">
        <v>6054.0</v>
      </c>
      <c r="K20" s="21"/>
      <c r="L20" s="33">
        <f>IF('Global Precios'!J20*(1-I20)*(1+'Global Precios'!K20)&gt;10000,MROUND('Global Precios'!J20*(1-I20)*(1+'Global Precios'!K20),1000),MROUND('Global Precios'!J20*(1-I20)*(1+'Global Precios'!K20),500))</f>
        <v>6000</v>
      </c>
      <c r="M20" s="27">
        <v>1.0</v>
      </c>
      <c r="N20" s="34" t="s">
        <v>313</v>
      </c>
      <c r="O20" s="21"/>
      <c r="P20" s="35">
        <v>45809.0</v>
      </c>
      <c r="Q20" s="36">
        <f t="shared" si="2"/>
        <v>13</v>
      </c>
      <c r="R20" s="37">
        <v>60.0</v>
      </c>
      <c r="S20" s="39"/>
      <c r="T20" s="41" t="str">
        <f>IFERROR(VLOOKUP(D20,BUSCARV!$A$1:$C$5524,2,0),"")</f>
        <v/>
      </c>
      <c r="U20" s="42"/>
      <c r="V20" s="42" t="str">
        <f t="shared" si="3"/>
        <v/>
      </c>
      <c r="W20" s="44" t="str">
        <f t="shared" si="4"/>
        <v/>
      </c>
      <c r="X20" s="44"/>
      <c r="Y20" s="45">
        <f t="shared" si="5"/>
        <v>0</v>
      </c>
      <c r="Z20" s="46" t="s">
        <v>449</v>
      </c>
      <c r="AA20" s="46"/>
    </row>
    <row r="21">
      <c r="A21" s="27">
        <v>20.0</v>
      </c>
      <c r="B21" s="21"/>
      <c r="C21" s="21" t="s">
        <v>182</v>
      </c>
      <c r="D21" s="21" t="s">
        <v>64</v>
      </c>
      <c r="E21" s="21" t="s">
        <v>189</v>
      </c>
      <c r="F21" s="21" t="s">
        <v>204</v>
      </c>
      <c r="G21" s="21"/>
      <c r="H21" s="31">
        <f t="shared" si="1"/>
        <v>12143.80165</v>
      </c>
      <c r="I21" s="31"/>
      <c r="J21" s="47">
        <v>14694.0</v>
      </c>
      <c r="K21" s="21"/>
      <c r="L21" s="33">
        <f>IF('Global Precios'!J21*(1-I21)*(1+'Global Precios'!K21)&gt;10000,MROUND('Global Precios'!J21*(1-I21)*(1+'Global Precios'!K21),1000),MROUND('Global Precios'!J21*(1-I21)*(1+'Global Precios'!K21),500))</f>
        <v>15000</v>
      </c>
      <c r="M21" s="27">
        <v>1.0</v>
      </c>
      <c r="N21" s="34" t="s">
        <v>313</v>
      </c>
      <c r="O21" s="21"/>
      <c r="P21" s="35">
        <v>45809.0</v>
      </c>
      <c r="Q21" s="36">
        <f t="shared" si="2"/>
        <v>16</v>
      </c>
      <c r="R21" s="37">
        <v>60.0</v>
      </c>
      <c r="S21" s="39"/>
      <c r="T21" s="41" t="str">
        <f>IFERROR(VLOOKUP(D21,BUSCARV!$A$1:$C$5524,2,0),"")</f>
        <v/>
      </c>
      <c r="U21" s="42"/>
      <c r="V21" s="42" t="str">
        <f t="shared" si="3"/>
        <v/>
      </c>
      <c r="W21" s="44" t="str">
        <f t="shared" si="4"/>
        <v/>
      </c>
      <c r="X21" s="44"/>
      <c r="Y21" s="45">
        <f t="shared" si="5"/>
        <v>0</v>
      </c>
      <c r="Z21" s="46" t="s">
        <v>449</v>
      </c>
      <c r="AA21" s="46"/>
    </row>
    <row r="22">
      <c r="A22" s="27">
        <v>21.0</v>
      </c>
      <c r="B22" s="27">
        <v>1.239347E7</v>
      </c>
      <c r="C22" s="21" t="s">
        <v>3</v>
      </c>
      <c r="D22" s="29" t="s">
        <v>68</v>
      </c>
      <c r="E22" s="21" t="s">
        <v>1793</v>
      </c>
      <c r="F22" s="21" t="s">
        <v>1795</v>
      </c>
      <c r="G22" s="21" t="s">
        <v>1797</v>
      </c>
      <c r="H22" s="31">
        <f t="shared" si="1"/>
        <v>49917.35537</v>
      </c>
      <c r="I22" s="56">
        <v>0.065</v>
      </c>
      <c r="J22" s="57">
        <v>60400.0</v>
      </c>
      <c r="K22" s="58">
        <v>0.33</v>
      </c>
      <c r="L22" s="33">
        <f>IF('Global Precios'!J22*(1-I22)*(1+'Global Precios'!K22)&gt;10000,MROUND('Global Precios'!J22*(1-I22)*(1+'Global Precios'!K22),1000),MROUND('Global Precios'!J22*(1-I22)*(1+'Global Precios'!K22),500))</f>
        <v>75000</v>
      </c>
      <c r="M22" s="27">
        <v>15.0</v>
      </c>
      <c r="N22" s="34" t="s">
        <v>1823</v>
      </c>
      <c r="O22" s="59">
        <f>+MROUND(('Global Precios'!$J22/('Global Precios'!$M22))*(1+'Global Precios'!$K22+0.1),10)</f>
        <v>5760</v>
      </c>
      <c r="P22" s="35">
        <v>46174.0</v>
      </c>
      <c r="Q22" s="36">
        <f t="shared" si="2"/>
        <v>50</v>
      </c>
      <c r="R22" s="37">
        <v>30.0</v>
      </c>
      <c r="S22" s="21"/>
      <c r="T22" s="41" t="str">
        <f>IFERROR(VLOOKUP(D22,BUSCARV!$A$1:$C$5524,2,0),"")</f>
        <v/>
      </c>
      <c r="U22" s="42"/>
      <c r="V22" s="42" t="str">
        <f t="shared" si="3"/>
        <v/>
      </c>
      <c r="W22" s="44" t="str">
        <f t="shared" si="4"/>
        <v/>
      </c>
      <c r="X22" s="44"/>
      <c r="Y22" s="45">
        <f t="shared" si="5"/>
        <v>0</v>
      </c>
      <c r="Z22" s="46" t="s">
        <v>1075</v>
      </c>
      <c r="AA22" s="46"/>
    </row>
    <row r="23">
      <c r="A23" s="27">
        <v>22.0</v>
      </c>
      <c r="B23" s="27">
        <v>1.2393468E7</v>
      </c>
      <c r="C23" s="21" t="s">
        <v>3</v>
      </c>
      <c r="D23" s="29" t="s">
        <v>78</v>
      </c>
      <c r="E23" s="21" t="s">
        <v>1793</v>
      </c>
      <c r="F23" s="21" t="s">
        <v>1795</v>
      </c>
      <c r="G23" s="21" t="s">
        <v>1797</v>
      </c>
      <c r="H23" s="31">
        <f t="shared" si="1"/>
        <v>17839.66942</v>
      </c>
      <c r="I23" s="56">
        <v>0.065</v>
      </c>
      <c r="J23" s="57">
        <v>21586.0</v>
      </c>
      <c r="K23" s="58">
        <v>0.33</v>
      </c>
      <c r="L23" s="33">
        <f>IF('Global Precios'!J23*(1-I23)*(1+'Global Precios'!K23)&gt;1000,MROUND('Global Precios'!J23*(1-I23)*(1+'Global Precios'!K23),100),MROUND('Global Precios'!J23*(1-I23)*(1+'Global Precios'!K23),10))</f>
        <v>26800</v>
      </c>
      <c r="M23" s="27">
        <v>15.0</v>
      </c>
      <c r="N23" s="34" t="s">
        <v>1823</v>
      </c>
      <c r="O23" s="59">
        <f>+MROUND(('Global Precios'!$J23/('Global Precios'!$M23))*(1+'Global Precios'!$K23+0.1),10)</f>
        <v>2060</v>
      </c>
      <c r="P23" s="35">
        <v>45261.0</v>
      </c>
      <c r="Q23" s="36">
        <f t="shared" si="2"/>
        <v>49</v>
      </c>
      <c r="R23" s="37">
        <v>30.0</v>
      </c>
      <c r="S23" s="21"/>
      <c r="T23" s="41" t="str">
        <f>IFERROR(VLOOKUP(D23,BUSCARV!$A$1:$C$5524,2,0),"")</f>
        <v/>
      </c>
      <c r="U23" s="42"/>
      <c r="V23" s="42" t="str">
        <f t="shared" si="3"/>
        <v/>
      </c>
      <c r="W23" s="44" t="str">
        <f t="shared" si="4"/>
        <v/>
      </c>
      <c r="X23" s="44"/>
      <c r="Y23" s="45">
        <f t="shared" si="5"/>
        <v>0</v>
      </c>
      <c r="Z23" s="46" t="s">
        <v>1075</v>
      </c>
      <c r="AA23" s="46"/>
    </row>
    <row r="24">
      <c r="A24" s="27">
        <v>23.0</v>
      </c>
      <c r="B24" s="27">
        <v>1.2396254E7</v>
      </c>
      <c r="C24" s="21" t="s">
        <v>3</v>
      </c>
      <c r="D24" s="21" t="s">
        <v>82</v>
      </c>
      <c r="E24" s="21" t="s">
        <v>1793</v>
      </c>
      <c r="F24" s="21" t="s">
        <v>1795</v>
      </c>
      <c r="G24" s="21" t="s">
        <v>1905</v>
      </c>
      <c r="H24" s="31">
        <f t="shared" si="1"/>
        <v>43636.36364</v>
      </c>
      <c r="I24" s="56">
        <v>0.065</v>
      </c>
      <c r="J24" s="57">
        <v>52800.0</v>
      </c>
      <c r="K24" s="58">
        <v>0.33</v>
      </c>
      <c r="L24" s="33">
        <f>IF('Global Precios'!J24*(1-I24)*(1+'Global Precios'!K24)&gt;10000,MROUND('Global Precios'!J24*(1-I24)*(1+'Global Precios'!K24),1000),MROUND('Global Precios'!J24*(1-I24)*(1+'Global Precios'!K24),500))</f>
        <v>66000</v>
      </c>
      <c r="M24" s="27">
        <v>7.5</v>
      </c>
      <c r="N24" s="34" t="s">
        <v>1823</v>
      </c>
      <c r="O24" s="59">
        <f>+MROUND(('Global Precios'!$J24/('Global Precios'!$M24))*(1+'Global Precios'!$K24+0.1),10)</f>
        <v>10070</v>
      </c>
      <c r="P24" s="35">
        <v>45839.0</v>
      </c>
      <c r="Q24" s="36">
        <f t="shared" si="2"/>
        <v>31</v>
      </c>
      <c r="R24" s="37">
        <v>30.0</v>
      </c>
      <c r="S24" s="21"/>
      <c r="T24" s="41" t="str">
        <f>IFERROR(VLOOKUP(D24,BUSCARV!$A$1:$C$5524,2,0),"")</f>
        <v/>
      </c>
      <c r="U24" s="42"/>
      <c r="V24" s="42" t="str">
        <f t="shared" si="3"/>
        <v/>
      </c>
      <c r="W24" s="44" t="str">
        <f t="shared" si="4"/>
        <v/>
      </c>
      <c r="X24" s="44"/>
      <c r="Y24" s="45">
        <f t="shared" si="5"/>
        <v>0</v>
      </c>
      <c r="Z24" s="46" t="s">
        <v>449</v>
      </c>
      <c r="AA24" s="46"/>
    </row>
    <row r="25">
      <c r="A25" s="27">
        <v>24.0</v>
      </c>
      <c r="B25" s="27">
        <v>1.2396142E7</v>
      </c>
      <c r="C25" s="21" t="s">
        <v>3</v>
      </c>
      <c r="D25" s="29" t="s">
        <v>85</v>
      </c>
      <c r="E25" s="21" t="s">
        <v>1793</v>
      </c>
      <c r="F25" s="21" t="s">
        <v>1795</v>
      </c>
      <c r="G25" s="21" t="s">
        <v>1905</v>
      </c>
      <c r="H25" s="31">
        <f t="shared" si="1"/>
        <v>39421.4876</v>
      </c>
      <c r="I25" s="56">
        <v>0.065</v>
      </c>
      <c r="J25" s="57">
        <v>47700.0</v>
      </c>
      <c r="K25" s="58">
        <v>0.33</v>
      </c>
      <c r="L25" s="33">
        <f>IF('Global Precios'!J25*(1-I25)*(1+'Global Precios'!K25)&gt;10000,MROUND('Global Precios'!J25*(1-I25)*(1+'Global Precios'!K25),1000),MROUND('Global Precios'!J25*(1-I25)*(1+'Global Precios'!K25),500))</f>
        <v>59000</v>
      </c>
      <c r="M25" s="27">
        <v>7.5</v>
      </c>
      <c r="N25" s="34" t="s">
        <v>1823</v>
      </c>
      <c r="O25" s="59">
        <f>+MROUND(('Global Precios'!$J25/('Global Precios'!$M25))*(1+'Global Precios'!$K25+0.1),10)</f>
        <v>9090</v>
      </c>
      <c r="P25" s="35">
        <v>45839.0</v>
      </c>
      <c r="Q25" s="36">
        <f t="shared" si="2"/>
        <v>34</v>
      </c>
      <c r="R25" s="37">
        <v>30.0</v>
      </c>
      <c r="S25" s="21"/>
      <c r="T25" s="41" t="str">
        <f>IFERROR(VLOOKUP(D25,BUSCARV!$A$1:$C$5524,2,0),"")</f>
        <v/>
      </c>
      <c r="U25" s="42"/>
      <c r="V25" s="42" t="str">
        <f t="shared" si="3"/>
        <v/>
      </c>
      <c r="W25" s="44" t="str">
        <f t="shared" si="4"/>
        <v/>
      </c>
      <c r="X25" s="44"/>
      <c r="Y25" s="45">
        <f t="shared" si="5"/>
        <v>0</v>
      </c>
      <c r="Z25" s="46" t="s">
        <v>449</v>
      </c>
      <c r="AA25" s="46"/>
    </row>
    <row r="26">
      <c r="A26" s="27">
        <v>25.0</v>
      </c>
      <c r="B26" s="27">
        <v>1.2376707E7</v>
      </c>
      <c r="C26" s="21" t="s">
        <v>3</v>
      </c>
      <c r="D26" s="21" t="s">
        <v>89</v>
      </c>
      <c r="E26" s="21" t="s">
        <v>1981</v>
      </c>
      <c r="F26" s="21" t="s">
        <v>1982</v>
      </c>
      <c r="G26" s="21"/>
      <c r="H26" s="48">
        <v>435.0</v>
      </c>
      <c r="I26" s="60">
        <v>0.08</v>
      </c>
      <c r="J26" s="61">
        <v>1209.0</v>
      </c>
      <c r="K26" s="62">
        <v>0.5</v>
      </c>
      <c r="L26" s="33">
        <f>IF('Global Precios'!J26*(1-I26)*(1+'Global Precios'!K26)&gt;1000,MROUND('Global Precios'!J26*(1-I26)*(1+'Global Precios'!K26),100),MROUND('Global Precios'!J26*(1-I26)*(1+'Global Precios'!K26),10))</f>
        <v>1700</v>
      </c>
      <c r="M26" s="27">
        <v>2.0</v>
      </c>
      <c r="N26" s="34" t="s">
        <v>1823</v>
      </c>
      <c r="O26" s="21"/>
      <c r="P26" s="35">
        <v>45323.0</v>
      </c>
      <c r="Q26" s="36">
        <f t="shared" si="2"/>
        <v>33</v>
      </c>
      <c r="R26" s="37">
        <v>30.0</v>
      </c>
      <c r="S26" s="21"/>
      <c r="T26" s="41" t="str">
        <f>IFERROR(VLOOKUP(D26,BUSCARV!$A$1:$C$5524,2,0),"")</f>
        <v/>
      </c>
      <c r="U26" s="63"/>
      <c r="V26" s="42" t="str">
        <f t="shared" si="3"/>
        <v/>
      </c>
      <c r="W26" s="44" t="str">
        <f t="shared" si="4"/>
        <v/>
      </c>
      <c r="X26" s="44"/>
      <c r="Y26" s="45">
        <f t="shared" si="5"/>
        <v>0</v>
      </c>
      <c r="Z26" s="46" t="s">
        <v>1075</v>
      </c>
      <c r="AA26" s="46"/>
    </row>
    <row r="27">
      <c r="A27" s="27">
        <v>26.0</v>
      </c>
      <c r="B27" s="27">
        <v>1.2434296E7</v>
      </c>
      <c r="C27" s="29" t="s">
        <v>3</v>
      </c>
      <c r="D27" s="29" t="s">
        <v>108</v>
      </c>
      <c r="E27" s="21" t="s">
        <v>1793</v>
      </c>
      <c r="F27" s="21" t="s">
        <v>1795</v>
      </c>
      <c r="G27" s="21" t="s">
        <v>1905</v>
      </c>
      <c r="H27" s="31">
        <f t="shared" ref="H27:H110" si="6">IF(J27="","",J27/1.21)</f>
        <v>684.2975207</v>
      </c>
      <c r="I27" s="60">
        <v>0.05</v>
      </c>
      <c r="J27" s="61">
        <v>828.0</v>
      </c>
      <c r="K27" s="62">
        <v>0.4</v>
      </c>
      <c r="L27" s="33">
        <f>IF('Global Precios'!J27*(1-I27)*(1+'Global Precios'!K27)&gt;1000,MROUND('Global Precios'!J27*(1-I27)*(1+'Global Precios'!K27),100),MROUND('Global Precios'!J27*(1-I27)*(1+'Global Precios'!K27),10))</f>
        <v>1100</v>
      </c>
      <c r="M27" s="27">
        <v>0.85</v>
      </c>
      <c r="N27" s="34" t="s">
        <v>1823</v>
      </c>
      <c r="O27" s="64" t="s">
        <v>2057</v>
      </c>
      <c r="P27" s="35">
        <v>45323.0</v>
      </c>
      <c r="Q27" s="36">
        <f t="shared" si="2"/>
        <v>42</v>
      </c>
      <c r="R27" s="37">
        <v>30.0</v>
      </c>
      <c r="S27" s="21"/>
      <c r="T27" s="41" t="str">
        <f>IFERROR(VLOOKUP(D27,BUSCARV!$A$1:$C$5524,2,0),"")</f>
        <v/>
      </c>
      <c r="U27" s="42"/>
      <c r="V27" s="42" t="str">
        <f t="shared" si="3"/>
        <v/>
      </c>
      <c r="W27" s="44" t="str">
        <f t="shared" si="4"/>
        <v/>
      </c>
      <c r="X27" s="44"/>
      <c r="Y27" s="45">
        <f t="shared" si="5"/>
        <v>0</v>
      </c>
      <c r="Z27" s="46" t="s">
        <v>1075</v>
      </c>
      <c r="AA27" s="46"/>
    </row>
    <row r="28">
      <c r="A28" s="27">
        <v>27.0</v>
      </c>
      <c r="B28" s="27" t="s">
        <v>2072</v>
      </c>
      <c r="C28" s="21" t="s">
        <v>3</v>
      </c>
      <c r="D28" s="21" t="s">
        <v>112</v>
      </c>
      <c r="E28" s="29" t="s">
        <v>2075</v>
      </c>
      <c r="F28" s="21" t="s">
        <v>1795</v>
      </c>
      <c r="G28" s="21" t="s">
        <v>1797</v>
      </c>
      <c r="H28" s="31">
        <f t="shared" si="6"/>
        <v>3016.528926</v>
      </c>
      <c r="I28" s="65"/>
      <c r="J28" s="57">
        <v>3650.0</v>
      </c>
      <c r="K28" s="58">
        <v>0.34</v>
      </c>
      <c r="L28" s="33">
        <f>IF('Global Precios'!J28*(1-I28)*(1+'Global Precios'!K28)&gt;1000,MROUND('Global Precios'!J28*(1-I28)*(1+'Global Precios'!K28),100),MROUND('Global Precios'!J28*(1-I28)*(1+'Global Precios'!K28),10))</f>
        <v>4900</v>
      </c>
      <c r="M28" s="27">
        <v>17.0</v>
      </c>
      <c r="N28" s="34" t="s">
        <v>1823</v>
      </c>
      <c r="O28" s="59">
        <f>+MROUND(('Global Precios'!$J28/('Global Precios'!$M28))*(1+'Global Precios'!$K28+0.1),10)</f>
        <v>310</v>
      </c>
      <c r="P28" s="35">
        <v>44986.0</v>
      </c>
      <c r="Q28" s="36">
        <f t="shared" si="2"/>
        <v>39</v>
      </c>
      <c r="R28" s="37">
        <v>0.0</v>
      </c>
      <c r="S28" s="21"/>
      <c r="T28" s="41" t="str">
        <f>IFERROR(VLOOKUP(D28,BUSCARV!$A$1:$C$5524,2,0),"")</f>
        <v/>
      </c>
      <c r="U28" s="42"/>
      <c r="V28" s="42" t="str">
        <f t="shared" si="3"/>
        <v/>
      </c>
      <c r="W28" s="44" t="str">
        <f t="shared" si="4"/>
        <v/>
      </c>
      <c r="X28" s="44"/>
      <c r="Y28" s="45">
        <f t="shared" si="5"/>
        <v>0</v>
      </c>
      <c r="Z28" s="46" t="s">
        <v>1075</v>
      </c>
      <c r="AA28" s="46"/>
    </row>
    <row r="29">
      <c r="A29" s="27">
        <v>28.0</v>
      </c>
      <c r="B29" s="27" t="s">
        <v>2124</v>
      </c>
      <c r="C29" s="21" t="s">
        <v>3</v>
      </c>
      <c r="D29" s="21" t="s">
        <v>117</v>
      </c>
      <c r="E29" s="29" t="s">
        <v>2075</v>
      </c>
      <c r="F29" s="21" t="s">
        <v>1795</v>
      </c>
      <c r="G29" s="21" t="s">
        <v>1797</v>
      </c>
      <c r="H29" s="31">
        <f t="shared" si="6"/>
        <v>826.446281</v>
      </c>
      <c r="I29" s="65"/>
      <c r="J29" s="57">
        <v>1000.0</v>
      </c>
      <c r="K29" s="58">
        <v>0.34</v>
      </c>
      <c r="L29" s="33">
        <f>IF('Global Precios'!J29*(1-I29)*(1+'Global Precios'!K29)&gt;1000,MROUND('Global Precios'!J29*(1-I29)*(1+'Global Precios'!K29),100),MROUND('Global Precios'!J29*(1-I29)*(1+'Global Precios'!K29),10))</f>
        <v>1300</v>
      </c>
      <c r="M29" s="27">
        <v>3.0</v>
      </c>
      <c r="N29" s="34" t="s">
        <v>1823</v>
      </c>
      <c r="O29" s="64" t="s">
        <v>2057</v>
      </c>
      <c r="P29" s="35">
        <v>44986.0</v>
      </c>
      <c r="Q29" s="36">
        <f t="shared" si="2"/>
        <v>28</v>
      </c>
      <c r="R29" s="37">
        <v>0.0</v>
      </c>
      <c r="S29" s="21"/>
      <c r="T29" s="41" t="str">
        <f>IFERROR(VLOOKUP(D29,BUSCARV!$A$1:$C$5524,2,0),"")</f>
        <v/>
      </c>
      <c r="U29" s="42"/>
      <c r="V29" s="42" t="str">
        <f t="shared" si="3"/>
        <v/>
      </c>
      <c r="W29" s="44" t="str">
        <f t="shared" si="4"/>
        <v/>
      </c>
      <c r="X29" s="44"/>
      <c r="Y29" s="45">
        <f t="shared" si="5"/>
        <v>0</v>
      </c>
      <c r="Z29" s="46" t="s">
        <v>1075</v>
      </c>
      <c r="AA29" s="46"/>
    </row>
    <row r="30">
      <c r="A30" s="27">
        <v>29.0</v>
      </c>
      <c r="B30" s="27" t="s">
        <v>2154</v>
      </c>
      <c r="C30" s="21" t="s">
        <v>3</v>
      </c>
      <c r="D30" s="29" t="s">
        <v>121</v>
      </c>
      <c r="E30" s="29" t="s">
        <v>2075</v>
      </c>
      <c r="F30" s="21" t="s">
        <v>1795</v>
      </c>
      <c r="G30" s="21" t="s">
        <v>1797</v>
      </c>
      <c r="H30" s="31">
        <f t="shared" si="6"/>
        <v>2190.082645</v>
      </c>
      <c r="I30" s="65"/>
      <c r="J30" s="57">
        <v>2650.0</v>
      </c>
      <c r="K30" s="58">
        <v>0.34</v>
      </c>
      <c r="L30" s="33">
        <f>IF('Global Precios'!J30*(1-I30)*(1+'Global Precios'!K30)&gt;1000,MROUND('Global Precios'!J30*(1-I30)*(1+'Global Precios'!K30),100),MROUND('Global Precios'!J30*(1-I30)*(1+'Global Precios'!K30),10))</f>
        <v>3600</v>
      </c>
      <c r="M30" s="27">
        <v>10.0</v>
      </c>
      <c r="N30" s="34" t="s">
        <v>1823</v>
      </c>
      <c r="O30" s="59">
        <f>+MROUND(('Global Precios'!$J30/('Global Precios'!$M30))*(1+'Global Precios'!$K30+0.1),10)</f>
        <v>380</v>
      </c>
      <c r="P30" s="35">
        <v>44986.0</v>
      </c>
      <c r="Q30" s="36">
        <f t="shared" si="2"/>
        <v>41</v>
      </c>
      <c r="R30" s="37">
        <v>0.0</v>
      </c>
      <c r="S30" s="21"/>
      <c r="T30" s="41" t="str">
        <f>IFERROR(VLOOKUP(D30,BUSCARV!$A$1:$C$5524,2,0),"")</f>
        <v/>
      </c>
      <c r="U30" s="42"/>
      <c r="V30" s="42" t="str">
        <f t="shared" si="3"/>
        <v/>
      </c>
      <c r="W30" s="44" t="str">
        <f t="shared" si="4"/>
        <v/>
      </c>
      <c r="X30" s="44"/>
      <c r="Y30" s="45">
        <f t="shared" si="5"/>
        <v>0</v>
      </c>
      <c r="Z30" s="46" t="s">
        <v>1075</v>
      </c>
      <c r="AA30" s="46"/>
    </row>
    <row r="31">
      <c r="A31" s="27">
        <v>30.0</v>
      </c>
      <c r="B31" s="27" t="s">
        <v>2190</v>
      </c>
      <c r="C31" s="21" t="s">
        <v>3</v>
      </c>
      <c r="D31" s="21" t="s">
        <v>124</v>
      </c>
      <c r="E31" s="29" t="s">
        <v>2075</v>
      </c>
      <c r="F31" s="29" t="s">
        <v>1795</v>
      </c>
      <c r="G31" s="21" t="s">
        <v>1797</v>
      </c>
      <c r="H31" s="31">
        <f t="shared" si="6"/>
        <v>867.768595</v>
      </c>
      <c r="I31" s="65"/>
      <c r="J31" s="57">
        <v>1050.0</v>
      </c>
      <c r="K31" s="58">
        <v>0.34</v>
      </c>
      <c r="L31" s="33">
        <f>IF('Global Precios'!J31*(1-I31)*(1+'Global Precios'!K31)&gt;1000,MROUND('Global Precios'!J31*(1-I31)*(1+'Global Precios'!K31),100),MROUND('Global Precios'!J31*(1-I31)*(1+'Global Precios'!K31),10))</f>
        <v>1400</v>
      </c>
      <c r="M31" s="27">
        <v>3.0</v>
      </c>
      <c r="N31" s="34" t="s">
        <v>1823</v>
      </c>
      <c r="O31" s="64" t="s">
        <v>2057</v>
      </c>
      <c r="P31" s="35">
        <v>44986.0</v>
      </c>
      <c r="Q31" s="36">
        <f t="shared" si="2"/>
        <v>31</v>
      </c>
      <c r="R31" s="37">
        <v>0.0</v>
      </c>
      <c r="S31" s="21"/>
      <c r="T31" s="41" t="str">
        <f>IFERROR(VLOOKUP(D31,BUSCARV!$A$1:$C$5524,2,0),"")</f>
        <v/>
      </c>
      <c r="U31" s="42"/>
      <c r="V31" s="42" t="str">
        <f t="shared" si="3"/>
        <v/>
      </c>
      <c r="W31" s="44" t="str">
        <f t="shared" si="4"/>
        <v/>
      </c>
      <c r="X31" s="44"/>
      <c r="Y31" s="45">
        <f t="shared" si="5"/>
        <v>0</v>
      </c>
      <c r="Z31" s="46" t="s">
        <v>1075</v>
      </c>
      <c r="AA31" s="46"/>
    </row>
    <row r="32">
      <c r="A32" s="27">
        <v>31.0</v>
      </c>
      <c r="B32" s="27" t="s">
        <v>2219</v>
      </c>
      <c r="C32" s="21" t="s">
        <v>3</v>
      </c>
      <c r="D32" s="29" t="s">
        <v>128</v>
      </c>
      <c r="E32" s="29" t="s">
        <v>2075</v>
      </c>
      <c r="F32" s="21" t="s">
        <v>1795</v>
      </c>
      <c r="G32" s="21" t="s">
        <v>1905</v>
      </c>
      <c r="H32" s="31">
        <f t="shared" si="6"/>
        <v>2438.016529</v>
      </c>
      <c r="I32" s="65"/>
      <c r="J32" s="57">
        <v>2950.0</v>
      </c>
      <c r="K32" s="58">
        <v>0.34</v>
      </c>
      <c r="L32" s="33">
        <f>IF('Global Precios'!J32*(1-I32)*(1+'Global Precios'!K32)&gt;1000,MROUND('Global Precios'!J32*(1-I32)*(1+'Global Precios'!K32),100),MROUND('Global Precios'!J32*(1-I32)*(1+'Global Precios'!K32),10))</f>
        <v>4000</v>
      </c>
      <c r="M32" s="27">
        <v>7.5</v>
      </c>
      <c r="N32" s="34" t="s">
        <v>1823</v>
      </c>
      <c r="O32" s="59">
        <f>+MROUND(('Global Precios'!$J32/('Global Precios'!$M32))*(1+'Global Precios'!$K32+0.1),10)</f>
        <v>570</v>
      </c>
      <c r="P32" s="35">
        <v>44986.0</v>
      </c>
      <c r="Q32" s="36">
        <f t="shared" si="2"/>
        <v>33</v>
      </c>
      <c r="R32" s="37">
        <v>0.0</v>
      </c>
      <c r="S32" s="21"/>
      <c r="T32" s="41" t="str">
        <f>IFERROR(VLOOKUP(D32,BUSCARV!$A$1:$C$5524,2,0),"")</f>
        <v/>
      </c>
      <c r="U32" s="42"/>
      <c r="V32" s="42" t="str">
        <f t="shared" si="3"/>
        <v/>
      </c>
      <c r="W32" s="44" t="str">
        <f t="shared" si="4"/>
        <v/>
      </c>
      <c r="X32" s="44"/>
      <c r="Y32" s="45">
        <f t="shared" si="5"/>
        <v>0</v>
      </c>
      <c r="Z32" s="46" t="s">
        <v>1075</v>
      </c>
      <c r="AA32" s="46"/>
    </row>
    <row r="33">
      <c r="A33" s="27">
        <v>32.0</v>
      </c>
      <c r="B33" s="27" t="s">
        <v>2259</v>
      </c>
      <c r="C33" s="21" t="s">
        <v>3</v>
      </c>
      <c r="D33" s="29" t="s">
        <v>132</v>
      </c>
      <c r="E33" s="29" t="s">
        <v>2075</v>
      </c>
      <c r="F33" s="21" t="s">
        <v>1795</v>
      </c>
      <c r="G33" s="21" t="s">
        <v>1905</v>
      </c>
      <c r="H33" s="31">
        <f t="shared" si="6"/>
        <v>2619.834711</v>
      </c>
      <c r="I33" s="65"/>
      <c r="J33" s="57">
        <v>3170.0</v>
      </c>
      <c r="K33" s="58">
        <v>0.34</v>
      </c>
      <c r="L33" s="33">
        <f>IF('Global Precios'!J33*(1-I33)*(1+'Global Precios'!K33)&gt;1000,MROUND('Global Precios'!J33*(1-I33)*(1+'Global Precios'!K33),100),MROUND('Global Precios'!J33*(1-I33)*(1+'Global Precios'!K33),10))</f>
        <v>4200</v>
      </c>
      <c r="M33" s="27">
        <v>7.5</v>
      </c>
      <c r="N33" s="34" t="s">
        <v>1823</v>
      </c>
      <c r="O33" s="59">
        <f>+MROUND(('Global Precios'!$J33/('Global Precios'!$M33))*(1+'Global Precios'!$K33+0.1),10)</f>
        <v>610</v>
      </c>
      <c r="P33" s="35">
        <v>44986.0</v>
      </c>
      <c r="Q33" s="36">
        <f t="shared" si="2"/>
        <v>35</v>
      </c>
      <c r="R33" s="37">
        <v>0.0</v>
      </c>
      <c r="S33" s="21"/>
      <c r="T33" s="41" t="str">
        <f>IFERROR(VLOOKUP(D33,BUSCARV!$A$1:$C$5524,2,0),"")</f>
        <v/>
      </c>
      <c r="U33" s="42"/>
      <c r="V33" s="42" t="str">
        <f t="shared" si="3"/>
        <v/>
      </c>
      <c r="W33" s="44" t="str">
        <f t="shared" si="4"/>
        <v/>
      </c>
      <c r="X33" s="44"/>
      <c r="Y33" s="45">
        <f t="shared" si="5"/>
        <v>0</v>
      </c>
      <c r="Z33" s="46" t="s">
        <v>1075</v>
      </c>
      <c r="AA33" s="46"/>
    </row>
    <row r="34">
      <c r="A34" s="27">
        <v>33.0</v>
      </c>
      <c r="B34" s="21"/>
      <c r="C34" s="21" t="s">
        <v>3</v>
      </c>
      <c r="D34" s="21" t="s">
        <v>136</v>
      </c>
      <c r="E34" s="21" t="s">
        <v>2292</v>
      </c>
      <c r="F34" s="21" t="s">
        <v>1795</v>
      </c>
      <c r="G34" s="21" t="s">
        <v>1797</v>
      </c>
      <c r="H34" s="31">
        <f t="shared" si="6"/>
        <v>7423.966942</v>
      </c>
      <c r="I34" s="66"/>
      <c r="J34" s="57">
        <v>8983.0</v>
      </c>
      <c r="K34" s="62">
        <v>0.33</v>
      </c>
      <c r="L34" s="33">
        <f>IF('Global Precios'!J34*(1-I34)*(1+'Global Precios'!K34)&gt;1000,MROUND('Global Precios'!J34*(1-I34)*(1+'Global Precios'!K34),100),MROUND('Global Precios'!J34*(1-I34)*(1+'Global Precios'!K34),10))</f>
        <v>11900</v>
      </c>
      <c r="M34" s="27">
        <v>15.0</v>
      </c>
      <c r="N34" s="34" t="s">
        <v>1823</v>
      </c>
      <c r="O34" s="64" t="s">
        <v>2057</v>
      </c>
      <c r="P34" s="35">
        <v>45139.0</v>
      </c>
      <c r="Q34" s="36">
        <f t="shared" si="2"/>
        <v>28</v>
      </c>
      <c r="R34" s="37">
        <v>30.0</v>
      </c>
      <c r="S34" s="21"/>
      <c r="T34" s="41" t="str">
        <f>IFERROR(VLOOKUP(D34,BUSCARV!$A$1:$C$5524,2,0),"")</f>
        <v/>
      </c>
      <c r="U34" s="42"/>
      <c r="V34" s="42" t="str">
        <f t="shared" si="3"/>
        <v/>
      </c>
      <c r="W34" s="44" t="str">
        <f t="shared" si="4"/>
        <v/>
      </c>
      <c r="X34" s="44"/>
      <c r="Y34" s="45">
        <f t="shared" si="5"/>
        <v>0</v>
      </c>
      <c r="Z34" s="46" t="s">
        <v>1075</v>
      </c>
      <c r="AA34" s="46"/>
    </row>
    <row r="35">
      <c r="A35" s="27">
        <v>34.0</v>
      </c>
      <c r="B35" s="21"/>
      <c r="C35" s="21" t="s">
        <v>3</v>
      </c>
      <c r="D35" s="21" t="s">
        <v>139</v>
      </c>
      <c r="E35" s="21" t="s">
        <v>2292</v>
      </c>
      <c r="F35" s="21" t="s">
        <v>1795</v>
      </c>
      <c r="G35" s="21" t="s">
        <v>1797</v>
      </c>
      <c r="H35" s="31">
        <f t="shared" si="6"/>
        <v>8347.107438</v>
      </c>
      <c r="I35" s="65"/>
      <c r="J35" s="57">
        <v>10100.0</v>
      </c>
      <c r="K35" s="62">
        <v>0.33</v>
      </c>
      <c r="L35" s="33">
        <f>IF('Global Precios'!J35*(1-I35)*(1+'Global Precios'!K35)&gt;1000,MROUND('Global Precios'!J35*(1-I35)*(1+'Global Precios'!K35),100),MROUND('Global Precios'!J35*(1-I35)*(1+'Global Precios'!K35),10))</f>
        <v>13400</v>
      </c>
      <c r="M35" s="27">
        <v>20.0</v>
      </c>
      <c r="N35" s="34" t="s">
        <v>1823</v>
      </c>
      <c r="O35" s="59">
        <f>+MROUND(('Global Precios'!$J35/('Global Precios'!$M35))*(1+'Global Precios'!$K35+0.1),10)</f>
        <v>720</v>
      </c>
      <c r="P35" s="35">
        <v>45108.0</v>
      </c>
      <c r="Q35" s="36">
        <f t="shared" si="2"/>
        <v>28</v>
      </c>
      <c r="R35" s="37">
        <v>30.0</v>
      </c>
      <c r="S35" s="21"/>
      <c r="T35" s="41" t="str">
        <f>IFERROR(VLOOKUP(D35,BUSCARV!$A$1:$C$5524,2,0),"")</f>
        <v/>
      </c>
      <c r="U35" s="42"/>
      <c r="V35" s="42" t="str">
        <f t="shared" si="3"/>
        <v/>
      </c>
      <c r="W35" s="44" t="str">
        <f t="shared" si="4"/>
        <v/>
      </c>
      <c r="X35" s="44"/>
      <c r="Y35" s="45">
        <f t="shared" si="5"/>
        <v>0</v>
      </c>
      <c r="Z35" s="46" t="s">
        <v>1075</v>
      </c>
      <c r="AA35" s="46"/>
    </row>
    <row r="36">
      <c r="A36" s="27">
        <v>35.0</v>
      </c>
      <c r="B36" s="21"/>
      <c r="C36" s="21" t="s">
        <v>3</v>
      </c>
      <c r="D36" s="21" t="s">
        <v>142</v>
      </c>
      <c r="E36" s="21" t="s">
        <v>2292</v>
      </c>
      <c r="F36" s="21" t="s">
        <v>1795</v>
      </c>
      <c r="G36" s="21" t="s">
        <v>1797</v>
      </c>
      <c r="H36" s="31">
        <f t="shared" si="6"/>
        <v>7589.256198</v>
      </c>
      <c r="I36" s="65"/>
      <c r="J36" s="57">
        <v>9183.0</v>
      </c>
      <c r="K36" s="62">
        <v>0.33</v>
      </c>
      <c r="L36" s="33">
        <f>IF('Global Precios'!J36*(1-I36)*(1+'Global Precios'!K36)&gt;1000,MROUND('Global Precios'!J36*(1-I36)*(1+'Global Precios'!K36),100),MROUND('Global Precios'!J36*(1-I36)*(1+'Global Precios'!K36),10))</f>
        <v>12200</v>
      </c>
      <c r="M36" s="27">
        <v>15.0</v>
      </c>
      <c r="N36" s="34" t="s">
        <v>1823</v>
      </c>
      <c r="O36" s="64" t="s">
        <v>2057</v>
      </c>
      <c r="P36" s="35">
        <v>45108.0</v>
      </c>
      <c r="Q36" s="36">
        <f t="shared" si="2"/>
        <v>31</v>
      </c>
      <c r="R36" s="37">
        <v>30.0</v>
      </c>
      <c r="S36" s="21"/>
      <c r="T36" s="41" t="str">
        <f>IFERROR(VLOOKUP(D36,BUSCARV!$A$1:$C$5524,2,0),"")</f>
        <v/>
      </c>
      <c r="U36" s="42"/>
      <c r="V36" s="42" t="str">
        <f t="shared" si="3"/>
        <v/>
      </c>
      <c r="W36" s="44" t="str">
        <f t="shared" si="4"/>
        <v/>
      </c>
      <c r="X36" s="44"/>
      <c r="Y36" s="45">
        <f t="shared" si="5"/>
        <v>0</v>
      </c>
      <c r="Z36" s="46" t="s">
        <v>1075</v>
      </c>
      <c r="AA36" s="46"/>
    </row>
    <row r="37">
      <c r="A37" s="27">
        <v>36.0</v>
      </c>
      <c r="B37" s="21"/>
      <c r="C37" s="21" t="s">
        <v>3</v>
      </c>
      <c r="D37" s="21" t="s">
        <v>145</v>
      </c>
      <c r="E37" s="21" t="s">
        <v>2292</v>
      </c>
      <c r="F37" s="21" t="s">
        <v>1795</v>
      </c>
      <c r="G37" s="21" t="s">
        <v>1797</v>
      </c>
      <c r="H37" s="31">
        <f t="shared" si="6"/>
        <v>9628.099174</v>
      </c>
      <c r="I37" s="65"/>
      <c r="J37" s="57">
        <v>11650.0</v>
      </c>
      <c r="K37" s="62">
        <v>0.33</v>
      </c>
      <c r="L37" s="33">
        <f>IF('Global Precios'!J37*(1-I37)*(1+'Global Precios'!K37)&gt;1000,MROUND('Global Precios'!J37*(1-I37)*(1+'Global Precios'!K37),100),MROUND('Global Precios'!J37*(1-I37)*(1+'Global Precios'!K37),10))</f>
        <v>15500</v>
      </c>
      <c r="M37" s="27">
        <v>20.0</v>
      </c>
      <c r="N37" s="34" t="s">
        <v>1823</v>
      </c>
      <c r="O37" s="59">
        <f>+MROUND(('Global Precios'!$J37/('Global Precios'!$M37))*(1+'Global Precios'!$K37+0.1),10)</f>
        <v>830</v>
      </c>
      <c r="P37" s="35">
        <v>45108.0</v>
      </c>
      <c r="Q37" s="36">
        <f t="shared" si="2"/>
        <v>31</v>
      </c>
      <c r="R37" s="37">
        <v>30.0</v>
      </c>
      <c r="S37" s="21"/>
      <c r="T37" s="41" t="str">
        <f>IFERROR(VLOOKUP(D37,BUSCARV!$A$1:$C$5524,2,0),"")</f>
        <v/>
      </c>
      <c r="U37" s="42"/>
      <c r="V37" s="42" t="str">
        <f t="shared" si="3"/>
        <v/>
      </c>
      <c r="W37" s="44" t="str">
        <f t="shared" si="4"/>
        <v/>
      </c>
      <c r="X37" s="44"/>
      <c r="Y37" s="45">
        <f t="shared" si="5"/>
        <v>0</v>
      </c>
      <c r="Z37" s="46" t="s">
        <v>1075</v>
      </c>
      <c r="AA37" s="46"/>
    </row>
    <row r="38">
      <c r="A38" s="27">
        <v>37.0</v>
      </c>
      <c r="B38" s="21"/>
      <c r="C38" s="21" t="s">
        <v>3</v>
      </c>
      <c r="D38" s="21" t="s">
        <v>149</v>
      </c>
      <c r="E38" s="21" t="s">
        <v>2292</v>
      </c>
      <c r="F38" s="21" t="s">
        <v>1795</v>
      </c>
      <c r="G38" s="21" t="s">
        <v>1905</v>
      </c>
      <c r="H38" s="31">
        <f t="shared" si="6"/>
        <v>19504.13223</v>
      </c>
      <c r="I38" s="65"/>
      <c r="J38" s="57">
        <v>23600.0</v>
      </c>
      <c r="K38" s="62">
        <v>0.33</v>
      </c>
      <c r="L38" s="33">
        <f>IF('Global Precios'!J38*(1-I38)*(1+'Global Precios'!K38)&gt;1000,MROUND('Global Precios'!J38*(1-I38)*(1+'Global Precios'!K38),100),MROUND('Global Precios'!J38*(1-I38)*(1+'Global Precios'!K38),10))</f>
        <v>31400</v>
      </c>
      <c r="M38" s="27">
        <v>10.0</v>
      </c>
      <c r="N38" s="34" t="s">
        <v>1823</v>
      </c>
      <c r="O38" s="59">
        <f>+MROUND(('Global Precios'!$J38/('Global Precios'!$M38))*(1+'Global Precios'!$K38+0.1),10)</f>
        <v>3370</v>
      </c>
      <c r="P38" s="35">
        <v>45323.0</v>
      </c>
      <c r="Q38" s="36">
        <f t="shared" si="2"/>
        <v>33</v>
      </c>
      <c r="R38" s="37">
        <v>30.0</v>
      </c>
      <c r="S38" s="21"/>
      <c r="T38" s="41" t="str">
        <f>IFERROR(VLOOKUP(D38,BUSCARV!$A$1:$C$5524,2,0),"")</f>
        <v/>
      </c>
      <c r="U38" s="42"/>
      <c r="V38" s="42" t="str">
        <f t="shared" si="3"/>
        <v/>
      </c>
      <c r="W38" s="44" t="str">
        <f t="shared" si="4"/>
        <v/>
      </c>
      <c r="X38" s="44"/>
      <c r="Y38" s="45">
        <f t="shared" si="5"/>
        <v>0</v>
      </c>
      <c r="Z38" s="46" t="s">
        <v>1075</v>
      </c>
      <c r="AA38" s="46"/>
    </row>
    <row r="39">
      <c r="A39" s="27">
        <v>38.0</v>
      </c>
      <c r="B39" s="21"/>
      <c r="C39" s="21" t="s">
        <v>3</v>
      </c>
      <c r="D39" s="21" t="s">
        <v>152</v>
      </c>
      <c r="E39" s="21" t="s">
        <v>2292</v>
      </c>
      <c r="F39" s="21" t="s">
        <v>1795</v>
      </c>
      <c r="G39" s="21" t="s">
        <v>1905</v>
      </c>
      <c r="H39" s="31">
        <f t="shared" si="6"/>
        <v>8529.752066</v>
      </c>
      <c r="I39" s="65"/>
      <c r="J39" s="57">
        <v>10321.0</v>
      </c>
      <c r="K39" s="62">
        <v>0.33</v>
      </c>
      <c r="L39" s="33">
        <f>IF('Global Precios'!J39*(1-I39)*(1+'Global Precios'!K39)&gt;1000,MROUND('Global Precios'!J39*(1-I39)*(1+'Global Precios'!K39),100),MROUND('Global Precios'!J39*(1-I39)*(1+'Global Precios'!K39),10))</f>
        <v>13700</v>
      </c>
      <c r="M39" s="27">
        <v>10.0</v>
      </c>
      <c r="N39" s="34" t="s">
        <v>1823</v>
      </c>
      <c r="O39" s="59">
        <f>+MROUND(('Global Precios'!$J39/('Global Precios'!$M39))*(1+'Global Precios'!$K39+0.1),10)</f>
        <v>1480</v>
      </c>
      <c r="P39" s="35">
        <v>45108.0</v>
      </c>
      <c r="Q39" s="36">
        <f t="shared" si="2"/>
        <v>33</v>
      </c>
      <c r="R39" s="37">
        <v>30.0</v>
      </c>
      <c r="S39" s="21"/>
      <c r="T39" s="41" t="str">
        <f>IFERROR(VLOOKUP(D39,BUSCARV!$A$1:$C$5524,2,0),"")</f>
        <v/>
      </c>
      <c r="U39" s="42"/>
      <c r="V39" s="42" t="str">
        <f t="shared" si="3"/>
        <v/>
      </c>
      <c r="W39" s="44" t="str">
        <f t="shared" si="4"/>
        <v/>
      </c>
      <c r="X39" s="44"/>
      <c r="Y39" s="45">
        <f t="shared" si="5"/>
        <v>0</v>
      </c>
      <c r="Z39" s="46" t="s">
        <v>1075</v>
      </c>
      <c r="AA39" s="46"/>
    </row>
    <row r="40">
      <c r="A40" s="27">
        <v>39.0</v>
      </c>
      <c r="B40" s="21"/>
      <c r="C40" s="21" t="s">
        <v>3</v>
      </c>
      <c r="D40" s="21" t="s">
        <v>67</v>
      </c>
      <c r="E40" s="21" t="s">
        <v>2477</v>
      </c>
      <c r="F40" s="21" t="s">
        <v>2308</v>
      </c>
      <c r="G40" s="21" t="s">
        <v>2325</v>
      </c>
      <c r="H40" s="31">
        <f t="shared" si="6"/>
        <v>2644.628099</v>
      </c>
      <c r="I40" s="73"/>
      <c r="J40" s="61">
        <v>3200.0</v>
      </c>
      <c r="K40" s="62">
        <v>0.8</v>
      </c>
      <c r="L40" s="33">
        <f>IF('Global Precios'!J40*(1-I40)*(1+'Global Precios'!K40)&gt;10000,MROUND('Global Precios'!J40*(1-I40)*(1+'Global Precios'!K40),1000),MROUND('Global Precios'!J40*(1-I40)*(1+'Global Precios'!K40),500))</f>
        <v>6000</v>
      </c>
      <c r="M40" s="27">
        <v>250.0</v>
      </c>
      <c r="N40" s="34" t="s">
        <v>2496</v>
      </c>
      <c r="O40" s="21"/>
      <c r="P40" s="35">
        <v>46082.0</v>
      </c>
      <c r="Q40" s="36">
        <f t="shared" si="2"/>
        <v>20</v>
      </c>
      <c r="R40" s="37">
        <v>30.0</v>
      </c>
      <c r="S40" s="21"/>
      <c r="T40" s="41">
        <f>IFERROR(VLOOKUP(D40,BUSCARV!$A$1:$C$5524,2,0),"")</f>
        <v>2723</v>
      </c>
      <c r="U40" s="42"/>
      <c r="V40" s="42">
        <f t="shared" si="3"/>
        <v>2723</v>
      </c>
      <c r="W40" s="44">
        <f t="shared" si="4"/>
        <v>-0.1490625</v>
      </c>
      <c r="X40" s="44"/>
      <c r="Y40" s="45">
        <f t="shared" si="5"/>
        <v>0</v>
      </c>
      <c r="Z40" s="46" t="s">
        <v>449</v>
      </c>
      <c r="AA40" s="46"/>
    </row>
    <row r="41">
      <c r="A41" s="27">
        <v>40.0</v>
      </c>
      <c r="B41" s="21"/>
      <c r="C41" s="21" t="s">
        <v>3</v>
      </c>
      <c r="D41" s="21" t="s">
        <v>158</v>
      </c>
      <c r="E41" s="21" t="s">
        <v>2508</v>
      </c>
      <c r="F41" s="21" t="s">
        <v>2308</v>
      </c>
      <c r="G41" s="21" t="s">
        <v>2325</v>
      </c>
      <c r="H41" s="31">
        <f t="shared" si="6"/>
        <v>4921.487603</v>
      </c>
      <c r="I41" s="73"/>
      <c r="J41" s="61">
        <v>5955.0</v>
      </c>
      <c r="K41" s="62">
        <v>0.8</v>
      </c>
      <c r="L41" s="33">
        <f>IF('Global Precios'!J41*(1-I41)*(1+'Global Precios'!K41)&gt;10000,MROUND('Global Precios'!J41*(1-I41)*(1+'Global Precios'!K41),1000),MROUND('Global Precios'!J41*(1-I41)*(1+'Global Precios'!K41),500))</f>
        <v>11000</v>
      </c>
      <c r="M41" s="27">
        <v>100.0</v>
      </c>
      <c r="N41" s="34" t="s">
        <v>2496</v>
      </c>
      <c r="O41" s="21"/>
      <c r="P41" s="35">
        <v>45839.0</v>
      </c>
      <c r="Q41" s="36">
        <f t="shared" si="2"/>
        <v>29</v>
      </c>
      <c r="R41" s="37">
        <v>30.0</v>
      </c>
      <c r="S41" s="21"/>
      <c r="T41" s="41">
        <f>IFERROR(VLOOKUP(D41,BUSCARV!$A$1:$C$5524,2,0),"")</f>
        <v>5955</v>
      </c>
      <c r="U41" s="42"/>
      <c r="V41" s="42">
        <f t="shared" si="3"/>
        <v>5955</v>
      </c>
      <c r="W41" s="44">
        <f t="shared" si="4"/>
        <v>0</v>
      </c>
      <c r="X41" s="44"/>
      <c r="Y41" s="45">
        <f t="shared" si="5"/>
        <v>0</v>
      </c>
      <c r="Z41" s="46" t="s">
        <v>449</v>
      </c>
      <c r="AA41" s="46"/>
    </row>
    <row r="42">
      <c r="A42" s="27">
        <v>41.0</v>
      </c>
      <c r="B42" s="21"/>
      <c r="C42" s="21" t="s">
        <v>3</v>
      </c>
      <c r="D42" s="21" t="s">
        <v>161</v>
      </c>
      <c r="E42" s="21" t="s">
        <v>2533</v>
      </c>
      <c r="F42" s="21" t="s">
        <v>2308</v>
      </c>
      <c r="G42" s="21" t="s">
        <v>2329</v>
      </c>
      <c r="H42" s="31">
        <f t="shared" si="6"/>
        <v>4880.165289</v>
      </c>
      <c r="I42" s="73"/>
      <c r="J42" s="61">
        <v>5905.0</v>
      </c>
      <c r="K42" s="62">
        <v>1.0</v>
      </c>
      <c r="L42" s="33">
        <f>IF('Global Precios'!J42*(1-I42)*(1+'Global Precios'!K42)&gt;10000,MROUND('Global Precios'!J42*(1-I42)*(1+'Global Precios'!K42),1000),MROUND('Global Precios'!J42*(1-I42)*(1+'Global Precios'!K42),500))</f>
        <v>12000</v>
      </c>
      <c r="M42" s="21"/>
      <c r="N42" s="34"/>
      <c r="O42" s="21"/>
      <c r="P42" s="35">
        <v>45839.0</v>
      </c>
      <c r="Q42" s="36">
        <f t="shared" si="2"/>
        <v>16</v>
      </c>
      <c r="R42" s="37">
        <v>30.0</v>
      </c>
      <c r="S42" s="21"/>
      <c r="T42" s="41">
        <f>IFERROR(VLOOKUP(D42,BUSCARV!$A$1:$C$5524,2,0),"")</f>
        <v>5905</v>
      </c>
      <c r="U42" s="42"/>
      <c r="V42" s="42">
        <f t="shared" si="3"/>
        <v>5905</v>
      </c>
      <c r="W42" s="44">
        <f t="shared" si="4"/>
        <v>0</v>
      </c>
      <c r="X42" s="44"/>
      <c r="Y42" s="45">
        <f t="shared" si="5"/>
        <v>0</v>
      </c>
      <c r="Z42" s="46" t="s">
        <v>449</v>
      </c>
      <c r="AA42" s="46"/>
    </row>
    <row r="43">
      <c r="A43" s="27">
        <v>42.0</v>
      </c>
      <c r="B43" s="21"/>
      <c r="C43" s="21" t="s">
        <v>3</v>
      </c>
      <c r="D43" s="21" t="s">
        <v>165</v>
      </c>
      <c r="E43" s="21" t="s">
        <v>2533</v>
      </c>
      <c r="F43" s="21" t="s">
        <v>2308</v>
      </c>
      <c r="G43" s="19" t="s">
        <v>2325</v>
      </c>
      <c r="H43" s="31">
        <f t="shared" si="6"/>
        <v>6772.727273</v>
      </c>
      <c r="I43" s="73"/>
      <c r="J43" s="61">
        <v>8195.0</v>
      </c>
      <c r="K43" s="62">
        <v>0.8</v>
      </c>
      <c r="L43" s="33">
        <f>IF('Global Precios'!J43*(1-I43)*(1+'Global Precios'!K43)&gt;10000,MROUND('Global Precios'!J43*(1-I43)*(1+'Global Precios'!K43),1000),MROUND('Global Precios'!J43*(1-I43)*(1+'Global Precios'!K43),500))</f>
        <v>15000</v>
      </c>
      <c r="M43" s="27">
        <v>40.0</v>
      </c>
      <c r="N43" s="34" t="s">
        <v>2580</v>
      </c>
      <c r="O43" s="21"/>
      <c r="P43" s="35">
        <v>45839.0</v>
      </c>
      <c r="Q43" s="36">
        <f t="shared" si="2"/>
        <v>15</v>
      </c>
      <c r="R43" s="37">
        <v>30.0</v>
      </c>
      <c r="S43" s="21"/>
      <c r="T43" s="41">
        <f>IFERROR(VLOOKUP(D43,BUSCARV!$A$1:$C$5524,2,0),"")</f>
        <v>8195</v>
      </c>
      <c r="U43" s="42"/>
      <c r="V43" s="42">
        <f t="shared" si="3"/>
        <v>8195</v>
      </c>
      <c r="W43" s="44">
        <f t="shared" si="4"/>
        <v>0</v>
      </c>
      <c r="X43" s="44"/>
      <c r="Y43" s="45">
        <f t="shared" si="5"/>
        <v>0</v>
      </c>
      <c r="Z43" s="46" t="s">
        <v>449</v>
      </c>
      <c r="AA43" s="46"/>
    </row>
    <row r="44">
      <c r="A44" s="27">
        <v>43.0</v>
      </c>
      <c r="B44" s="21"/>
      <c r="C44" s="21" t="s">
        <v>3</v>
      </c>
      <c r="D44" s="21" t="s">
        <v>168</v>
      </c>
      <c r="E44" s="21" t="s">
        <v>2591</v>
      </c>
      <c r="F44" s="21" t="s">
        <v>2308</v>
      </c>
      <c r="G44" s="21" t="s">
        <v>2325</v>
      </c>
      <c r="H44" s="31">
        <f t="shared" si="6"/>
        <v>4348.760331</v>
      </c>
      <c r="I44" s="73"/>
      <c r="J44" s="61">
        <v>5262.0</v>
      </c>
      <c r="K44" s="62">
        <v>0.8</v>
      </c>
      <c r="L44" s="33">
        <f>IF('Global Precios'!J44*(1-I44)*(1+'Global Precios'!K44)&gt;1000,MROUND('Global Precios'!J44*(1-I44)*(1+'Global Precios'!K44),100),MROUND('Global Precios'!J44*(1-I44)*(1+'Global Precios'!K44),10))</f>
        <v>9500</v>
      </c>
      <c r="M44" s="21"/>
      <c r="N44" s="34"/>
      <c r="O44" s="21"/>
      <c r="P44" s="35">
        <v>45383.0</v>
      </c>
      <c r="Q44" s="36">
        <f t="shared" si="2"/>
        <v>14</v>
      </c>
      <c r="R44" s="37">
        <v>30.0</v>
      </c>
      <c r="S44" s="21"/>
      <c r="T44" s="41">
        <f>IFERROR(VLOOKUP(D44,BUSCARV!$A$1:$C$5524,2,0),"")</f>
        <v>7705</v>
      </c>
      <c r="U44" s="42"/>
      <c r="V44" s="42">
        <f t="shared" si="3"/>
        <v>7705</v>
      </c>
      <c r="W44" s="44">
        <f t="shared" si="4"/>
        <v>0.4642721399</v>
      </c>
      <c r="X44" s="44"/>
      <c r="Y44" s="45">
        <f t="shared" si="5"/>
        <v>0</v>
      </c>
      <c r="Z44" s="46" t="s">
        <v>1075</v>
      </c>
      <c r="AA44" s="46"/>
    </row>
    <row r="45">
      <c r="A45" s="27">
        <v>44.0</v>
      </c>
      <c r="B45" s="21"/>
      <c r="C45" s="21" t="s">
        <v>3</v>
      </c>
      <c r="D45" s="21" t="s">
        <v>171</v>
      </c>
      <c r="E45" s="21" t="s">
        <v>2625</v>
      </c>
      <c r="F45" s="21" t="s">
        <v>2308</v>
      </c>
      <c r="G45" s="21" t="s">
        <v>2333</v>
      </c>
      <c r="H45" s="31">
        <f t="shared" si="6"/>
        <v>3366.115702</v>
      </c>
      <c r="I45" s="73"/>
      <c r="J45" s="61">
        <v>4073.0</v>
      </c>
      <c r="K45" s="60">
        <v>0.8</v>
      </c>
      <c r="L45" s="33">
        <f>IF('Global Precios'!J45*(1-I45)*(1+'Global Precios'!K45)&gt;10000,MROUND('Global Precios'!J45*(1-I45)*(1+'Global Precios'!K45),1000),MROUND('Global Precios'!J45*(1-I45)*(1+'Global Precios'!K45),500))</f>
        <v>7500</v>
      </c>
      <c r="M45" s="27">
        <v>70.0</v>
      </c>
      <c r="N45" s="34" t="s">
        <v>2496</v>
      </c>
      <c r="O45" s="21"/>
      <c r="P45" s="35">
        <v>45839.0</v>
      </c>
      <c r="Q45" s="36">
        <f t="shared" si="2"/>
        <v>19</v>
      </c>
      <c r="R45" s="37">
        <v>30.0</v>
      </c>
      <c r="S45" s="21"/>
      <c r="T45" s="41">
        <f>IFERROR(VLOOKUP(D45,BUSCARV!$A$1:$C$5524,2,0),"")</f>
        <v>4073</v>
      </c>
      <c r="U45" s="42"/>
      <c r="V45" s="42">
        <f t="shared" si="3"/>
        <v>4073</v>
      </c>
      <c r="W45" s="44">
        <f t="shared" si="4"/>
        <v>0</v>
      </c>
      <c r="X45" s="44"/>
      <c r="Y45" s="45">
        <f t="shared" si="5"/>
        <v>0</v>
      </c>
      <c r="Z45" s="46" t="s">
        <v>449</v>
      </c>
      <c r="AA45" s="46"/>
    </row>
    <row r="46">
      <c r="A46" s="27">
        <v>45.0</v>
      </c>
      <c r="B46" s="21"/>
      <c r="C46" s="21" t="s">
        <v>3</v>
      </c>
      <c r="D46" s="21" t="s">
        <v>174</v>
      </c>
      <c r="E46" s="21" t="s">
        <v>2625</v>
      </c>
      <c r="F46" s="21" t="s">
        <v>2308</v>
      </c>
      <c r="G46" s="21" t="s">
        <v>2333</v>
      </c>
      <c r="H46" s="31">
        <f t="shared" si="6"/>
        <v>4745.454545</v>
      </c>
      <c r="I46" s="73"/>
      <c r="J46" s="61">
        <v>5742.0</v>
      </c>
      <c r="K46" s="60">
        <v>0.8</v>
      </c>
      <c r="L46" s="33">
        <f>IF('Global Precios'!J46*(1-I46)*(1+'Global Precios'!K46)&gt;10000,MROUND('Global Precios'!J46*(1-I46)*(1+'Global Precios'!K46),1000),MROUND('Global Precios'!J46*(1-I46)*(1+'Global Precios'!K46),500))</f>
        <v>10000</v>
      </c>
      <c r="M46" s="27">
        <v>120.0</v>
      </c>
      <c r="N46" s="34" t="s">
        <v>2496</v>
      </c>
      <c r="O46" s="21"/>
      <c r="P46" s="35">
        <v>45839.0</v>
      </c>
      <c r="Q46" s="36">
        <f t="shared" si="2"/>
        <v>20</v>
      </c>
      <c r="R46" s="37">
        <v>30.0</v>
      </c>
      <c r="S46" s="21"/>
      <c r="T46" s="41">
        <f>IFERROR(VLOOKUP(D46,BUSCARV!$A$1:$C$5524,2,0),"")</f>
        <v>5742</v>
      </c>
      <c r="U46" s="42"/>
      <c r="V46" s="42">
        <f t="shared" si="3"/>
        <v>5742</v>
      </c>
      <c r="W46" s="44">
        <f t="shared" si="4"/>
        <v>0</v>
      </c>
      <c r="X46" s="44"/>
      <c r="Y46" s="45">
        <f t="shared" si="5"/>
        <v>0</v>
      </c>
      <c r="Z46" s="46" t="s">
        <v>449</v>
      </c>
      <c r="AA46" s="46"/>
    </row>
    <row r="47">
      <c r="A47" s="27">
        <v>46.0</v>
      </c>
      <c r="B47" s="21"/>
      <c r="C47" s="21" t="s">
        <v>3</v>
      </c>
      <c r="D47" s="76" t="s">
        <v>177</v>
      </c>
      <c r="E47" s="21" t="s">
        <v>2676</v>
      </c>
      <c r="F47" s="21" t="s">
        <v>2308</v>
      </c>
      <c r="G47" s="21" t="s">
        <v>2336</v>
      </c>
      <c r="H47" s="31">
        <f t="shared" si="6"/>
        <v>0</v>
      </c>
      <c r="I47" s="73"/>
      <c r="J47" s="77">
        <v>0.0</v>
      </c>
      <c r="K47" s="62">
        <v>1.0</v>
      </c>
      <c r="L47" s="33">
        <f>IF('Global Precios'!J47*(1-I47)*(1+'Global Precios'!K47)&gt;1000,MROUND('Global Precios'!J47*(1-I47)*(1+'Global Precios'!K47),100),MROUND('Global Precios'!J47*(1-I47)*(1+'Global Precios'!K47),10))</f>
        <v>0</v>
      </c>
      <c r="M47" s="50">
        <v>0.01</v>
      </c>
      <c r="N47" s="34"/>
      <c r="O47" s="21"/>
      <c r="P47" s="35">
        <v>45261.0</v>
      </c>
      <c r="Q47" s="36">
        <f t="shared" si="2"/>
        <v>37</v>
      </c>
      <c r="R47" s="37">
        <v>0.0</v>
      </c>
      <c r="S47" s="21"/>
      <c r="T47" s="41">
        <f>IFERROR(VLOOKUP(D47,BUSCARV!$A$1:$C$5524,2,0),"")</f>
        <v>12415</v>
      </c>
      <c r="U47" s="42"/>
      <c r="V47" s="42">
        <f t="shared" si="3"/>
        <v>12415</v>
      </c>
      <c r="W47" s="44" t="str">
        <f t="shared" si="4"/>
        <v/>
      </c>
      <c r="X47" s="44"/>
      <c r="Y47" s="45">
        <f t="shared" si="5"/>
        <v>0</v>
      </c>
      <c r="Z47" s="46" t="s">
        <v>1075</v>
      </c>
      <c r="AA47" s="46"/>
    </row>
    <row r="48">
      <c r="A48" s="27">
        <v>47.0</v>
      </c>
      <c r="B48" s="21"/>
      <c r="C48" s="21" t="s">
        <v>3</v>
      </c>
      <c r="D48" s="21" t="s">
        <v>179</v>
      </c>
      <c r="E48" s="21" t="s">
        <v>2676</v>
      </c>
      <c r="F48" s="21" t="s">
        <v>2308</v>
      </c>
      <c r="G48" s="21" t="s">
        <v>2336</v>
      </c>
      <c r="H48" s="31">
        <f t="shared" si="6"/>
        <v>1500</v>
      </c>
      <c r="I48" s="73"/>
      <c r="J48" s="57">
        <v>1815.0</v>
      </c>
      <c r="K48" s="62">
        <v>1.0</v>
      </c>
      <c r="L48" s="33">
        <f>IF('Global Precios'!J48*(1-I48)*(1+'Global Precios'!K48)&gt;10000,MROUND('Global Precios'!J48*(1-I48)*(1+'Global Precios'!K48),1000),MROUND('Global Precios'!J48*(1-I48)*(1+'Global Precios'!K48),500))</f>
        <v>3500</v>
      </c>
      <c r="M48" s="27">
        <v>10.0</v>
      </c>
      <c r="N48" s="34" t="s">
        <v>2727</v>
      </c>
      <c r="O48" s="21"/>
      <c r="P48" s="35">
        <v>45901.0</v>
      </c>
      <c r="Q48" s="36">
        <f t="shared" si="2"/>
        <v>44</v>
      </c>
      <c r="R48" s="37">
        <v>30.0</v>
      </c>
      <c r="S48" s="21"/>
      <c r="T48" s="41" t="str">
        <f>IFERROR(VLOOKUP(D48,BUSCARV!$A$1:$C$5524,2,0),"")</f>
        <v/>
      </c>
      <c r="U48" s="42"/>
      <c r="V48" s="42" t="str">
        <f t="shared" si="3"/>
        <v/>
      </c>
      <c r="W48" s="44" t="str">
        <f t="shared" si="4"/>
        <v/>
      </c>
      <c r="X48" s="44"/>
      <c r="Y48" s="45">
        <f t="shared" si="5"/>
        <v>0</v>
      </c>
      <c r="Z48" s="46" t="s">
        <v>449</v>
      </c>
      <c r="AA48" s="46"/>
    </row>
    <row r="49">
      <c r="A49" s="27">
        <v>48.0</v>
      </c>
      <c r="B49" s="21"/>
      <c r="C49" s="21" t="s">
        <v>3</v>
      </c>
      <c r="D49" s="29" t="s">
        <v>180</v>
      </c>
      <c r="E49" s="21" t="s">
        <v>2676</v>
      </c>
      <c r="F49" s="21" t="s">
        <v>2308</v>
      </c>
      <c r="G49" s="21" t="s">
        <v>2339</v>
      </c>
      <c r="H49" s="31">
        <f t="shared" si="6"/>
        <v>995.0413223</v>
      </c>
      <c r="I49" s="73"/>
      <c r="J49" s="57">
        <v>1204.0</v>
      </c>
      <c r="K49" s="62">
        <v>1.0</v>
      </c>
      <c r="L49" s="33">
        <f>IF('Global Precios'!J49*(1-I49)*(1+'Global Precios'!K49)&gt;10000,MROUND('Global Precios'!J49*(1-I49)*(1+'Global Precios'!K49),1000),MROUND('Global Precios'!J49*(1-I49)*(1+'Global Precios'!K49),500))</f>
        <v>2500</v>
      </c>
      <c r="M49" s="27">
        <v>10.0</v>
      </c>
      <c r="N49" s="34" t="s">
        <v>2727</v>
      </c>
      <c r="O49" s="21"/>
      <c r="P49" s="35">
        <v>45901.0</v>
      </c>
      <c r="Q49" s="36">
        <f t="shared" si="2"/>
        <v>30</v>
      </c>
      <c r="R49" s="37">
        <v>30.0</v>
      </c>
      <c r="S49" s="21"/>
      <c r="T49" s="41" t="str">
        <f>IFERROR(VLOOKUP(D49,BUSCARV!$A$1:$C$5524,2,0),"")</f>
        <v/>
      </c>
      <c r="U49" s="42"/>
      <c r="V49" s="42" t="str">
        <f t="shared" si="3"/>
        <v/>
      </c>
      <c r="W49" s="44" t="str">
        <f t="shared" si="4"/>
        <v/>
      </c>
      <c r="X49" s="44"/>
      <c r="Y49" s="45">
        <f t="shared" si="5"/>
        <v>0</v>
      </c>
      <c r="Z49" s="46" t="s">
        <v>449</v>
      </c>
      <c r="AA49" s="46"/>
    </row>
    <row r="50">
      <c r="A50" s="27">
        <v>49.0</v>
      </c>
      <c r="B50" s="21"/>
      <c r="C50" s="21" t="s">
        <v>3</v>
      </c>
      <c r="D50" s="21" t="s">
        <v>184</v>
      </c>
      <c r="E50" s="21" t="s">
        <v>2676</v>
      </c>
      <c r="F50" s="21" t="s">
        <v>2308</v>
      </c>
      <c r="G50" s="21" t="s">
        <v>2339</v>
      </c>
      <c r="H50" s="31">
        <f t="shared" si="6"/>
        <v>2272.727273</v>
      </c>
      <c r="I50" s="73"/>
      <c r="J50" s="57">
        <v>2750.0</v>
      </c>
      <c r="K50" s="62">
        <v>1.0</v>
      </c>
      <c r="L50" s="33">
        <f>IF('Global Precios'!J50*(1-I50)*(1+'Global Precios'!K50)&gt;10000,MROUND('Global Precios'!J50*(1-I50)*(1+'Global Precios'!K50),1000),MROUND('Global Precios'!J50*(1-I50)*(1+'Global Precios'!K50),500))</f>
        <v>5500</v>
      </c>
      <c r="M50" s="27">
        <v>10.0</v>
      </c>
      <c r="N50" s="34" t="s">
        <v>2727</v>
      </c>
      <c r="O50" s="21"/>
      <c r="P50" s="35">
        <v>45901.0</v>
      </c>
      <c r="Q50" s="36">
        <f t="shared" si="2"/>
        <v>32</v>
      </c>
      <c r="R50" s="37">
        <v>30.0</v>
      </c>
      <c r="S50" s="21"/>
      <c r="T50" s="41" t="str">
        <f>IFERROR(VLOOKUP(D50,BUSCARV!$A$1:$C$5524,2,0),"")</f>
        <v/>
      </c>
      <c r="U50" s="42"/>
      <c r="V50" s="42" t="str">
        <f t="shared" si="3"/>
        <v/>
      </c>
      <c r="W50" s="44" t="str">
        <f t="shared" si="4"/>
        <v/>
      </c>
      <c r="X50" s="44"/>
      <c r="Y50" s="45">
        <f t="shared" si="5"/>
        <v>0</v>
      </c>
      <c r="Z50" s="46" t="s">
        <v>449</v>
      </c>
      <c r="AA50" s="46"/>
    </row>
    <row r="51">
      <c r="A51" s="27">
        <v>50.0</v>
      </c>
      <c r="B51" s="21"/>
      <c r="C51" s="21" t="s">
        <v>3</v>
      </c>
      <c r="D51" s="21" t="s">
        <v>187</v>
      </c>
      <c r="E51" s="21" t="s">
        <v>2787</v>
      </c>
      <c r="F51" s="21" t="s">
        <v>2308</v>
      </c>
      <c r="G51" s="21" t="s">
        <v>2341</v>
      </c>
      <c r="H51" s="31">
        <f t="shared" si="6"/>
        <v>3817.355372</v>
      </c>
      <c r="I51" s="73"/>
      <c r="J51" s="61">
        <v>4619.0</v>
      </c>
      <c r="K51" s="62">
        <v>0.8</v>
      </c>
      <c r="L51" s="33">
        <f>IF('Global Precios'!J51*(1-I51)*(1+'Global Precios'!K51)&gt;10000,MROUND('Global Precios'!J51*(1-I51)*(1+'Global Precios'!K51),1000),MROUND('Global Precios'!J51*(1-I51)*(1+'Global Precios'!K51),500))</f>
        <v>8500</v>
      </c>
      <c r="M51" s="27">
        <v>25.0</v>
      </c>
      <c r="N51" s="34" t="s">
        <v>2496</v>
      </c>
      <c r="O51" s="21"/>
      <c r="P51" s="35">
        <v>45839.0</v>
      </c>
      <c r="Q51" s="36">
        <f t="shared" si="2"/>
        <v>20</v>
      </c>
      <c r="R51" s="37">
        <v>30.0</v>
      </c>
      <c r="S51" s="21"/>
      <c r="T51" s="41">
        <f>IFERROR(VLOOKUP(D51,BUSCARV!$A$1:$C$5524,2,0),"")</f>
        <v>4619</v>
      </c>
      <c r="U51" s="42"/>
      <c r="V51" s="42">
        <f t="shared" si="3"/>
        <v>4619</v>
      </c>
      <c r="W51" s="44">
        <f t="shared" si="4"/>
        <v>0</v>
      </c>
      <c r="X51" s="44"/>
      <c r="Y51" s="45">
        <f t="shared" si="5"/>
        <v>0</v>
      </c>
      <c r="Z51" s="46" t="s">
        <v>449</v>
      </c>
      <c r="AA51" s="46"/>
    </row>
    <row r="52">
      <c r="A52" s="27">
        <v>51.0</v>
      </c>
      <c r="B52" s="21"/>
      <c r="C52" s="21" t="s">
        <v>3</v>
      </c>
      <c r="D52" s="21" t="s">
        <v>190</v>
      </c>
      <c r="E52" s="21" t="s">
        <v>2787</v>
      </c>
      <c r="F52" s="21" t="s">
        <v>2308</v>
      </c>
      <c r="G52" s="21" t="s">
        <v>2341</v>
      </c>
      <c r="H52" s="31">
        <f t="shared" si="6"/>
        <v>2604.132231</v>
      </c>
      <c r="I52" s="73"/>
      <c r="J52" s="61">
        <v>3151.0</v>
      </c>
      <c r="K52" s="62">
        <v>0.8</v>
      </c>
      <c r="L52" s="33">
        <f>IF('Global Precios'!J52*(1-I52)*(1+'Global Precios'!K52)&gt;1000,MROUND('Global Precios'!J52*(1-I52)*(1+'Global Precios'!K52),100),MROUND('Global Precios'!J52*(1-I52)*(1+'Global Precios'!K52),10))</f>
        <v>5700</v>
      </c>
      <c r="M52" s="27">
        <v>120.0</v>
      </c>
      <c r="N52" s="34" t="s">
        <v>2496</v>
      </c>
      <c r="O52" s="21"/>
      <c r="P52" s="35">
        <v>45505.0</v>
      </c>
      <c r="Q52" s="36">
        <f t="shared" si="2"/>
        <v>39</v>
      </c>
      <c r="R52" s="37">
        <v>30.0</v>
      </c>
      <c r="S52" s="21"/>
      <c r="T52" s="41" t="str">
        <f>IFERROR(VLOOKUP(D52,BUSCARV!$A$1:$C$5524,2,0),"")</f>
        <v/>
      </c>
      <c r="U52" s="42"/>
      <c r="V52" s="42" t="str">
        <f t="shared" si="3"/>
        <v/>
      </c>
      <c r="W52" s="44" t="str">
        <f t="shared" si="4"/>
        <v/>
      </c>
      <c r="X52" s="44"/>
      <c r="Y52" s="45">
        <f t="shared" si="5"/>
        <v>0</v>
      </c>
      <c r="Z52" s="46" t="s">
        <v>1075</v>
      </c>
      <c r="AA52" s="46"/>
    </row>
    <row r="53">
      <c r="A53" s="27">
        <v>52.0</v>
      </c>
      <c r="B53" s="21"/>
      <c r="C53" s="21" t="s">
        <v>3</v>
      </c>
      <c r="D53" s="21" t="s">
        <v>193</v>
      </c>
      <c r="E53" s="21" t="s">
        <v>2787</v>
      </c>
      <c r="F53" s="21" t="s">
        <v>2308</v>
      </c>
      <c r="G53" s="21" t="s">
        <v>2341</v>
      </c>
      <c r="H53" s="31">
        <f t="shared" si="6"/>
        <v>3060.330579</v>
      </c>
      <c r="I53" s="73"/>
      <c r="J53" s="61">
        <v>3703.0</v>
      </c>
      <c r="K53" s="62">
        <v>0.8</v>
      </c>
      <c r="L53" s="33">
        <f>IF('Global Precios'!J53*(1-I53)*(1+'Global Precios'!K53)&gt;10000,MROUND('Global Precios'!J53*(1-I53)*(1+'Global Precios'!K53),1000),MROUND('Global Precios'!J53*(1-I53)*(1+'Global Precios'!K53),500))</f>
        <v>6500</v>
      </c>
      <c r="M53" s="27">
        <v>40.0</v>
      </c>
      <c r="N53" s="34" t="s">
        <v>2496</v>
      </c>
      <c r="O53" s="21"/>
      <c r="P53" s="35">
        <v>45839.0</v>
      </c>
      <c r="Q53" s="36">
        <f t="shared" si="2"/>
        <v>38</v>
      </c>
      <c r="R53" s="37">
        <v>30.0</v>
      </c>
      <c r="S53" s="21"/>
      <c r="T53" s="41">
        <f>IFERROR(VLOOKUP(D53,BUSCARV!$A$1:$C$5524,2,0),"")</f>
        <v>3703</v>
      </c>
      <c r="U53" s="42"/>
      <c r="V53" s="42">
        <f t="shared" si="3"/>
        <v>3703</v>
      </c>
      <c r="W53" s="44">
        <f t="shared" si="4"/>
        <v>0</v>
      </c>
      <c r="X53" s="44"/>
      <c r="Y53" s="45">
        <f t="shared" si="5"/>
        <v>0</v>
      </c>
      <c r="Z53" s="46" t="s">
        <v>449</v>
      </c>
      <c r="AA53" s="46"/>
    </row>
    <row r="54">
      <c r="A54" s="27">
        <v>53.0</v>
      </c>
      <c r="B54" s="21"/>
      <c r="C54" s="21" t="s">
        <v>3</v>
      </c>
      <c r="D54" s="29" t="s">
        <v>196</v>
      </c>
      <c r="E54" s="21" t="s">
        <v>2899</v>
      </c>
      <c r="F54" s="21" t="s">
        <v>2308</v>
      </c>
      <c r="G54" s="21" t="s">
        <v>2325</v>
      </c>
      <c r="H54" s="31">
        <f t="shared" si="6"/>
        <v>2281.818182</v>
      </c>
      <c r="I54" s="73"/>
      <c r="J54" s="57">
        <v>2761.0</v>
      </c>
      <c r="K54" s="62">
        <v>0.8</v>
      </c>
      <c r="L54" s="33">
        <f>IF('Global Precios'!J54*(1-I54)*(1+'Global Precios'!K54)&gt;1000,MROUND('Global Precios'!J54*(1-I54)*(1+'Global Precios'!K54),100),MROUND('Global Precios'!J54*(1-I54)*(1+'Global Precios'!K54),10))</f>
        <v>5000</v>
      </c>
      <c r="M54" s="27">
        <v>10.0</v>
      </c>
      <c r="N54" s="34" t="s">
        <v>2727</v>
      </c>
      <c r="O54" s="21"/>
      <c r="P54" s="35">
        <v>45413.0</v>
      </c>
      <c r="Q54" s="36">
        <f t="shared" si="2"/>
        <v>34</v>
      </c>
      <c r="R54" s="37">
        <v>30.0</v>
      </c>
      <c r="S54" s="21"/>
      <c r="T54" s="41" t="str">
        <f>IFERROR(VLOOKUP(D54,BUSCARV!$A$1:$C$5524,2,0),"")</f>
        <v/>
      </c>
      <c r="U54" s="80"/>
      <c r="V54" s="42" t="str">
        <f t="shared" si="3"/>
        <v/>
      </c>
      <c r="W54" s="44" t="str">
        <f t="shared" si="4"/>
        <v/>
      </c>
      <c r="X54" s="44"/>
      <c r="Y54" s="45">
        <f t="shared" si="5"/>
        <v>0</v>
      </c>
      <c r="Z54" s="46" t="s">
        <v>1075</v>
      </c>
      <c r="AA54" s="46"/>
    </row>
    <row r="55">
      <c r="A55" s="27">
        <v>54.0</v>
      </c>
      <c r="B55" s="21"/>
      <c r="C55" s="21" t="s">
        <v>3</v>
      </c>
      <c r="D55" s="21" t="s">
        <v>199</v>
      </c>
      <c r="E55" s="21" t="s">
        <v>2899</v>
      </c>
      <c r="F55" s="21" t="s">
        <v>2308</v>
      </c>
      <c r="G55" s="21" t="s">
        <v>2325</v>
      </c>
      <c r="H55" s="31">
        <f t="shared" si="6"/>
        <v>4876.033058</v>
      </c>
      <c r="I55" s="73"/>
      <c r="J55" s="61">
        <v>5900.0</v>
      </c>
      <c r="K55" s="62">
        <v>0.8</v>
      </c>
      <c r="L55" s="33">
        <f>IF('Global Precios'!J55*(1-I55)*(1+'Global Precios'!K55)&gt;10000,MROUND('Global Precios'!J55*(1-I55)*(1+'Global Precios'!K55),1000),MROUND('Global Precios'!J55*(1-I55)*(1+'Global Precios'!K55),500))</f>
        <v>11000</v>
      </c>
      <c r="M55" s="27">
        <v>100.0</v>
      </c>
      <c r="N55" s="34" t="s">
        <v>2496</v>
      </c>
      <c r="O55" s="21"/>
      <c r="P55" s="35">
        <v>46082.0</v>
      </c>
      <c r="Q55" s="36">
        <f t="shared" si="2"/>
        <v>31</v>
      </c>
      <c r="R55" s="37">
        <v>30.0</v>
      </c>
      <c r="S55" s="21"/>
      <c r="T55" s="41">
        <f>IFERROR(VLOOKUP(D55,BUSCARV!$A$1:$C$5524,2,0),"")</f>
        <v>4167</v>
      </c>
      <c r="U55" s="42"/>
      <c r="V55" s="42">
        <f t="shared" si="3"/>
        <v>4167</v>
      </c>
      <c r="W55" s="44">
        <f t="shared" si="4"/>
        <v>-0.2937288136</v>
      </c>
      <c r="X55" s="44"/>
      <c r="Y55" s="45">
        <f t="shared" si="5"/>
        <v>0</v>
      </c>
      <c r="Z55" s="46" t="s">
        <v>449</v>
      </c>
      <c r="AA55" s="46"/>
    </row>
    <row r="56">
      <c r="A56" s="27">
        <v>55.0</v>
      </c>
      <c r="B56" s="21"/>
      <c r="C56" s="21" t="s">
        <v>3</v>
      </c>
      <c r="D56" s="21" t="s">
        <v>203</v>
      </c>
      <c r="E56" s="21" t="s">
        <v>2899</v>
      </c>
      <c r="F56" s="21" t="s">
        <v>2308</v>
      </c>
      <c r="G56" s="21" t="s">
        <v>2325</v>
      </c>
      <c r="H56" s="31">
        <f t="shared" si="6"/>
        <v>3454.545455</v>
      </c>
      <c r="I56" s="73"/>
      <c r="J56" s="61">
        <v>4180.0</v>
      </c>
      <c r="K56" s="62">
        <v>0.8</v>
      </c>
      <c r="L56" s="33">
        <f>IF('Global Precios'!J56*(1-I56)*(1+'Global Precios'!K56)&gt;10000,MROUND('Global Precios'!J56*(1-I56)*(1+'Global Precios'!K56),1000),MROUND('Global Precios'!J56*(1-I56)*(1+'Global Precios'!K56),500))</f>
        <v>7500</v>
      </c>
      <c r="M56" s="27">
        <v>15.0</v>
      </c>
      <c r="N56" s="34" t="s">
        <v>2496</v>
      </c>
      <c r="O56" s="21"/>
      <c r="P56" s="35">
        <v>45839.0</v>
      </c>
      <c r="Q56" s="36">
        <f t="shared" si="2"/>
        <v>26</v>
      </c>
      <c r="R56" s="37">
        <v>30.0</v>
      </c>
      <c r="S56" s="21"/>
      <c r="T56" s="41">
        <f>IFERROR(VLOOKUP(D56,BUSCARV!$A$1:$C$5524,2,0),"")</f>
        <v>4431</v>
      </c>
      <c r="U56" s="42"/>
      <c r="V56" s="42">
        <f t="shared" si="3"/>
        <v>4431</v>
      </c>
      <c r="W56" s="44">
        <f t="shared" si="4"/>
        <v>0.06004784689</v>
      </c>
      <c r="X56" s="44"/>
      <c r="Y56" s="45">
        <f t="shared" si="5"/>
        <v>0</v>
      </c>
      <c r="Z56" s="46" t="s">
        <v>1075</v>
      </c>
      <c r="AA56" s="46"/>
    </row>
    <row r="57">
      <c r="A57" s="27">
        <v>56.0</v>
      </c>
      <c r="B57" s="21"/>
      <c r="C57" s="21" t="s">
        <v>3</v>
      </c>
      <c r="D57" s="21" t="s">
        <v>207</v>
      </c>
      <c r="E57" s="21" t="s">
        <v>2899</v>
      </c>
      <c r="F57" s="21" t="s">
        <v>2308</v>
      </c>
      <c r="G57" s="21" t="s">
        <v>2336</v>
      </c>
      <c r="H57" s="31">
        <f t="shared" si="6"/>
        <v>330.5785124</v>
      </c>
      <c r="I57" s="73"/>
      <c r="J57" s="57">
        <v>400.0</v>
      </c>
      <c r="K57" s="62">
        <v>1.0</v>
      </c>
      <c r="L57" s="33">
        <f>IF('Global Precios'!J57*(1-I57)*(1+'Global Precios'!K57)&gt;10000,MROUND('Global Precios'!J57*(1-I57)*(1+'Global Precios'!K57),1000),MROUND('Global Precios'!J57*(1-I57)*(1+'Global Precios'!K57),500))</f>
        <v>1000</v>
      </c>
      <c r="M57" s="27">
        <v>1.0</v>
      </c>
      <c r="N57" s="34" t="s">
        <v>2727</v>
      </c>
      <c r="O57" s="21"/>
      <c r="P57" s="35">
        <v>45839.0</v>
      </c>
      <c r="Q57" s="36">
        <f t="shared" si="2"/>
        <v>29</v>
      </c>
      <c r="R57" s="37">
        <v>30.0</v>
      </c>
      <c r="S57" s="21"/>
      <c r="T57" s="41" t="str">
        <f>IFERROR(VLOOKUP(D57,BUSCARV!$A$1:$C$5524,2,0),"")</f>
        <v/>
      </c>
      <c r="U57" s="42"/>
      <c r="V57" s="42" t="str">
        <f t="shared" si="3"/>
        <v/>
      </c>
      <c r="W57" s="44" t="str">
        <f t="shared" si="4"/>
        <v/>
      </c>
      <c r="X57" s="44"/>
      <c r="Y57" s="45">
        <f t="shared" si="5"/>
        <v>0</v>
      </c>
      <c r="Z57" s="46" t="s">
        <v>449</v>
      </c>
      <c r="AA57" s="46"/>
    </row>
    <row r="58">
      <c r="A58" s="27">
        <v>57.0</v>
      </c>
      <c r="B58" s="21"/>
      <c r="C58" s="21" t="s">
        <v>3</v>
      </c>
      <c r="D58" s="21" t="s">
        <v>210</v>
      </c>
      <c r="E58" s="21" t="s">
        <v>2899</v>
      </c>
      <c r="F58" s="21" t="s">
        <v>2308</v>
      </c>
      <c r="G58" s="21" t="s">
        <v>2336</v>
      </c>
      <c r="H58" s="31">
        <f t="shared" si="6"/>
        <v>6287.603306</v>
      </c>
      <c r="I58" s="73"/>
      <c r="J58" s="61">
        <v>7608.0</v>
      </c>
      <c r="K58" s="60">
        <v>0.8</v>
      </c>
      <c r="L58" s="33">
        <f>IF('Global Precios'!J58*(1-I58)*(1+'Global Precios'!K58)&gt;10000,MROUND('Global Precios'!J58*(1-I58)*(1+'Global Precios'!K58),1000),MROUND('Global Precios'!J58*(1-I58)*(1+'Global Precios'!K58),500))</f>
        <v>14000</v>
      </c>
      <c r="M58" s="27">
        <v>10.0</v>
      </c>
      <c r="N58" s="34" t="s">
        <v>2496</v>
      </c>
      <c r="O58" s="21"/>
      <c r="P58" s="35">
        <v>45839.0</v>
      </c>
      <c r="Q58" s="36">
        <f t="shared" si="2"/>
        <v>23</v>
      </c>
      <c r="R58" s="37">
        <v>30.0</v>
      </c>
      <c r="S58" s="21"/>
      <c r="T58" s="41">
        <f>IFERROR(VLOOKUP(D58,BUSCARV!$A$1:$C$5524,2,0),"")</f>
        <v>7608</v>
      </c>
      <c r="U58" s="42"/>
      <c r="V58" s="42">
        <f t="shared" si="3"/>
        <v>7608</v>
      </c>
      <c r="W58" s="44">
        <f t="shared" si="4"/>
        <v>0</v>
      </c>
      <c r="X58" s="44"/>
      <c r="Y58" s="45">
        <f t="shared" si="5"/>
        <v>0</v>
      </c>
      <c r="Z58" s="46" t="s">
        <v>449</v>
      </c>
      <c r="AA58" s="46"/>
    </row>
    <row r="59">
      <c r="A59" s="27">
        <v>58.0</v>
      </c>
      <c r="B59" s="21"/>
      <c r="C59" s="21" t="s">
        <v>3</v>
      </c>
      <c r="D59" s="21" t="s">
        <v>212</v>
      </c>
      <c r="E59" s="21" t="s">
        <v>2899</v>
      </c>
      <c r="F59" s="21" t="s">
        <v>2308</v>
      </c>
      <c r="G59" s="21" t="s">
        <v>2325</v>
      </c>
      <c r="H59" s="31">
        <f t="shared" si="6"/>
        <v>3416.528926</v>
      </c>
      <c r="I59" s="73"/>
      <c r="J59" s="61">
        <v>4134.0</v>
      </c>
      <c r="K59" s="62">
        <v>0.8</v>
      </c>
      <c r="L59" s="33">
        <f>IF('Global Precios'!J59*(1-I59)*(1+'Global Precios'!K59)&gt;10000,MROUND('Global Precios'!J59*(1-I59)*(1+'Global Precios'!K59),1000),MROUND('Global Precios'!J59*(1-I59)*(1+'Global Precios'!K59),500))</f>
        <v>7500</v>
      </c>
      <c r="M59" s="27">
        <v>40.0</v>
      </c>
      <c r="N59" s="34" t="s">
        <v>2580</v>
      </c>
      <c r="O59" s="21"/>
      <c r="P59" s="35">
        <v>45839.0</v>
      </c>
      <c r="Q59" s="36">
        <f t="shared" si="2"/>
        <v>27</v>
      </c>
      <c r="R59" s="37">
        <v>30.0</v>
      </c>
      <c r="S59" s="21"/>
      <c r="T59" s="41">
        <f>IFERROR(VLOOKUP(D59,BUSCARV!$A$1:$C$5524,2,0),"")</f>
        <v>4134</v>
      </c>
      <c r="U59" s="42"/>
      <c r="V59" s="42">
        <f t="shared" si="3"/>
        <v>4134</v>
      </c>
      <c r="W59" s="44">
        <f t="shared" si="4"/>
        <v>0</v>
      </c>
      <c r="X59" s="44"/>
      <c r="Y59" s="45">
        <f t="shared" si="5"/>
        <v>0</v>
      </c>
      <c r="Z59" s="46" t="s">
        <v>449</v>
      </c>
      <c r="AA59" s="46"/>
    </row>
    <row r="60">
      <c r="A60" s="27">
        <v>59.0</v>
      </c>
      <c r="B60" s="21"/>
      <c r="C60" s="21" t="s">
        <v>3</v>
      </c>
      <c r="D60" s="21" t="s">
        <v>216</v>
      </c>
      <c r="E60" s="21" t="s">
        <v>2899</v>
      </c>
      <c r="F60" s="21" t="s">
        <v>2308</v>
      </c>
      <c r="G60" s="21" t="s">
        <v>2336</v>
      </c>
      <c r="H60" s="31">
        <f t="shared" si="6"/>
        <v>1985.123967</v>
      </c>
      <c r="I60" s="73"/>
      <c r="J60" s="57">
        <v>2402.0</v>
      </c>
      <c r="K60" s="62">
        <v>1.0</v>
      </c>
      <c r="L60" s="33">
        <f>IF('Global Precios'!J60*(1-I60)*(1+'Global Precios'!K60)&gt;1000,MROUND('Global Precios'!J60*(1-I60)*(1+'Global Precios'!K60),100),MROUND('Global Precios'!J60*(1-I60)*(1+'Global Precios'!K60),10))</f>
        <v>4800</v>
      </c>
      <c r="M60" s="27">
        <v>10.0</v>
      </c>
      <c r="N60" s="34" t="s">
        <v>2727</v>
      </c>
      <c r="O60" s="21"/>
      <c r="P60" s="35">
        <v>45505.0</v>
      </c>
      <c r="Q60" s="36">
        <f t="shared" si="2"/>
        <v>41</v>
      </c>
      <c r="R60" s="37">
        <v>30.0</v>
      </c>
      <c r="S60" s="21"/>
      <c r="T60" s="41" t="str">
        <f>IFERROR(VLOOKUP(D60,BUSCARV!$A$1:$C$5524,2,0),"")</f>
        <v/>
      </c>
      <c r="U60" s="42"/>
      <c r="V60" s="42" t="str">
        <f t="shared" si="3"/>
        <v/>
      </c>
      <c r="W60" s="44" t="str">
        <f t="shared" si="4"/>
        <v/>
      </c>
      <c r="X60" s="44"/>
      <c r="Y60" s="45">
        <f t="shared" si="5"/>
        <v>0</v>
      </c>
      <c r="Z60" s="46" t="s">
        <v>1075</v>
      </c>
      <c r="AA60" s="46"/>
    </row>
    <row r="61">
      <c r="A61" s="27">
        <v>60.0</v>
      </c>
      <c r="B61" s="21"/>
      <c r="C61" s="21" t="s">
        <v>3</v>
      </c>
      <c r="D61" s="19" t="s">
        <v>218</v>
      </c>
      <c r="E61" s="21" t="s">
        <v>3077</v>
      </c>
      <c r="F61" s="21" t="s">
        <v>2308</v>
      </c>
      <c r="G61" s="21" t="s">
        <v>2344</v>
      </c>
      <c r="H61" s="31">
        <f t="shared" si="6"/>
        <v>1686.77686</v>
      </c>
      <c r="I61" s="73"/>
      <c r="J61" s="61">
        <v>2041.0</v>
      </c>
      <c r="K61" s="60">
        <v>0.8</v>
      </c>
      <c r="L61" s="33">
        <f>IF('Global Precios'!J61*(1-I61)*(1+'Global Precios'!K61)&gt;10000,MROUND('Global Precios'!J61*(1-I61)*(1+'Global Precios'!K61),1000),MROUND('Global Precios'!J61*(1-I61)*(1+'Global Precios'!K61),500))</f>
        <v>3500</v>
      </c>
      <c r="M61" s="27">
        <v>1.0</v>
      </c>
      <c r="N61" s="34" t="s">
        <v>46</v>
      </c>
      <c r="O61" s="21"/>
      <c r="P61" s="35">
        <v>45839.0</v>
      </c>
      <c r="Q61" s="36">
        <f t="shared" si="2"/>
        <v>27</v>
      </c>
      <c r="R61" s="37">
        <v>30.0</v>
      </c>
      <c r="S61" s="21"/>
      <c r="T61" s="41">
        <f>IFERROR(VLOOKUP(D61,BUSCARV!$A$1:$C$5524,2,0),"")</f>
        <v>2072</v>
      </c>
      <c r="U61" s="42"/>
      <c r="V61" s="42">
        <f t="shared" si="3"/>
        <v>2072</v>
      </c>
      <c r="W61" s="44">
        <f t="shared" si="4"/>
        <v>0.01518863302</v>
      </c>
      <c r="X61" s="44"/>
      <c r="Y61" s="45">
        <f t="shared" si="5"/>
        <v>0</v>
      </c>
      <c r="Z61" s="46" t="s">
        <v>1075</v>
      </c>
      <c r="AA61" s="46"/>
    </row>
    <row r="62">
      <c r="A62" s="27">
        <v>61.0</v>
      </c>
      <c r="B62" s="21"/>
      <c r="C62" s="21" t="s">
        <v>3</v>
      </c>
      <c r="D62" s="21" t="s">
        <v>221</v>
      </c>
      <c r="E62" s="21" t="s">
        <v>3077</v>
      </c>
      <c r="F62" s="21" t="s">
        <v>2308</v>
      </c>
      <c r="G62" s="21" t="s">
        <v>2344</v>
      </c>
      <c r="H62" s="31">
        <f t="shared" si="6"/>
        <v>1861.157025</v>
      </c>
      <c r="I62" s="73"/>
      <c r="J62" s="61">
        <v>2252.0</v>
      </c>
      <c r="K62" s="60">
        <v>0.8</v>
      </c>
      <c r="L62" s="33">
        <f>IF('Global Precios'!J62*(1-I62)*(1+'Global Precios'!K62)&gt;10000,MROUND('Global Precios'!J62*(1-I62)*(1+'Global Precios'!K62),1000),MROUND('Global Precios'!J62*(1-I62)*(1+'Global Precios'!K62),500))</f>
        <v>4000</v>
      </c>
      <c r="M62" s="27">
        <v>1.0</v>
      </c>
      <c r="N62" s="34" t="s">
        <v>46</v>
      </c>
      <c r="O62" s="21"/>
      <c r="P62" s="35">
        <v>45839.0</v>
      </c>
      <c r="Q62" s="36">
        <f t="shared" si="2"/>
        <v>28</v>
      </c>
      <c r="R62" s="37">
        <v>30.0</v>
      </c>
      <c r="S62" s="21"/>
      <c r="T62" s="41">
        <f>IFERROR(VLOOKUP(D62,BUSCARV!$A$1:$C$5524,2,0),"")</f>
        <v>2286</v>
      </c>
      <c r="U62" s="42"/>
      <c r="V62" s="42">
        <f t="shared" si="3"/>
        <v>2286</v>
      </c>
      <c r="W62" s="44">
        <f t="shared" si="4"/>
        <v>0.01509769094</v>
      </c>
      <c r="X62" s="44"/>
      <c r="Y62" s="45">
        <f t="shared" si="5"/>
        <v>0</v>
      </c>
      <c r="Z62" s="46" t="s">
        <v>1075</v>
      </c>
      <c r="AA62" s="46"/>
    </row>
    <row r="63">
      <c r="A63" s="27">
        <v>62.0</v>
      </c>
      <c r="B63" s="21"/>
      <c r="C63" s="21" t="s">
        <v>3</v>
      </c>
      <c r="D63" s="21" t="s">
        <v>224</v>
      </c>
      <c r="E63" s="21" t="s">
        <v>3077</v>
      </c>
      <c r="F63" s="21" t="s">
        <v>2308</v>
      </c>
      <c r="G63" s="21" t="s">
        <v>2344</v>
      </c>
      <c r="H63" s="31">
        <f t="shared" si="6"/>
        <v>2128.099174</v>
      </c>
      <c r="I63" s="73"/>
      <c r="J63" s="61">
        <v>2575.0</v>
      </c>
      <c r="K63" s="60">
        <v>0.8</v>
      </c>
      <c r="L63" s="33">
        <f>IF('Global Precios'!J63*(1-I63)*(1+'Global Precios'!K63)&gt;10000,MROUND('Global Precios'!J63*(1-I63)*(1+'Global Precios'!K63),1000),MROUND('Global Precios'!J63*(1-I63)*(1+'Global Precios'!K63),500))</f>
        <v>4500</v>
      </c>
      <c r="M63" s="27">
        <v>1.0</v>
      </c>
      <c r="N63" s="34" t="s">
        <v>46</v>
      </c>
      <c r="O63" s="21"/>
      <c r="P63" s="35">
        <v>45839.0</v>
      </c>
      <c r="Q63" s="36">
        <f t="shared" si="2"/>
        <v>25</v>
      </c>
      <c r="R63" s="37">
        <v>30.0</v>
      </c>
      <c r="S63" s="21"/>
      <c r="T63" s="41">
        <f>IFERROR(VLOOKUP(D63,BUSCARV!$A$1:$C$5524,2,0),"")</f>
        <v>2575</v>
      </c>
      <c r="U63" s="42"/>
      <c r="V63" s="42">
        <f t="shared" si="3"/>
        <v>2575</v>
      </c>
      <c r="W63" s="44">
        <f t="shared" si="4"/>
        <v>0</v>
      </c>
      <c r="X63" s="44"/>
      <c r="Y63" s="45">
        <f t="shared" si="5"/>
        <v>0</v>
      </c>
      <c r="Z63" s="46" t="s">
        <v>449</v>
      </c>
      <c r="AA63" s="46"/>
    </row>
    <row r="64">
      <c r="A64" s="27">
        <v>63.0</v>
      </c>
      <c r="B64" s="21"/>
      <c r="C64" s="21" t="s">
        <v>3</v>
      </c>
      <c r="D64" s="21" t="s">
        <v>228</v>
      </c>
      <c r="E64" s="21" t="s">
        <v>3077</v>
      </c>
      <c r="F64" s="21" t="s">
        <v>2308</v>
      </c>
      <c r="G64" s="21" t="s">
        <v>2344</v>
      </c>
      <c r="H64" s="31">
        <f t="shared" si="6"/>
        <v>1957.85124</v>
      </c>
      <c r="I64" s="73"/>
      <c r="J64" s="61">
        <v>2369.0</v>
      </c>
      <c r="K64" s="60">
        <v>0.8</v>
      </c>
      <c r="L64" s="33">
        <f>IF('Global Precios'!J64*(1-I64)*(1+'Global Precios'!K64)&gt;10000,MROUND('Global Precios'!J64*(1-I64)*(1+'Global Precios'!K64),1000),MROUND('Global Precios'!J64*(1-I64)*(1+'Global Precios'!K64),500))</f>
        <v>4500</v>
      </c>
      <c r="M64" s="27">
        <v>1.0</v>
      </c>
      <c r="N64" s="34" t="s">
        <v>46</v>
      </c>
      <c r="O64" s="21"/>
      <c r="P64" s="35">
        <v>45839.0</v>
      </c>
      <c r="Q64" s="36">
        <f t="shared" si="2"/>
        <v>28</v>
      </c>
      <c r="R64" s="37">
        <v>30.0</v>
      </c>
      <c r="S64" s="21"/>
      <c r="T64" s="41">
        <f>IFERROR(VLOOKUP(D64,BUSCARV!$A$1:$C$5524,2,0),"")</f>
        <v>2369</v>
      </c>
      <c r="U64" s="42"/>
      <c r="V64" s="42">
        <f t="shared" si="3"/>
        <v>2369</v>
      </c>
      <c r="W64" s="44">
        <f t="shared" si="4"/>
        <v>0</v>
      </c>
      <c r="X64" s="44"/>
      <c r="Y64" s="45">
        <f t="shared" si="5"/>
        <v>0</v>
      </c>
      <c r="Z64" s="46" t="s">
        <v>449</v>
      </c>
      <c r="AA64" s="46"/>
    </row>
    <row r="65">
      <c r="A65" s="27">
        <v>64.0</v>
      </c>
      <c r="B65" s="21"/>
      <c r="C65" s="21" t="s">
        <v>3</v>
      </c>
      <c r="D65" s="19" t="s">
        <v>231</v>
      </c>
      <c r="E65" s="21" t="s">
        <v>3077</v>
      </c>
      <c r="F65" s="21" t="s">
        <v>2308</v>
      </c>
      <c r="G65" s="21" t="s">
        <v>2325</v>
      </c>
      <c r="H65" s="31">
        <f t="shared" si="6"/>
        <v>1718.181818</v>
      </c>
      <c r="I65" s="73"/>
      <c r="J65" s="61">
        <v>2079.0</v>
      </c>
      <c r="K65" s="62">
        <v>0.8</v>
      </c>
      <c r="L65" s="33">
        <f>IF('Global Precios'!J65*(1-I65)*(1+'Global Precios'!K65)&gt;1000,MROUND('Global Precios'!J65*(1-I65)*(1+'Global Precios'!K65),100),MROUND('Global Precios'!J65*(1-I65)*(1+'Global Precios'!K65),10))</f>
        <v>3700</v>
      </c>
      <c r="M65" s="27">
        <v>120.0</v>
      </c>
      <c r="N65" s="34" t="s">
        <v>2496</v>
      </c>
      <c r="O65" s="21"/>
      <c r="P65" s="35">
        <v>45323.0</v>
      </c>
      <c r="Q65" s="36">
        <f t="shared" si="2"/>
        <v>16</v>
      </c>
      <c r="R65" s="37">
        <v>30.0</v>
      </c>
      <c r="S65" s="21"/>
      <c r="T65" s="41" t="str">
        <f>IFERROR(VLOOKUP(D65,BUSCARV!$A$1:$C$5524,2,0),"")</f>
        <v/>
      </c>
      <c r="U65" s="42"/>
      <c r="V65" s="42" t="str">
        <f t="shared" si="3"/>
        <v/>
      </c>
      <c r="W65" s="44" t="str">
        <f t="shared" si="4"/>
        <v/>
      </c>
      <c r="X65" s="44"/>
      <c r="Y65" s="45">
        <f t="shared" si="5"/>
        <v>0</v>
      </c>
      <c r="Z65" s="46" t="s">
        <v>1075</v>
      </c>
      <c r="AA65" s="46"/>
    </row>
    <row r="66">
      <c r="A66" s="27">
        <v>65.0</v>
      </c>
      <c r="B66" s="21"/>
      <c r="C66" s="21" t="s">
        <v>3</v>
      </c>
      <c r="D66" s="21" t="s">
        <v>235</v>
      </c>
      <c r="E66" s="21" t="s">
        <v>3278</v>
      </c>
      <c r="F66" s="21" t="s">
        <v>2308</v>
      </c>
      <c r="G66" s="21" t="s">
        <v>2339</v>
      </c>
      <c r="H66" s="31">
        <f t="shared" si="6"/>
        <v>944.6280992</v>
      </c>
      <c r="I66" s="73"/>
      <c r="J66" s="57">
        <v>1143.0</v>
      </c>
      <c r="K66" s="62">
        <v>1.0</v>
      </c>
      <c r="L66" s="33">
        <f>IF('Global Precios'!J66*(1-I66)*(1+'Global Precios'!K66)&gt;10000,MROUND('Global Precios'!J66*(1-I66)*(1+'Global Precios'!K66),1000),MROUND('Global Precios'!J66*(1-I66)*(1+'Global Precios'!K66),500))</f>
        <v>2500</v>
      </c>
      <c r="M66" s="27">
        <v>10.0</v>
      </c>
      <c r="N66" s="34" t="s">
        <v>2727</v>
      </c>
      <c r="O66" s="21"/>
      <c r="P66" s="35">
        <v>45839.0</v>
      </c>
      <c r="Q66" s="36">
        <f t="shared" si="2"/>
        <v>47</v>
      </c>
      <c r="R66" s="37">
        <v>30.0</v>
      </c>
      <c r="S66" s="21"/>
      <c r="T66" s="41" t="str">
        <f>IFERROR(VLOOKUP(D66,BUSCARV!$A$1:$C$5524,2,0),"")</f>
        <v/>
      </c>
      <c r="U66" s="42"/>
      <c r="V66" s="42" t="str">
        <f t="shared" si="3"/>
        <v/>
      </c>
      <c r="W66" s="44" t="str">
        <f t="shared" si="4"/>
        <v/>
      </c>
      <c r="X66" s="44"/>
      <c r="Y66" s="45">
        <f t="shared" si="5"/>
        <v>0</v>
      </c>
      <c r="Z66" s="46" t="s">
        <v>449</v>
      </c>
      <c r="AA66" s="46"/>
    </row>
    <row r="67">
      <c r="A67" s="27">
        <v>66.0</v>
      </c>
      <c r="B67" s="21"/>
      <c r="C67" s="21" t="s">
        <v>3</v>
      </c>
      <c r="D67" s="21" t="s">
        <v>238</v>
      </c>
      <c r="E67" s="21" t="s">
        <v>3278</v>
      </c>
      <c r="F67" s="21" t="s">
        <v>2308</v>
      </c>
      <c r="G67" s="21" t="s">
        <v>2329</v>
      </c>
      <c r="H67" s="31">
        <f t="shared" si="6"/>
        <v>5064.46281</v>
      </c>
      <c r="I67" s="73"/>
      <c r="J67" s="61">
        <v>6128.0</v>
      </c>
      <c r="K67" s="83">
        <v>0.8</v>
      </c>
      <c r="L67" s="33">
        <f>IF('Global Precios'!J67*(1-I67)*(1+'Global Precios'!K67)&gt;10000,MROUND('Global Precios'!J67*(1-I67)*(1+'Global Precios'!K67),1000),MROUND('Global Precios'!J67*(1-I67)*(1+'Global Precios'!K67),500))</f>
        <v>11000</v>
      </c>
      <c r="M67" s="27">
        <v>40.0</v>
      </c>
      <c r="N67" s="34" t="s">
        <v>2580</v>
      </c>
      <c r="O67" s="21"/>
      <c r="P67" s="35">
        <v>45870.0</v>
      </c>
      <c r="Q67" s="36">
        <f t="shared" si="2"/>
        <v>25</v>
      </c>
      <c r="R67" s="37">
        <v>30.0</v>
      </c>
      <c r="S67" s="21"/>
      <c r="T67" s="41">
        <f>IFERROR(VLOOKUP(D67,BUSCARV!$A$1:$C$5524,2,0),"")</f>
        <v>6128</v>
      </c>
      <c r="U67" s="42"/>
      <c r="V67" s="42">
        <f t="shared" si="3"/>
        <v>6128</v>
      </c>
      <c r="W67" s="44">
        <f t="shared" si="4"/>
        <v>0</v>
      </c>
      <c r="X67" s="44"/>
      <c r="Y67" s="45">
        <f t="shared" si="5"/>
        <v>0</v>
      </c>
      <c r="Z67" s="46" t="s">
        <v>449</v>
      </c>
      <c r="AA67" s="46"/>
    </row>
    <row r="68">
      <c r="A68" s="27">
        <v>67.0</v>
      </c>
      <c r="B68" s="21"/>
      <c r="C68" s="21" t="s">
        <v>3</v>
      </c>
      <c r="D68" s="21" t="s">
        <v>242</v>
      </c>
      <c r="E68" s="21" t="s">
        <v>3395</v>
      </c>
      <c r="F68" s="21" t="s">
        <v>2308</v>
      </c>
      <c r="G68" s="21" t="s">
        <v>2346</v>
      </c>
      <c r="H68" s="31">
        <f t="shared" si="6"/>
        <v>710.7438017</v>
      </c>
      <c r="I68" s="73"/>
      <c r="J68" s="61">
        <v>860.0</v>
      </c>
      <c r="K68" s="83">
        <v>0.8</v>
      </c>
      <c r="L68" s="33">
        <f>IF('Global Precios'!J68*(1-I68)*(1+'Global Precios'!K68)&gt;1000,MROUND('Global Precios'!J68*(1-I68)*(1+'Global Precios'!K68),100),MROUND('Global Precios'!J68*(1-I68)*(1+'Global Precios'!K68),10))</f>
        <v>1500</v>
      </c>
      <c r="M68" s="50">
        <v>1.0</v>
      </c>
      <c r="N68" s="84" t="s">
        <v>46</v>
      </c>
      <c r="O68" s="21"/>
      <c r="P68" s="35">
        <v>45139.0</v>
      </c>
      <c r="Q68" s="36">
        <f t="shared" si="2"/>
        <v>24</v>
      </c>
      <c r="R68" s="37">
        <v>30.0</v>
      </c>
      <c r="S68" s="21"/>
      <c r="T68" s="41" t="str">
        <f>IFERROR(VLOOKUP(D68,BUSCARV!$A$1:$C$5524,2,0),"")</f>
        <v/>
      </c>
      <c r="U68" s="42"/>
      <c r="V68" s="42" t="str">
        <f t="shared" si="3"/>
        <v/>
      </c>
      <c r="W68" s="44" t="str">
        <f t="shared" si="4"/>
        <v/>
      </c>
      <c r="X68" s="44"/>
      <c r="Y68" s="45">
        <f t="shared" si="5"/>
        <v>0</v>
      </c>
      <c r="Z68" s="46" t="s">
        <v>1075</v>
      </c>
      <c r="AA68" s="46"/>
    </row>
    <row r="69">
      <c r="A69" s="27">
        <v>68.0</v>
      </c>
      <c r="B69" s="21"/>
      <c r="C69" s="21" t="s">
        <v>3</v>
      </c>
      <c r="D69" s="21" t="s">
        <v>245</v>
      </c>
      <c r="E69" s="21" t="s">
        <v>3395</v>
      </c>
      <c r="F69" s="21" t="s">
        <v>2308</v>
      </c>
      <c r="G69" s="21" t="s">
        <v>2346</v>
      </c>
      <c r="H69" s="31">
        <f t="shared" si="6"/>
        <v>763.6363636</v>
      </c>
      <c r="I69" s="73"/>
      <c r="J69" s="61">
        <v>924.0</v>
      </c>
      <c r="K69" s="83">
        <v>0.8</v>
      </c>
      <c r="L69" s="33">
        <f>IF('Global Precios'!J69*(1-I69)*(1+'Global Precios'!K69)&gt;1000,MROUND('Global Precios'!J69*(1-I69)*(1+'Global Precios'!K69),100),MROUND('Global Precios'!J69*(1-I69)*(1+'Global Precios'!K69),10))</f>
        <v>1700</v>
      </c>
      <c r="M69" s="50">
        <v>1.0</v>
      </c>
      <c r="N69" s="84" t="s">
        <v>46</v>
      </c>
      <c r="O69" s="21"/>
      <c r="P69" s="35">
        <v>45139.0</v>
      </c>
      <c r="Q69" s="36">
        <f t="shared" si="2"/>
        <v>27</v>
      </c>
      <c r="R69" s="37">
        <v>30.0</v>
      </c>
      <c r="S69" s="21"/>
      <c r="T69" s="41" t="str">
        <f>IFERROR(VLOOKUP(D69,BUSCARV!$A$1:$C$5524,2,0),"")</f>
        <v/>
      </c>
      <c r="U69" s="42"/>
      <c r="V69" s="42" t="str">
        <f t="shared" si="3"/>
        <v/>
      </c>
      <c r="W69" s="44" t="str">
        <f t="shared" si="4"/>
        <v/>
      </c>
      <c r="X69" s="44"/>
      <c r="Y69" s="45">
        <f t="shared" si="5"/>
        <v>0</v>
      </c>
      <c r="Z69" s="46" t="s">
        <v>1075</v>
      </c>
      <c r="AA69" s="46"/>
    </row>
    <row r="70">
      <c r="A70" s="27">
        <v>69.0</v>
      </c>
      <c r="B70" s="21"/>
      <c r="C70" s="21" t="s">
        <v>3</v>
      </c>
      <c r="D70" s="21" t="s">
        <v>248</v>
      </c>
      <c r="E70" s="21" t="s">
        <v>3395</v>
      </c>
      <c r="F70" s="21" t="s">
        <v>2308</v>
      </c>
      <c r="G70" s="21" t="s">
        <v>2348</v>
      </c>
      <c r="H70" s="31">
        <f t="shared" si="6"/>
        <v>7267.768595</v>
      </c>
      <c r="I70" s="73"/>
      <c r="J70" s="61">
        <v>8794.0</v>
      </c>
      <c r="K70" s="60">
        <v>0.8</v>
      </c>
      <c r="L70" s="33">
        <f>IF('Global Precios'!J70*(1-I70)*(1+'Global Precios'!K70)&gt;10000,MROUND('Global Precios'!J70*(1-I70)*(1+'Global Precios'!K70),1000),MROUND('Global Precios'!J70*(1-I70)*(1+'Global Precios'!K70),500))</f>
        <v>16000</v>
      </c>
      <c r="M70" s="27">
        <v>10.0</v>
      </c>
      <c r="N70" s="34" t="s">
        <v>2496</v>
      </c>
      <c r="O70" s="21"/>
      <c r="P70" s="35">
        <v>45839.0</v>
      </c>
      <c r="Q70" s="36">
        <f t="shared" si="2"/>
        <v>26</v>
      </c>
      <c r="R70" s="37">
        <v>30.0</v>
      </c>
      <c r="S70" s="21"/>
      <c r="T70" s="41">
        <f>IFERROR(VLOOKUP(D70,BUSCARV!$A$1:$C$5524,2,0),"")</f>
        <v>8794</v>
      </c>
      <c r="U70" s="42"/>
      <c r="V70" s="42">
        <f t="shared" si="3"/>
        <v>8794</v>
      </c>
      <c r="W70" s="44">
        <f t="shared" si="4"/>
        <v>0</v>
      </c>
      <c r="X70" s="44"/>
      <c r="Y70" s="45">
        <f t="shared" si="5"/>
        <v>0</v>
      </c>
      <c r="Z70" s="46" t="s">
        <v>449</v>
      </c>
      <c r="AA70" s="46"/>
    </row>
    <row r="71">
      <c r="A71" s="27">
        <v>70.0</v>
      </c>
      <c r="B71" s="21"/>
      <c r="C71" s="21" t="s">
        <v>3</v>
      </c>
      <c r="D71" s="21" t="s">
        <v>251</v>
      </c>
      <c r="E71" s="21" t="s">
        <v>3395</v>
      </c>
      <c r="F71" s="21" t="s">
        <v>2308</v>
      </c>
      <c r="G71" s="21" t="s">
        <v>2348</v>
      </c>
      <c r="H71" s="31">
        <f t="shared" si="6"/>
        <v>6546.280992</v>
      </c>
      <c r="I71" s="73"/>
      <c r="J71" s="61">
        <v>7921.0</v>
      </c>
      <c r="K71" s="60">
        <v>0.8</v>
      </c>
      <c r="L71" s="33">
        <f>IF('Global Precios'!J71*(1-I71)*(1+'Global Precios'!K71)&gt;10000,MROUND('Global Precios'!J71*(1-I71)*(1+'Global Precios'!K71),1000),MROUND('Global Precios'!J71*(1-I71)*(1+'Global Precios'!K71),500))</f>
        <v>14000</v>
      </c>
      <c r="M71" s="27">
        <v>10.0</v>
      </c>
      <c r="N71" s="34" t="s">
        <v>2496</v>
      </c>
      <c r="O71" s="21"/>
      <c r="P71" s="35">
        <v>45839.0</v>
      </c>
      <c r="Q71" s="36">
        <f t="shared" si="2"/>
        <v>27</v>
      </c>
      <c r="R71" s="37">
        <v>30.0</v>
      </c>
      <c r="S71" s="21"/>
      <c r="T71" s="41">
        <f>IFERROR(VLOOKUP(D71,BUSCARV!$A$1:$C$5524,2,0),"")</f>
        <v>7921</v>
      </c>
      <c r="U71" s="42"/>
      <c r="V71" s="42">
        <f t="shared" si="3"/>
        <v>7921</v>
      </c>
      <c r="W71" s="44">
        <f t="shared" si="4"/>
        <v>0</v>
      </c>
      <c r="X71" s="44"/>
      <c r="Y71" s="45">
        <f t="shared" si="5"/>
        <v>0</v>
      </c>
      <c r="Z71" s="46" t="s">
        <v>449</v>
      </c>
      <c r="AA71" s="46"/>
    </row>
    <row r="72">
      <c r="A72" s="27">
        <v>71.0</v>
      </c>
      <c r="B72" s="21"/>
      <c r="C72" s="21" t="s">
        <v>3</v>
      </c>
      <c r="D72" s="21" t="s">
        <v>254</v>
      </c>
      <c r="E72" s="21" t="s">
        <v>3589</v>
      </c>
      <c r="F72" s="21" t="s">
        <v>2308</v>
      </c>
      <c r="G72" s="21" t="s">
        <v>2325</v>
      </c>
      <c r="H72" s="31">
        <f t="shared" si="6"/>
        <v>9019.008264</v>
      </c>
      <c r="I72" s="73"/>
      <c r="J72" s="61">
        <v>10913.0</v>
      </c>
      <c r="K72" s="62">
        <v>0.8</v>
      </c>
      <c r="L72" s="33">
        <f>IF('Global Precios'!J72*(1-I72)*(1+'Global Precios'!K72)&gt;10000,MROUND('Global Precios'!J72*(1-I72)*(1+'Global Precios'!K72),1000),MROUND('Global Precios'!J72*(1-I72)*(1+'Global Precios'!K72),500))</f>
        <v>20000</v>
      </c>
      <c r="M72" s="27">
        <v>100.0</v>
      </c>
      <c r="N72" s="34" t="s">
        <v>2496</v>
      </c>
      <c r="O72" s="21"/>
      <c r="P72" s="35">
        <v>45839.0</v>
      </c>
      <c r="Q72" s="36">
        <f t="shared" si="2"/>
        <v>25</v>
      </c>
      <c r="R72" s="37">
        <v>30.0</v>
      </c>
      <c r="S72" s="21"/>
      <c r="T72" s="41">
        <f>IFERROR(VLOOKUP(D72,BUSCARV!$A$1:$C$5524,2,0),"")</f>
        <v>10913</v>
      </c>
      <c r="U72" s="42"/>
      <c r="V72" s="42">
        <f t="shared" si="3"/>
        <v>10913</v>
      </c>
      <c r="W72" s="44">
        <f t="shared" si="4"/>
        <v>0</v>
      </c>
      <c r="X72" s="44"/>
      <c r="Y72" s="45">
        <f t="shared" si="5"/>
        <v>0</v>
      </c>
      <c r="Z72" s="46" t="s">
        <v>449</v>
      </c>
      <c r="AA72" s="46"/>
    </row>
    <row r="73">
      <c r="A73" s="27">
        <v>72.0</v>
      </c>
      <c r="B73" s="21"/>
      <c r="C73" s="21" t="s">
        <v>3</v>
      </c>
      <c r="D73" s="21" t="s">
        <v>258</v>
      </c>
      <c r="E73" s="21" t="s">
        <v>3589</v>
      </c>
      <c r="F73" s="21" t="s">
        <v>2308</v>
      </c>
      <c r="G73" s="21" t="s">
        <v>2339</v>
      </c>
      <c r="H73" s="31">
        <f t="shared" si="6"/>
        <v>2380.165289</v>
      </c>
      <c r="I73" s="73"/>
      <c r="J73" s="57">
        <v>2880.0</v>
      </c>
      <c r="K73" s="62">
        <v>1.0</v>
      </c>
      <c r="L73" s="33">
        <f>IF('Global Precios'!J73*(1-I73)*(1+'Global Precios'!K73)&gt;10000,MROUND('Global Precios'!J73*(1-I73)*(1+'Global Precios'!K73),1000),MROUND('Global Precios'!J73*(1-I73)*(1+'Global Precios'!K73),500))</f>
        <v>6000</v>
      </c>
      <c r="M73" s="27">
        <v>10.0</v>
      </c>
      <c r="N73" s="34" t="s">
        <v>2727</v>
      </c>
      <c r="O73" s="21"/>
      <c r="P73" s="35">
        <v>45839.0</v>
      </c>
      <c r="Q73" s="36">
        <f t="shared" si="2"/>
        <v>38</v>
      </c>
      <c r="R73" s="37">
        <v>30.0</v>
      </c>
      <c r="S73" s="21"/>
      <c r="T73" s="41" t="str">
        <f>IFERROR(VLOOKUP(D73,BUSCARV!$A$1:$C$5524,2,0),"")</f>
        <v/>
      </c>
      <c r="U73" s="42"/>
      <c r="V73" s="42" t="str">
        <f t="shared" si="3"/>
        <v/>
      </c>
      <c r="W73" s="44" t="str">
        <f t="shared" si="4"/>
        <v/>
      </c>
      <c r="X73" s="44"/>
      <c r="Y73" s="45">
        <f t="shared" si="5"/>
        <v>0</v>
      </c>
      <c r="Z73" s="46" t="s">
        <v>449</v>
      </c>
      <c r="AA73" s="46"/>
    </row>
    <row r="74">
      <c r="A74" s="27">
        <v>73.0</v>
      </c>
      <c r="B74" s="21"/>
      <c r="C74" s="21" t="s">
        <v>3</v>
      </c>
      <c r="D74" s="21" t="s">
        <v>262</v>
      </c>
      <c r="E74" s="21" t="s">
        <v>3077</v>
      </c>
      <c r="F74" s="21" t="s">
        <v>2308</v>
      </c>
      <c r="G74" s="21" t="s">
        <v>2344</v>
      </c>
      <c r="H74" s="31">
        <f t="shared" si="6"/>
        <v>2386.77686</v>
      </c>
      <c r="I74" s="73"/>
      <c r="J74" s="61">
        <v>2888.0</v>
      </c>
      <c r="K74" s="60">
        <v>0.8</v>
      </c>
      <c r="L74" s="33">
        <f>IF('Global Precios'!J74*(1-I74)*(1+'Global Precios'!K74)&gt;10000,MROUND('Global Precios'!J74*(1-I74)*(1+'Global Precios'!K74),1000),MROUND('Global Precios'!J74*(1-I74)*(1+'Global Precios'!K74),500))</f>
        <v>5000</v>
      </c>
      <c r="M74" s="21"/>
      <c r="N74" s="34"/>
      <c r="O74" s="21"/>
      <c r="P74" s="35">
        <v>45839.0</v>
      </c>
      <c r="Q74" s="36">
        <f t="shared" si="2"/>
        <v>26</v>
      </c>
      <c r="R74" s="37">
        <v>30.0</v>
      </c>
      <c r="S74" s="21"/>
      <c r="T74" s="41">
        <f>IFERROR(VLOOKUP(D74,BUSCARV!$A$1:$C$5524,2,0),"")</f>
        <v>2888</v>
      </c>
      <c r="U74" s="42"/>
      <c r="V74" s="42">
        <f t="shared" si="3"/>
        <v>2888</v>
      </c>
      <c r="W74" s="44">
        <f t="shared" si="4"/>
        <v>0</v>
      </c>
      <c r="X74" s="44"/>
      <c r="Y74" s="45">
        <f t="shared" si="5"/>
        <v>0</v>
      </c>
      <c r="Z74" s="46" t="s">
        <v>449</v>
      </c>
      <c r="AA74" s="46"/>
    </row>
    <row r="75">
      <c r="A75" s="27">
        <v>74.0</v>
      </c>
      <c r="B75" s="21"/>
      <c r="C75" s="21" t="s">
        <v>3</v>
      </c>
      <c r="D75" s="21" t="s">
        <v>265</v>
      </c>
      <c r="E75" s="21" t="s">
        <v>3077</v>
      </c>
      <c r="F75" s="21" t="s">
        <v>2308</v>
      </c>
      <c r="G75" s="21" t="s">
        <v>2344</v>
      </c>
      <c r="H75" s="31">
        <f t="shared" si="6"/>
        <v>3222.31405</v>
      </c>
      <c r="I75" s="73"/>
      <c r="J75" s="61">
        <v>3899.0</v>
      </c>
      <c r="K75" s="60">
        <v>0.8</v>
      </c>
      <c r="L75" s="33">
        <f>IF('Global Precios'!J75*(1-I75)*(1+'Global Precios'!K75)&gt;10000,MROUND('Global Precios'!J75*(1-I75)*(1+'Global Precios'!K75),1000),MROUND('Global Precios'!J75*(1-I75)*(1+'Global Precios'!K75),500))</f>
        <v>7000</v>
      </c>
      <c r="M75" s="21"/>
      <c r="N75" s="34"/>
      <c r="O75" s="21"/>
      <c r="P75" s="35">
        <v>45839.0</v>
      </c>
      <c r="Q75" s="36">
        <f t="shared" si="2"/>
        <v>26</v>
      </c>
      <c r="R75" s="37">
        <v>30.0</v>
      </c>
      <c r="S75" s="21"/>
      <c r="T75" s="41">
        <f>IFERROR(VLOOKUP(D75,BUSCARV!$A$1:$C$5524,2,0),"")</f>
        <v>3899</v>
      </c>
      <c r="U75" s="42"/>
      <c r="V75" s="42">
        <f t="shared" si="3"/>
        <v>3899</v>
      </c>
      <c r="W75" s="44">
        <f t="shared" si="4"/>
        <v>0</v>
      </c>
      <c r="X75" s="44"/>
      <c r="Y75" s="45">
        <f t="shared" si="5"/>
        <v>0</v>
      </c>
      <c r="Z75" s="46" t="s">
        <v>449</v>
      </c>
      <c r="AA75" s="46"/>
    </row>
    <row r="76">
      <c r="A76" s="27">
        <v>75.0</v>
      </c>
      <c r="B76" s="21"/>
      <c r="C76" s="21" t="s">
        <v>3</v>
      </c>
      <c r="D76" s="21" t="s">
        <v>269</v>
      </c>
      <c r="E76" s="21" t="s">
        <v>3589</v>
      </c>
      <c r="F76" s="21" t="s">
        <v>2308</v>
      </c>
      <c r="G76" s="21" t="s">
        <v>2339</v>
      </c>
      <c r="H76" s="31">
        <f t="shared" si="6"/>
        <v>1611.570248</v>
      </c>
      <c r="I76" s="73"/>
      <c r="J76" s="57">
        <v>1950.0</v>
      </c>
      <c r="K76" s="62">
        <v>1.0</v>
      </c>
      <c r="L76" s="33">
        <f>IF('Global Precios'!J76*(1-I76)*(1+'Global Precios'!K76)&gt;10000,MROUND('Global Precios'!J76*(1-I76)*(1+'Global Precios'!K76),1000),MROUND('Global Precios'!J76*(1-I76)*(1+'Global Precios'!K76),500))</f>
        <v>4000</v>
      </c>
      <c r="M76" s="27">
        <v>10.0</v>
      </c>
      <c r="N76" s="34" t="s">
        <v>2727</v>
      </c>
      <c r="O76" s="21"/>
      <c r="P76" s="35">
        <v>45839.0</v>
      </c>
      <c r="Q76" s="36">
        <f t="shared" si="2"/>
        <v>48</v>
      </c>
      <c r="R76" s="37">
        <v>30.0</v>
      </c>
      <c r="S76" s="21"/>
      <c r="T76" s="41" t="str">
        <f>IFERROR(VLOOKUP(D76,BUSCARV!$A$1:$C$5524,2,0),"")</f>
        <v/>
      </c>
      <c r="U76" s="42"/>
      <c r="V76" s="42" t="str">
        <f t="shared" si="3"/>
        <v/>
      </c>
      <c r="W76" s="44" t="str">
        <f t="shared" si="4"/>
        <v/>
      </c>
      <c r="X76" s="44"/>
      <c r="Y76" s="45">
        <f t="shared" si="5"/>
        <v>0</v>
      </c>
      <c r="Z76" s="46" t="s">
        <v>449</v>
      </c>
      <c r="AA76" s="46"/>
    </row>
    <row r="77">
      <c r="A77" s="27">
        <v>76.0</v>
      </c>
      <c r="B77" s="21"/>
      <c r="C77" s="21" t="s">
        <v>3</v>
      </c>
      <c r="D77" s="21" t="s">
        <v>272</v>
      </c>
      <c r="E77" s="21" t="s">
        <v>3077</v>
      </c>
      <c r="F77" s="21" t="s">
        <v>2308</v>
      </c>
      <c r="G77" s="21" t="s">
        <v>2344</v>
      </c>
      <c r="H77" s="31">
        <f t="shared" si="6"/>
        <v>4043.801653</v>
      </c>
      <c r="I77" s="73"/>
      <c r="J77" s="61">
        <v>4893.0</v>
      </c>
      <c r="K77" s="60">
        <v>0.8</v>
      </c>
      <c r="L77" s="33">
        <f>IF('Global Precios'!J77*(1-I77)*(1+'Global Precios'!K77)&gt;10000,MROUND('Global Precios'!J77*(1-I77)*(1+'Global Precios'!K77),1000),MROUND('Global Precios'!J77*(1-I77)*(1+'Global Precios'!K77),500))</f>
        <v>9000</v>
      </c>
      <c r="M77" s="21"/>
      <c r="N77" s="34"/>
      <c r="O77" s="21"/>
      <c r="P77" s="35">
        <v>45839.0</v>
      </c>
      <c r="Q77" s="36">
        <f t="shared" si="2"/>
        <v>27</v>
      </c>
      <c r="R77" s="37">
        <v>30.0</v>
      </c>
      <c r="S77" s="21"/>
      <c r="T77" s="41">
        <f>IFERROR(VLOOKUP(D77,BUSCARV!$A$1:$C$5524,2,0),"")</f>
        <v>4893</v>
      </c>
      <c r="U77" s="42"/>
      <c r="V77" s="42">
        <f t="shared" si="3"/>
        <v>4893</v>
      </c>
      <c r="W77" s="44">
        <f t="shared" si="4"/>
        <v>0</v>
      </c>
      <c r="X77" s="44"/>
      <c r="Y77" s="45">
        <f t="shared" si="5"/>
        <v>0</v>
      </c>
      <c r="Z77" s="46" t="s">
        <v>449</v>
      </c>
      <c r="AA77" s="46"/>
    </row>
    <row r="78">
      <c r="A78" s="27">
        <v>77.0</v>
      </c>
      <c r="B78" s="21"/>
      <c r="C78" s="21" t="s">
        <v>3</v>
      </c>
      <c r="D78" s="21" t="s">
        <v>275</v>
      </c>
      <c r="E78" s="21" t="s">
        <v>3278</v>
      </c>
      <c r="F78" s="21" t="s">
        <v>2308</v>
      </c>
      <c r="G78" s="21" t="s">
        <v>2344</v>
      </c>
      <c r="H78" s="31">
        <f t="shared" si="6"/>
        <v>919.0082645</v>
      </c>
      <c r="I78" s="73"/>
      <c r="J78" s="61">
        <v>1112.0</v>
      </c>
      <c r="K78" s="60">
        <v>0.8</v>
      </c>
      <c r="L78" s="33">
        <f>IF('Global Precios'!J78*(1-I78)*(1+'Global Precios'!K78)&gt;1000,MROUND('Global Precios'!J78*(1-I78)*(1+'Global Precios'!K78),100),MROUND('Global Precios'!J78*(1-I78)*(1+'Global Precios'!K78),10))</f>
        <v>2000</v>
      </c>
      <c r="M78" s="21"/>
      <c r="N78" s="34"/>
      <c r="O78" s="21"/>
      <c r="P78" s="35">
        <v>45383.0</v>
      </c>
      <c r="Q78" s="36">
        <f t="shared" si="2"/>
        <v>22</v>
      </c>
      <c r="R78" s="37">
        <v>30.0</v>
      </c>
      <c r="S78" s="21"/>
      <c r="T78" s="41">
        <f>IFERROR(VLOOKUP(D78,BUSCARV!$A$1:$C$5524,2,0),"")</f>
        <v>1312</v>
      </c>
      <c r="U78" s="42"/>
      <c r="V78" s="42">
        <f t="shared" si="3"/>
        <v>1312</v>
      </c>
      <c r="W78" s="44">
        <f t="shared" si="4"/>
        <v>0.1798561151</v>
      </c>
      <c r="X78" s="44"/>
      <c r="Y78" s="45">
        <f t="shared" si="5"/>
        <v>0</v>
      </c>
      <c r="Z78" s="46" t="s">
        <v>1075</v>
      </c>
      <c r="AA78" s="46"/>
    </row>
    <row r="79">
      <c r="A79" s="27">
        <v>78.0</v>
      </c>
      <c r="B79" s="21"/>
      <c r="C79" s="21" t="s">
        <v>3</v>
      </c>
      <c r="D79" s="21" t="s">
        <v>279</v>
      </c>
      <c r="E79" s="21" t="s">
        <v>3278</v>
      </c>
      <c r="F79" s="21" t="s">
        <v>2308</v>
      </c>
      <c r="G79" s="21" t="s">
        <v>2344</v>
      </c>
      <c r="H79" s="31">
        <f t="shared" si="6"/>
        <v>974.3801653</v>
      </c>
      <c r="I79" s="73"/>
      <c r="J79" s="61">
        <v>1179.0</v>
      </c>
      <c r="K79" s="60">
        <v>0.8</v>
      </c>
      <c r="L79" s="33">
        <f>IF('Global Precios'!J79*(1-I79)*(1+'Global Precios'!K79)&gt;1000,MROUND('Global Precios'!J79*(1-I79)*(1+'Global Precios'!K79),100),MROUND('Global Precios'!J79*(1-I79)*(1+'Global Precios'!K79),10))</f>
        <v>2100</v>
      </c>
      <c r="M79" s="21"/>
      <c r="N79" s="34"/>
      <c r="O79" s="21"/>
      <c r="P79" s="35">
        <v>45383.0</v>
      </c>
      <c r="Q79" s="36">
        <f t="shared" si="2"/>
        <v>20</v>
      </c>
      <c r="R79" s="37">
        <v>30.0</v>
      </c>
      <c r="S79" s="21"/>
      <c r="T79" s="41">
        <f>IFERROR(VLOOKUP(D79,BUSCARV!$A$1:$C$5524,2,0),"")</f>
        <v>1391</v>
      </c>
      <c r="U79" s="42"/>
      <c r="V79" s="42">
        <f t="shared" si="3"/>
        <v>1391</v>
      </c>
      <c r="W79" s="44">
        <f t="shared" si="4"/>
        <v>0.1798134012</v>
      </c>
      <c r="X79" s="44"/>
      <c r="Y79" s="45">
        <f t="shared" si="5"/>
        <v>0</v>
      </c>
      <c r="Z79" s="46" t="s">
        <v>1075</v>
      </c>
      <c r="AA79" s="46"/>
    </row>
    <row r="80">
      <c r="A80" s="27">
        <v>79.0</v>
      </c>
      <c r="B80" s="21"/>
      <c r="C80" s="21" t="s">
        <v>3</v>
      </c>
      <c r="D80" s="21" t="s">
        <v>282</v>
      </c>
      <c r="E80" s="21" t="s">
        <v>3278</v>
      </c>
      <c r="F80" s="21" t="s">
        <v>2308</v>
      </c>
      <c r="G80" s="21" t="s">
        <v>2344</v>
      </c>
      <c r="H80" s="31">
        <f t="shared" si="6"/>
        <v>1306.61157</v>
      </c>
      <c r="I80" s="73"/>
      <c r="J80" s="61">
        <v>1581.0</v>
      </c>
      <c r="K80" s="60">
        <v>0.8</v>
      </c>
      <c r="L80" s="33">
        <f>IF('Global Precios'!J80*(1-I80)*(1+'Global Precios'!K80)&gt;1000,MROUND('Global Precios'!J80*(1-I80)*(1+'Global Precios'!K80),100),MROUND('Global Precios'!J80*(1-I80)*(1+'Global Precios'!K80),10))</f>
        <v>2800</v>
      </c>
      <c r="M80" s="21"/>
      <c r="N80" s="34"/>
      <c r="O80" s="21"/>
      <c r="P80" s="35">
        <v>45383.0</v>
      </c>
      <c r="Q80" s="36">
        <f t="shared" si="2"/>
        <v>27</v>
      </c>
      <c r="R80" s="37">
        <v>30.0</v>
      </c>
      <c r="S80" s="21"/>
      <c r="T80" s="41">
        <f>IFERROR(VLOOKUP(D80,BUSCARV!$A$1:$C$5524,2,0),"")</f>
        <v>1866</v>
      </c>
      <c r="U80" s="42"/>
      <c r="V80" s="42">
        <f t="shared" si="3"/>
        <v>1866</v>
      </c>
      <c r="W80" s="44">
        <f t="shared" si="4"/>
        <v>0.1802656546</v>
      </c>
      <c r="X80" s="44"/>
      <c r="Y80" s="45">
        <f t="shared" si="5"/>
        <v>0</v>
      </c>
      <c r="Z80" s="46" t="s">
        <v>1075</v>
      </c>
      <c r="AA80" s="46"/>
    </row>
    <row r="81">
      <c r="A81" s="27">
        <v>80.0</v>
      </c>
      <c r="B81" s="21"/>
      <c r="C81" s="21" t="s">
        <v>3</v>
      </c>
      <c r="D81" s="21" t="s">
        <v>286</v>
      </c>
      <c r="E81" s="21" t="s">
        <v>3278</v>
      </c>
      <c r="F81" s="21" t="s">
        <v>2308</v>
      </c>
      <c r="G81" s="21" t="s">
        <v>2344</v>
      </c>
      <c r="H81" s="31">
        <f t="shared" si="6"/>
        <v>1466.115702</v>
      </c>
      <c r="I81" s="73"/>
      <c r="J81" s="61">
        <v>1774.0</v>
      </c>
      <c r="K81" s="60">
        <v>0.8</v>
      </c>
      <c r="L81" s="33">
        <f>IF('Global Precios'!J81*(1-I81)*(1+'Global Precios'!K81)&gt;1000,MROUND('Global Precios'!J81*(1-I81)*(1+'Global Precios'!K81),100),MROUND('Global Precios'!J81*(1-I81)*(1+'Global Precios'!K81),10))</f>
        <v>3200</v>
      </c>
      <c r="M81" s="21"/>
      <c r="N81" s="34"/>
      <c r="O81" s="21"/>
      <c r="P81" s="35">
        <v>45383.0</v>
      </c>
      <c r="Q81" s="36">
        <f t="shared" si="2"/>
        <v>27</v>
      </c>
      <c r="R81" s="37">
        <v>30.0</v>
      </c>
      <c r="S81" s="21"/>
      <c r="T81" s="41">
        <f>IFERROR(VLOOKUP(D81,BUSCARV!$A$1:$C$5524,2,0),"")</f>
        <v>2093</v>
      </c>
      <c r="U81" s="42"/>
      <c r="V81" s="42">
        <f t="shared" si="3"/>
        <v>2093</v>
      </c>
      <c r="W81" s="44">
        <f t="shared" si="4"/>
        <v>0.1798196167</v>
      </c>
      <c r="X81" s="44"/>
      <c r="Y81" s="45">
        <f t="shared" si="5"/>
        <v>0</v>
      </c>
      <c r="Z81" s="46" t="s">
        <v>1075</v>
      </c>
      <c r="AA81" s="46"/>
    </row>
    <row r="82">
      <c r="A82" s="27">
        <v>81.0</v>
      </c>
      <c r="B82" s="21"/>
      <c r="C82" s="21" t="s">
        <v>3</v>
      </c>
      <c r="D82" s="21" t="s">
        <v>290</v>
      </c>
      <c r="E82" s="21" t="s">
        <v>3278</v>
      </c>
      <c r="F82" s="21" t="s">
        <v>2308</v>
      </c>
      <c r="G82" s="21" t="s">
        <v>2344</v>
      </c>
      <c r="H82" s="31">
        <f t="shared" si="6"/>
        <v>1155.371901</v>
      </c>
      <c r="I82" s="73"/>
      <c r="J82" s="61">
        <v>1398.0</v>
      </c>
      <c r="K82" s="60">
        <v>0.8</v>
      </c>
      <c r="L82" s="33">
        <f>IF('Global Precios'!J82*(1-I82)*(1+'Global Precios'!K82)&gt;1000,MROUND('Global Precios'!J82*(1-I82)*(1+'Global Precios'!K82),100),MROUND('Global Precios'!J82*(1-I82)*(1+'Global Precios'!K82),10))</f>
        <v>2500</v>
      </c>
      <c r="M82" s="21"/>
      <c r="N82" s="34"/>
      <c r="O82" s="21"/>
      <c r="P82" s="35">
        <v>45383.0</v>
      </c>
      <c r="Q82" s="36">
        <f t="shared" si="2"/>
        <v>26</v>
      </c>
      <c r="R82" s="37">
        <v>30.0</v>
      </c>
      <c r="S82" s="21"/>
      <c r="T82" s="41">
        <f>IFERROR(VLOOKUP(D82,BUSCARV!$A$1:$C$5524,2,0),"")</f>
        <v>1649</v>
      </c>
      <c r="U82" s="42"/>
      <c r="V82" s="42">
        <f t="shared" si="3"/>
        <v>1649</v>
      </c>
      <c r="W82" s="44">
        <f t="shared" si="4"/>
        <v>0.1795422031</v>
      </c>
      <c r="X82" s="44"/>
      <c r="Y82" s="45">
        <f t="shared" si="5"/>
        <v>0</v>
      </c>
      <c r="Z82" s="46" t="s">
        <v>1075</v>
      </c>
      <c r="AA82" s="46"/>
    </row>
    <row r="83">
      <c r="A83" s="27">
        <v>82.0</v>
      </c>
      <c r="B83" s="21"/>
      <c r="C83" s="21" t="s">
        <v>3</v>
      </c>
      <c r="D83" s="21" t="s">
        <v>294</v>
      </c>
      <c r="E83" s="21" t="s">
        <v>3589</v>
      </c>
      <c r="F83" s="21" t="s">
        <v>2308</v>
      </c>
      <c r="G83" s="21" t="s">
        <v>2339</v>
      </c>
      <c r="H83" s="31">
        <f t="shared" si="6"/>
        <v>3399.173554</v>
      </c>
      <c r="I83" s="73"/>
      <c r="J83" s="61">
        <v>4113.0</v>
      </c>
      <c r="K83" s="62">
        <v>1.0</v>
      </c>
      <c r="L83" s="33">
        <f>IF('Global Precios'!J83*(1-I83)*(1+'Global Precios'!K83)&gt;10000,MROUND('Global Precios'!J83*(1-I83)*(1+'Global Precios'!K83),1000),MROUND('Global Precios'!J83*(1-I83)*(1+'Global Precios'!K83),500))</f>
        <v>8000</v>
      </c>
      <c r="M83" s="27">
        <v>100.0</v>
      </c>
      <c r="N83" s="34" t="s">
        <v>4123</v>
      </c>
      <c r="O83" s="21"/>
      <c r="P83" s="35">
        <v>45839.0</v>
      </c>
      <c r="Q83" s="36">
        <f t="shared" si="2"/>
        <v>29</v>
      </c>
      <c r="R83" s="37">
        <v>30.0</v>
      </c>
      <c r="S83" s="21"/>
      <c r="T83" s="41">
        <f>IFERROR(VLOOKUP(D83,BUSCARV!$A$1:$C$5524,2,0),"")</f>
        <v>4113</v>
      </c>
      <c r="U83" s="42"/>
      <c r="V83" s="42">
        <f t="shared" si="3"/>
        <v>4113</v>
      </c>
      <c r="W83" s="44">
        <f t="shared" si="4"/>
        <v>0</v>
      </c>
      <c r="X83" s="44"/>
      <c r="Y83" s="45">
        <f t="shared" si="5"/>
        <v>0</v>
      </c>
      <c r="Z83" s="46" t="s">
        <v>449</v>
      </c>
      <c r="AA83" s="46"/>
    </row>
    <row r="84">
      <c r="A84" s="27">
        <v>83.0</v>
      </c>
      <c r="B84" s="21"/>
      <c r="C84" s="21" t="s">
        <v>3</v>
      </c>
      <c r="D84" s="21" t="s">
        <v>297</v>
      </c>
      <c r="E84" s="21" t="s">
        <v>3589</v>
      </c>
      <c r="F84" s="21" t="s">
        <v>2308</v>
      </c>
      <c r="G84" s="21" t="s">
        <v>2325</v>
      </c>
      <c r="H84" s="31">
        <f t="shared" si="6"/>
        <v>4148.760331</v>
      </c>
      <c r="I84" s="73"/>
      <c r="J84" s="61">
        <v>5020.0</v>
      </c>
      <c r="K84" s="62">
        <v>0.8</v>
      </c>
      <c r="L84" s="33">
        <f>IF('Global Precios'!J84*(1-I84)*(1+'Global Precios'!K84)&gt;10000,MROUND('Global Precios'!J84*(1-I84)*(1+'Global Precios'!K84),1000),MROUND('Global Precios'!J84*(1-I84)*(1+'Global Precios'!K84),500))</f>
        <v>9000</v>
      </c>
      <c r="M84" s="27">
        <v>15.0</v>
      </c>
      <c r="N84" s="34" t="s">
        <v>2496</v>
      </c>
      <c r="O84" s="21"/>
      <c r="P84" s="35">
        <v>45839.0</v>
      </c>
      <c r="Q84" s="36">
        <f t="shared" si="2"/>
        <v>28</v>
      </c>
      <c r="R84" s="37">
        <v>30.0</v>
      </c>
      <c r="S84" s="21"/>
      <c r="T84" s="41">
        <f>IFERROR(VLOOKUP(D84,BUSCARV!$A$1:$C$5524,2,0),"")</f>
        <v>5020</v>
      </c>
      <c r="U84" s="42"/>
      <c r="V84" s="42">
        <f t="shared" si="3"/>
        <v>5020</v>
      </c>
      <c r="W84" s="44">
        <f t="shared" si="4"/>
        <v>0</v>
      </c>
      <c r="X84" s="44"/>
      <c r="Y84" s="45">
        <f t="shared" si="5"/>
        <v>0</v>
      </c>
      <c r="Z84" s="46" t="s">
        <v>449</v>
      </c>
      <c r="AA84" s="46"/>
    </row>
    <row r="85">
      <c r="A85" s="27">
        <v>84.0</v>
      </c>
      <c r="B85" s="21"/>
      <c r="C85" s="21" t="s">
        <v>3</v>
      </c>
      <c r="D85" s="21" t="s">
        <v>300</v>
      </c>
      <c r="E85" s="21" t="s">
        <v>4189</v>
      </c>
      <c r="F85" s="21" t="s">
        <v>2308</v>
      </c>
      <c r="G85" s="21" t="s">
        <v>2346</v>
      </c>
      <c r="H85" s="31">
        <f t="shared" si="6"/>
        <v>702.4793388</v>
      </c>
      <c r="I85" s="73"/>
      <c r="J85" s="57">
        <v>850.0</v>
      </c>
      <c r="K85" s="83">
        <v>0.8</v>
      </c>
      <c r="L85" s="33">
        <f>IF('Global Precios'!J85*(1-I85)*(1+'Global Precios'!K85)&gt;10000,MROUND('Global Precios'!J85*(1-I85)*(1+'Global Precios'!K85),1000),MROUND('Global Precios'!J85*(1-I85)*(1+'Global Precios'!K85),500))</f>
        <v>1500</v>
      </c>
      <c r="M85" s="27">
        <v>1.0</v>
      </c>
      <c r="N85" s="34" t="s">
        <v>2727</v>
      </c>
      <c r="O85" s="21"/>
      <c r="P85" s="35">
        <v>45839.0</v>
      </c>
      <c r="Q85" s="36">
        <f t="shared" si="2"/>
        <v>40</v>
      </c>
      <c r="R85" s="37">
        <v>30.0</v>
      </c>
      <c r="S85" s="21"/>
      <c r="T85" s="41" t="str">
        <f>IFERROR(VLOOKUP(D85,BUSCARV!$A$1:$C$5524,2,0),"")</f>
        <v/>
      </c>
      <c r="U85" s="42"/>
      <c r="V85" s="42" t="str">
        <f t="shared" si="3"/>
        <v/>
      </c>
      <c r="W85" s="44" t="str">
        <f t="shared" si="4"/>
        <v/>
      </c>
      <c r="X85" s="44"/>
      <c r="Y85" s="45">
        <f t="shared" si="5"/>
        <v>0</v>
      </c>
      <c r="Z85" s="46" t="s">
        <v>449</v>
      </c>
      <c r="AA85" s="46"/>
    </row>
    <row r="86">
      <c r="A86" s="27">
        <v>85.0</v>
      </c>
      <c r="B86" s="21"/>
      <c r="C86" s="21" t="s">
        <v>3</v>
      </c>
      <c r="D86" s="21" t="s">
        <v>304</v>
      </c>
      <c r="E86" s="21" t="s">
        <v>4189</v>
      </c>
      <c r="F86" s="21" t="s">
        <v>2308</v>
      </c>
      <c r="G86" s="21" t="s">
        <v>2346</v>
      </c>
      <c r="H86" s="31">
        <f t="shared" si="6"/>
        <v>6446.280992</v>
      </c>
      <c r="I86" s="73"/>
      <c r="J86" s="57">
        <v>7800.0</v>
      </c>
      <c r="K86" s="62">
        <v>1.0</v>
      </c>
      <c r="L86" s="33">
        <f>IF('Global Precios'!J86*(1-I86)*(1+'Global Precios'!K86)&gt;10000,MROUND('Global Precios'!J86*(1-I86)*(1+'Global Precios'!K86),1000),MROUND('Global Precios'!J86*(1-I86)*(1+'Global Precios'!K86),500))</f>
        <v>16000</v>
      </c>
      <c r="M86" s="27">
        <v>10.0</v>
      </c>
      <c r="N86" s="34" t="s">
        <v>2496</v>
      </c>
      <c r="O86" s="21"/>
      <c r="P86" s="35">
        <v>45839.0</v>
      </c>
      <c r="Q86" s="36">
        <f t="shared" si="2"/>
        <v>35</v>
      </c>
      <c r="R86" s="37">
        <v>30.0</v>
      </c>
      <c r="S86" s="21"/>
      <c r="T86" s="41" t="str">
        <f>IFERROR(VLOOKUP(D86,BUSCARV!$A$1:$C$5524,2,0),"")</f>
        <v/>
      </c>
      <c r="U86" s="42"/>
      <c r="V86" s="42" t="str">
        <f t="shared" si="3"/>
        <v/>
      </c>
      <c r="W86" s="44" t="str">
        <f t="shared" si="4"/>
        <v/>
      </c>
      <c r="X86" s="44"/>
      <c r="Y86" s="45">
        <f t="shared" si="5"/>
        <v>0</v>
      </c>
      <c r="Z86" s="46" t="s">
        <v>449</v>
      </c>
      <c r="AA86" s="46"/>
    </row>
    <row r="87">
      <c r="A87" s="27">
        <v>86.0</v>
      </c>
      <c r="B87" s="21"/>
      <c r="C87" s="21" t="s">
        <v>3</v>
      </c>
      <c r="D87" s="21" t="s">
        <v>307</v>
      </c>
      <c r="E87" s="21" t="s">
        <v>4272</v>
      </c>
      <c r="F87" s="21" t="s">
        <v>2308</v>
      </c>
      <c r="G87" s="21" t="s">
        <v>2333</v>
      </c>
      <c r="H87" s="31">
        <f t="shared" si="6"/>
        <v>4705.785124</v>
      </c>
      <c r="I87" s="73"/>
      <c r="J87" s="61">
        <v>5694.0</v>
      </c>
      <c r="K87" s="60">
        <v>0.8</v>
      </c>
      <c r="L87" s="33">
        <f>IF('Global Precios'!J87*(1-I87)*(1+'Global Precios'!K87)&gt;10000,MROUND('Global Precios'!J87*(1-I87)*(1+'Global Precios'!K87),1000),MROUND('Global Precios'!J87*(1-I87)*(1+'Global Precios'!K87),500))</f>
        <v>10000</v>
      </c>
      <c r="M87" s="27">
        <v>250.0</v>
      </c>
      <c r="N87" s="34" t="s">
        <v>2496</v>
      </c>
      <c r="O87" s="21"/>
      <c r="P87" s="35">
        <v>45839.0</v>
      </c>
      <c r="Q87" s="36">
        <f t="shared" si="2"/>
        <v>33</v>
      </c>
      <c r="R87" s="37">
        <v>30.0</v>
      </c>
      <c r="S87" s="21"/>
      <c r="T87" s="41">
        <f>IFERROR(VLOOKUP(D87,BUSCARV!$A$1:$C$5524,2,0),"")</f>
        <v>5694</v>
      </c>
      <c r="U87" s="42"/>
      <c r="V87" s="42">
        <f t="shared" si="3"/>
        <v>5694</v>
      </c>
      <c r="W87" s="44">
        <f t="shared" si="4"/>
        <v>0</v>
      </c>
      <c r="X87" s="44"/>
      <c r="Y87" s="45">
        <f t="shared" si="5"/>
        <v>0</v>
      </c>
      <c r="Z87" s="46" t="s">
        <v>449</v>
      </c>
      <c r="AA87" s="46"/>
    </row>
    <row r="88">
      <c r="A88" s="27">
        <v>87.0</v>
      </c>
      <c r="B88" s="21"/>
      <c r="C88" s="21" t="s">
        <v>3</v>
      </c>
      <c r="D88" s="21" t="s">
        <v>311</v>
      </c>
      <c r="E88" s="21" t="s">
        <v>4272</v>
      </c>
      <c r="F88" s="21" t="s">
        <v>2308</v>
      </c>
      <c r="G88" s="21" t="s">
        <v>2333</v>
      </c>
      <c r="H88" s="31">
        <f t="shared" si="6"/>
        <v>5064.46281</v>
      </c>
      <c r="I88" s="73"/>
      <c r="J88" s="61">
        <v>6128.0</v>
      </c>
      <c r="K88" s="60">
        <v>0.8</v>
      </c>
      <c r="L88" s="33">
        <f>IF('Global Precios'!J88*(1-I88)*(1+'Global Precios'!K88)&gt;10000,MROUND('Global Precios'!J88*(1-I88)*(1+'Global Precios'!K88),1000),MROUND('Global Precios'!J88*(1-I88)*(1+'Global Precios'!K88),500))</f>
        <v>11000</v>
      </c>
      <c r="M88" s="27">
        <v>250.0</v>
      </c>
      <c r="N88" s="34" t="s">
        <v>2496</v>
      </c>
      <c r="O88" s="21"/>
      <c r="P88" s="35">
        <v>45839.0</v>
      </c>
      <c r="Q88" s="36">
        <f t="shared" si="2"/>
        <v>26</v>
      </c>
      <c r="R88" s="37">
        <v>30.0</v>
      </c>
      <c r="S88" s="21"/>
      <c r="T88" s="41">
        <f>IFERROR(VLOOKUP(D88,BUSCARV!$A$1:$C$5524,2,0),"")</f>
        <v>6128</v>
      </c>
      <c r="U88" s="42"/>
      <c r="V88" s="42">
        <f t="shared" si="3"/>
        <v>6128</v>
      </c>
      <c r="W88" s="44">
        <f t="shared" si="4"/>
        <v>0</v>
      </c>
      <c r="X88" s="44"/>
      <c r="Y88" s="45">
        <f t="shared" si="5"/>
        <v>0</v>
      </c>
      <c r="Z88" s="46" t="s">
        <v>449</v>
      </c>
      <c r="AA88" s="46"/>
    </row>
    <row r="89">
      <c r="A89" s="27">
        <v>88.0</v>
      </c>
      <c r="B89" s="21"/>
      <c r="C89" s="21" t="s">
        <v>3</v>
      </c>
      <c r="D89" s="21" t="s">
        <v>315</v>
      </c>
      <c r="E89" s="21" t="s">
        <v>4272</v>
      </c>
      <c r="F89" s="21" t="s">
        <v>2308</v>
      </c>
      <c r="G89" s="21" t="s">
        <v>2333</v>
      </c>
      <c r="H89" s="31">
        <f t="shared" si="6"/>
        <v>2650.413223</v>
      </c>
      <c r="I89" s="73"/>
      <c r="J89" s="61">
        <v>3207.0</v>
      </c>
      <c r="K89" s="60">
        <v>0.8</v>
      </c>
      <c r="L89" s="33">
        <f>IF('Global Precios'!J89*(1-I89)*(1+'Global Precios'!K89)&gt;1000,MROUND('Global Precios'!J89*(1-I89)*(1+'Global Precios'!K89),100),MROUND('Global Precios'!J89*(1-I89)*(1+'Global Precios'!K89),10))</f>
        <v>5800</v>
      </c>
      <c r="M89" s="27">
        <v>250.0</v>
      </c>
      <c r="N89" s="34" t="s">
        <v>2496</v>
      </c>
      <c r="O89" s="21"/>
      <c r="P89" s="35">
        <v>45383.0</v>
      </c>
      <c r="Q89" s="36">
        <f t="shared" si="2"/>
        <v>40</v>
      </c>
      <c r="R89" s="37">
        <v>30.0</v>
      </c>
      <c r="S89" s="21"/>
      <c r="T89" s="41">
        <f>IFERROR(VLOOKUP(D89,BUSCARV!$A$1:$C$5524,2,0),"")</f>
        <v>4932</v>
      </c>
      <c r="U89" s="42"/>
      <c r="V89" s="42">
        <f t="shared" si="3"/>
        <v>4932</v>
      </c>
      <c r="W89" s="44">
        <f t="shared" si="4"/>
        <v>0.5378858746</v>
      </c>
      <c r="X89" s="44"/>
      <c r="Y89" s="45">
        <f t="shared" si="5"/>
        <v>0</v>
      </c>
      <c r="Z89" s="46" t="s">
        <v>1075</v>
      </c>
      <c r="AA89" s="46"/>
    </row>
    <row r="90">
      <c r="A90" s="27">
        <v>89.0</v>
      </c>
      <c r="B90" s="21"/>
      <c r="C90" s="21" t="s">
        <v>3</v>
      </c>
      <c r="D90" s="21" t="s">
        <v>317</v>
      </c>
      <c r="E90" s="21" t="s">
        <v>4272</v>
      </c>
      <c r="F90" s="21" t="s">
        <v>2308</v>
      </c>
      <c r="G90" s="21" t="s">
        <v>2333</v>
      </c>
      <c r="H90" s="31">
        <f t="shared" si="6"/>
        <v>4271.900826</v>
      </c>
      <c r="I90" s="73"/>
      <c r="J90" s="61">
        <v>5169.0</v>
      </c>
      <c r="K90" s="60">
        <v>0.8</v>
      </c>
      <c r="L90" s="33">
        <f>IF('Global Precios'!J90*(1-I90)*(1+'Global Precios'!K90)&gt;10000,MROUND('Global Precios'!J90*(1-I90)*(1+'Global Precios'!K90),1000),MROUND('Global Precios'!J90*(1-I90)*(1+'Global Precios'!K90),500))</f>
        <v>9500</v>
      </c>
      <c r="M90" s="27">
        <v>250.0</v>
      </c>
      <c r="N90" s="34" t="s">
        <v>2496</v>
      </c>
      <c r="O90" s="21"/>
      <c r="P90" s="35">
        <v>45839.0</v>
      </c>
      <c r="Q90" s="36">
        <f t="shared" si="2"/>
        <v>31</v>
      </c>
      <c r="R90" s="37">
        <v>30.0</v>
      </c>
      <c r="S90" s="21"/>
      <c r="T90" s="41">
        <f>IFERROR(VLOOKUP(D90,BUSCARV!$A$1:$C$5524,2,0),"")</f>
        <v>5169</v>
      </c>
      <c r="U90" s="42"/>
      <c r="V90" s="42">
        <f t="shared" si="3"/>
        <v>5169</v>
      </c>
      <c r="W90" s="44">
        <f t="shared" si="4"/>
        <v>0</v>
      </c>
      <c r="X90" s="44"/>
      <c r="Y90" s="45">
        <f t="shared" si="5"/>
        <v>0</v>
      </c>
      <c r="Z90" s="46" t="s">
        <v>449</v>
      </c>
      <c r="AA90" s="46"/>
    </row>
    <row r="91">
      <c r="A91" s="27">
        <v>90.0</v>
      </c>
      <c r="B91" s="21"/>
      <c r="C91" s="21" t="s">
        <v>3</v>
      </c>
      <c r="D91" s="21" t="s">
        <v>320</v>
      </c>
      <c r="E91" s="21" t="s">
        <v>4272</v>
      </c>
      <c r="F91" s="21" t="s">
        <v>2308</v>
      </c>
      <c r="G91" s="21" t="s">
        <v>2333</v>
      </c>
      <c r="H91" s="31">
        <f t="shared" si="6"/>
        <v>3717.355372</v>
      </c>
      <c r="I91" s="73"/>
      <c r="J91" s="61">
        <v>4498.0</v>
      </c>
      <c r="K91" s="60">
        <v>0.8</v>
      </c>
      <c r="L91" s="33">
        <f>IF('Global Precios'!J91*(1-I91)*(1+'Global Precios'!K91)&gt;10000,MROUND('Global Precios'!J91*(1-I91)*(1+'Global Precios'!K91),1000),MROUND('Global Precios'!J91*(1-I91)*(1+'Global Precios'!K91),500))</f>
        <v>8000</v>
      </c>
      <c r="M91" s="21"/>
      <c r="N91" s="34"/>
      <c r="O91" s="21"/>
      <c r="P91" s="35">
        <v>45839.0</v>
      </c>
      <c r="Q91" s="36">
        <f t="shared" si="2"/>
        <v>37</v>
      </c>
      <c r="R91" s="37">
        <v>30.0</v>
      </c>
      <c r="S91" s="21"/>
      <c r="T91" s="41">
        <f>IFERROR(VLOOKUP(D91,BUSCARV!$A$1:$C$5524,2,0),"")</f>
        <v>5169</v>
      </c>
      <c r="U91" s="42"/>
      <c r="V91" s="42">
        <f t="shared" si="3"/>
        <v>5169</v>
      </c>
      <c r="W91" s="44">
        <f t="shared" si="4"/>
        <v>0.1491774122</v>
      </c>
      <c r="X91" s="44"/>
      <c r="Y91" s="45">
        <f t="shared" si="5"/>
        <v>0</v>
      </c>
      <c r="Z91" s="46" t="s">
        <v>1075</v>
      </c>
      <c r="AA91" s="46"/>
    </row>
    <row r="92">
      <c r="A92" s="27">
        <v>91.0</v>
      </c>
      <c r="B92" s="21"/>
      <c r="C92" s="21" t="s">
        <v>3</v>
      </c>
      <c r="D92" s="21" t="s">
        <v>323</v>
      </c>
      <c r="E92" s="21" t="s">
        <v>4282</v>
      </c>
      <c r="F92" s="21" t="s">
        <v>2308</v>
      </c>
      <c r="G92" s="21" t="s">
        <v>2350</v>
      </c>
      <c r="H92" s="31">
        <f t="shared" si="6"/>
        <v>8557.024793</v>
      </c>
      <c r="I92" s="73"/>
      <c r="J92" s="61">
        <v>10354.0</v>
      </c>
      <c r="K92" s="60">
        <v>0.8</v>
      </c>
      <c r="L92" s="33">
        <f>IF('Global Precios'!J92*(1-I92)*(1+'Global Precios'!K92)&gt;10000,MROUND('Global Precios'!J92*(1-I92)*(1+'Global Precios'!K92),1000),MROUND('Global Precios'!J92*(1-I92)*(1+'Global Precios'!K92),500))</f>
        <v>19000</v>
      </c>
      <c r="M92" s="27">
        <v>10.0</v>
      </c>
      <c r="N92" s="34" t="s">
        <v>4283</v>
      </c>
      <c r="O92" s="21"/>
      <c r="P92" s="35">
        <v>45839.0</v>
      </c>
      <c r="Q92" s="36">
        <f t="shared" si="2"/>
        <v>28</v>
      </c>
      <c r="R92" s="37">
        <v>30.0</v>
      </c>
      <c r="S92" s="21"/>
      <c r="T92" s="41">
        <f>IFERROR(VLOOKUP(D92,BUSCARV!$A$1:$C$5524,2,0),"")</f>
        <v>8734</v>
      </c>
      <c r="U92" s="42"/>
      <c r="V92" s="42">
        <f t="shared" si="3"/>
        <v>8734</v>
      </c>
      <c r="W92" s="44">
        <f t="shared" si="4"/>
        <v>-0.156461271</v>
      </c>
      <c r="X92" s="44"/>
      <c r="Y92" s="45">
        <f t="shared" si="5"/>
        <v>0</v>
      </c>
      <c r="Z92" s="46" t="s">
        <v>449</v>
      </c>
      <c r="AA92" s="46"/>
    </row>
    <row r="93">
      <c r="A93" s="27">
        <v>92.0</v>
      </c>
      <c r="B93" s="21"/>
      <c r="C93" s="21" t="s">
        <v>3</v>
      </c>
      <c r="D93" s="21" t="s">
        <v>326</v>
      </c>
      <c r="E93" s="21" t="s">
        <v>4282</v>
      </c>
      <c r="F93" s="21" t="s">
        <v>2308</v>
      </c>
      <c r="G93" s="21" t="s">
        <v>2350</v>
      </c>
      <c r="H93" s="31">
        <f t="shared" si="6"/>
        <v>8729.752066</v>
      </c>
      <c r="I93" s="73"/>
      <c r="J93" s="61">
        <v>10563.0</v>
      </c>
      <c r="K93" s="60">
        <v>0.8</v>
      </c>
      <c r="L93" s="33">
        <f>IF('Global Precios'!J93*(1-I93)*(1+'Global Precios'!K93)&gt;10000,MROUND('Global Precios'!J93*(1-I93)*(1+'Global Precios'!K93),1000),MROUND('Global Precios'!J93*(1-I93)*(1+'Global Precios'!K93),500))</f>
        <v>19000</v>
      </c>
      <c r="M93" s="27">
        <v>20.0</v>
      </c>
      <c r="N93" s="34" t="s">
        <v>4283</v>
      </c>
      <c r="O93" s="21"/>
      <c r="P93" s="35">
        <v>45839.0</v>
      </c>
      <c r="Q93" s="36">
        <f t="shared" si="2"/>
        <v>27</v>
      </c>
      <c r="R93" s="37">
        <v>30.0</v>
      </c>
      <c r="S93" s="21"/>
      <c r="T93" s="41">
        <f>IFERROR(VLOOKUP(D93,BUSCARV!$A$1:$C$5524,2,0),"")</f>
        <v>8899</v>
      </c>
      <c r="U93" s="42"/>
      <c r="V93" s="42">
        <f t="shared" si="3"/>
        <v>8899</v>
      </c>
      <c r="W93" s="44">
        <f t="shared" si="4"/>
        <v>-0.1575310044</v>
      </c>
      <c r="X93" s="44"/>
      <c r="Y93" s="45">
        <f t="shared" si="5"/>
        <v>0</v>
      </c>
      <c r="Z93" s="46" t="s">
        <v>449</v>
      </c>
      <c r="AA93" s="46"/>
    </row>
    <row r="94">
      <c r="A94" s="27">
        <v>93.0</v>
      </c>
      <c r="B94" s="21"/>
      <c r="C94" s="21" t="s">
        <v>3</v>
      </c>
      <c r="D94" s="21" t="s">
        <v>330</v>
      </c>
      <c r="E94" s="21" t="s">
        <v>4282</v>
      </c>
      <c r="F94" s="21" t="s">
        <v>2308</v>
      </c>
      <c r="G94" s="21" t="s">
        <v>2350</v>
      </c>
      <c r="H94" s="31">
        <f t="shared" si="6"/>
        <v>11314.04959</v>
      </c>
      <c r="I94" s="73"/>
      <c r="J94" s="61">
        <v>13690.0</v>
      </c>
      <c r="K94" s="60">
        <v>0.8</v>
      </c>
      <c r="L94" s="33">
        <f>IF('Global Precios'!J94*(1-I94)*(1+'Global Precios'!K94)&gt;10000,MROUND('Global Precios'!J94*(1-I94)*(1+'Global Precios'!K94),1000),MROUND('Global Precios'!J94*(1-I94)*(1+'Global Precios'!K94),500))</f>
        <v>25000</v>
      </c>
      <c r="M94" s="27">
        <v>40.0</v>
      </c>
      <c r="N94" s="34" t="s">
        <v>4283</v>
      </c>
      <c r="O94" s="21"/>
      <c r="P94" s="35">
        <v>45839.0</v>
      </c>
      <c r="Q94" s="36">
        <f t="shared" si="2"/>
        <v>28</v>
      </c>
      <c r="R94" s="37">
        <v>30.0</v>
      </c>
      <c r="S94" s="21"/>
      <c r="T94" s="41">
        <f>IFERROR(VLOOKUP(D94,BUSCARV!$A$1:$C$5524,2,0),"")</f>
        <v>11536</v>
      </c>
      <c r="U94" s="42"/>
      <c r="V94" s="42">
        <f t="shared" si="3"/>
        <v>11536</v>
      </c>
      <c r="W94" s="44">
        <f t="shared" si="4"/>
        <v>-0.1573411249</v>
      </c>
      <c r="X94" s="44"/>
      <c r="Y94" s="45">
        <f t="shared" si="5"/>
        <v>0</v>
      </c>
      <c r="Z94" s="46" t="s">
        <v>449</v>
      </c>
      <c r="AA94" s="46"/>
    </row>
    <row r="95">
      <c r="A95" s="27">
        <v>94.0</v>
      </c>
      <c r="B95" s="21"/>
      <c r="C95" s="21" t="s">
        <v>3</v>
      </c>
      <c r="D95" s="21" t="s">
        <v>343</v>
      </c>
      <c r="E95" s="21" t="s">
        <v>4282</v>
      </c>
      <c r="F95" s="21" t="s">
        <v>2308</v>
      </c>
      <c r="G95" s="21" t="s">
        <v>2350</v>
      </c>
      <c r="H95" s="31">
        <f t="shared" si="6"/>
        <v>13254.54545</v>
      </c>
      <c r="I95" s="73"/>
      <c r="J95" s="61">
        <v>16038.0</v>
      </c>
      <c r="K95" s="60">
        <v>0.8</v>
      </c>
      <c r="L95" s="33">
        <f>IF('Global Precios'!J95*(1-I95)*(1+'Global Precios'!K95)&gt;10000,MROUND('Global Precios'!J95*(1-I95)*(1+'Global Precios'!K95),1000),MROUND('Global Precios'!J95*(1-I95)*(1+'Global Precios'!K95),500))</f>
        <v>29000</v>
      </c>
      <c r="M95" s="27">
        <v>80.0</v>
      </c>
      <c r="N95" s="34" t="s">
        <v>4283</v>
      </c>
      <c r="O95" s="21"/>
      <c r="P95" s="35">
        <v>45839.0</v>
      </c>
      <c r="Q95" s="36">
        <f t="shared" si="2"/>
        <v>28</v>
      </c>
      <c r="R95" s="37">
        <v>30.0</v>
      </c>
      <c r="S95" s="21"/>
      <c r="T95" s="41">
        <f>IFERROR(VLOOKUP(D95,BUSCARV!$A$1:$C$5524,2,0),"")</f>
        <v>13513</v>
      </c>
      <c r="U95" s="42"/>
      <c r="V95" s="42">
        <f t="shared" si="3"/>
        <v>13513</v>
      </c>
      <c r="W95" s="44">
        <f t="shared" si="4"/>
        <v>-0.1574385834</v>
      </c>
      <c r="X95" s="44"/>
      <c r="Y95" s="45">
        <f t="shared" si="5"/>
        <v>0</v>
      </c>
      <c r="Z95" s="46" t="s">
        <v>449</v>
      </c>
      <c r="AA95" s="46"/>
    </row>
    <row r="96">
      <c r="A96" s="27">
        <v>95.0</v>
      </c>
      <c r="B96" s="21"/>
      <c r="C96" s="21" t="s">
        <v>3</v>
      </c>
      <c r="D96" s="21" t="s">
        <v>347</v>
      </c>
      <c r="E96" s="21" t="s">
        <v>4284</v>
      </c>
      <c r="F96" s="21" t="s">
        <v>2308</v>
      </c>
      <c r="G96" s="21" t="s">
        <v>2333</v>
      </c>
      <c r="H96" s="31">
        <f t="shared" si="6"/>
        <v>9318.181818</v>
      </c>
      <c r="I96" s="73"/>
      <c r="J96" s="61">
        <v>11275.0</v>
      </c>
      <c r="K96" s="60">
        <v>0.8</v>
      </c>
      <c r="L96" s="33">
        <f>IF('Global Precios'!J96*(1-I96)*(1+'Global Precios'!K96)&gt;10000,MROUND('Global Precios'!J96*(1-I96)*(1+'Global Precios'!K96),1000),MROUND('Global Precios'!J96*(1-I96)*(1+'Global Precios'!K96),500))</f>
        <v>20000</v>
      </c>
      <c r="M96" s="27">
        <v>100.0</v>
      </c>
      <c r="N96" s="34" t="s">
        <v>2496</v>
      </c>
      <c r="O96" s="21"/>
      <c r="P96" s="35">
        <v>45839.0</v>
      </c>
      <c r="Q96" s="36">
        <f t="shared" si="2"/>
        <v>29</v>
      </c>
      <c r="R96" s="37">
        <v>30.0</v>
      </c>
      <c r="S96" s="21"/>
      <c r="T96" s="41">
        <f>IFERROR(VLOOKUP(D96,BUSCARV!$A$1:$C$5524,2,0),"")</f>
        <v>11275</v>
      </c>
      <c r="U96" s="42"/>
      <c r="V96" s="42">
        <f t="shared" si="3"/>
        <v>11275</v>
      </c>
      <c r="W96" s="44">
        <f t="shared" si="4"/>
        <v>0</v>
      </c>
      <c r="X96" s="44"/>
      <c r="Y96" s="45">
        <f t="shared" si="5"/>
        <v>0</v>
      </c>
      <c r="Z96" s="46" t="s">
        <v>449</v>
      </c>
      <c r="AA96" s="46"/>
    </row>
    <row r="97">
      <c r="A97" s="27">
        <v>96.0</v>
      </c>
      <c r="B97" s="21"/>
      <c r="C97" s="21" t="s">
        <v>3</v>
      </c>
      <c r="D97" s="21" t="s">
        <v>350</v>
      </c>
      <c r="E97" s="21" t="s">
        <v>4285</v>
      </c>
      <c r="F97" s="21" t="s">
        <v>2308</v>
      </c>
      <c r="G97" s="21"/>
      <c r="H97" s="31">
        <f t="shared" si="6"/>
        <v>4987.603306</v>
      </c>
      <c r="I97" s="73"/>
      <c r="J97" s="61">
        <v>6035.0</v>
      </c>
      <c r="K97" s="21"/>
      <c r="L97" s="33">
        <f>IF('Global Precios'!J97*(1-I97)*(1+'Global Precios'!K97)&gt;1000,MROUND('Global Precios'!J97*(1-I97)*(1+'Global Precios'!K97),100),MROUND('Global Precios'!J97*(1-I97)*(1+'Global Precios'!K97),10))</f>
        <v>6000</v>
      </c>
      <c r="M97" s="21"/>
      <c r="N97" s="34"/>
      <c r="O97" s="21"/>
      <c r="P97" s="35">
        <v>45413.0</v>
      </c>
      <c r="Q97" s="36">
        <f t="shared" si="2"/>
        <v>21</v>
      </c>
      <c r="R97" s="37">
        <v>30.0</v>
      </c>
      <c r="S97" s="21"/>
      <c r="T97" s="41">
        <f>IFERROR(VLOOKUP(D97,BUSCARV!$A$1:$C$5524,2,0),"")</f>
        <v>7703</v>
      </c>
      <c r="U97" s="42"/>
      <c r="V97" s="42">
        <f t="shared" si="3"/>
        <v>7703</v>
      </c>
      <c r="W97" s="44">
        <f t="shared" si="4"/>
        <v>0.2763877382</v>
      </c>
      <c r="X97" s="44"/>
      <c r="Y97" s="45">
        <f t="shared" si="5"/>
        <v>0</v>
      </c>
      <c r="Z97" s="46" t="s">
        <v>1075</v>
      </c>
      <c r="AA97" s="46"/>
    </row>
    <row r="98">
      <c r="A98" s="27">
        <v>97.0</v>
      </c>
      <c r="B98" s="21"/>
      <c r="C98" s="21" t="s">
        <v>3</v>
      </c>
      <c r="D98" s="21" t="s">
        <v>63</v>
      </c>
      <c r="E98" s="21"/>
      <c r="F98" s="21" t="s">
        <v>2308</v>
      </c>
      <c r="G98" s="21" t="s">
        <v>2346</v>
      </c>
      <c r="H98" s="31">
        <f t="shared" si="6"/>
        <v>0</v>
      </c>
      <c r="I98" s="31"/>
      <c r="J98" s="77">
        <v>0.0</v>
      </c>
      <c r="K98" s="62">
        <v>1.0</v>
      </c>
      <c r="L98" s="33">
        <f>IF('Global Precios'!J98*(1-I98)*(1+'Global Precios'!K98)&gt;10000,MROUND('Global Precios'!J98*(1-I98)*(1+'Global Precios'!K98),1000),MROUND('Global Precios'!J98*(1-I98)*(1+'Global Precios'!K98),500))</f>
        <v>0</v>
      </c>
      <c r="M98" s="21"/>
      <c r="N98" s="34"/>
      <c r="O98" s="21"/>
      <c r="P98" s="35">
        <v>44866.0</v>
      </c>
      <c r="Q98" s="36">
        <f t="shared" si="2"/>
        <v>15</v>
      </c>
      <c r="R98" s="37">
        <v>0.0</v>
      </c>
      <c r="S98" s="21"/>
      <c r="T98" s="41">
        <f>IFERROR(VLOOKUP(D98,BUSCARV!$A$1:$C$5524,2,0),"")</f>
        <v>44385</v>
      </c>
      <c r="U98" s="42"/>
      <c r="V98" s="42">
        <f t="shared" si="3"/>
        <v>44385</v>
      </c>
      <c r="W98" s="44" t="str">
        <f t="shared" si="4"/>
        <v/>
      </c>
      <c r="X98" s="44"/>
      <c r="Y98" s="45">
        <f t="shared" si="5"/>
        <v>0</v>
      </c>
      <c r="Z98" s="46" t="s">
        <v>449</v>
      </c>
      <c r="AA98" s="46"/>
    </row>
    <row r="99">
      <c r="A99" s="27">
        <v>98.0</v>
      </c>
      <c r="B99" s="21"/>
      <c r="C99" s="85"/>
      <c r="D99" s="85"/>
      <c r="E99" s="85"/>
      <c r="F99" s="85"/>
      <c r="G99" s="86"/>
      <c r="H99" s="31">
        <f t="shared" si="6"/>
        <v>0</v>
      </c>
      <c r="I99" s="73"/>
      <c r="J99" s="77">
        <v>0.0</v>
      </c>
      <c r="K99" s="62">
        <v>1.0</v>
      </c>
      <c r="L99" s="33">
        <f>IF('Global Precios'!J99*(1-I99)*(1+'Global Precios'!K99)&gt;10000,MROUND('Global Precios'!J99*(1-I99)*(1+'Global Precios'!K99),1000),MROUND('Global Precios'!J99*(1-I99)*(1+'Global Precios'!K99),500))</f>
        <v>0</v>
      </c>
      <c r="M99" s="21"/>
      <c r="N99" s="34"/>
      <c r="O99" s="21"/>
      <c r="P99" s="87">
        <v>44598.0</v>
      </c>
      <c r="Q99" s="36">
        <f t="shared" si="2"/>
        <v>0</v>
      </c>
      <c r="R99" s="37">
        <v>0.0</v>
      </c>
      <c r="S99" s="21"/>
      <c r="T99" s="41" t="str">
        <f>IFERROR(VLOOKUP(D99,BUSCARV!$A$1:$C$5524,2,0),"")</f>
        <v/>
      </c>
      <c r="U99" s="42"/>
      <c r="V99" s="42" t="str">
        <f t="shared" si="3"/>
        <v/>
      </c>
      <c r="W99" s="44" t="str">
        <f t="shared" si="4"/>
        <v/>
      </c>
      <c r="X99" s="44"/>
      <c r="Y99" s="45">
        <f t="shared" si="5"/>
        <v>0</v>
      </c>
      <c r="Z99" s="46" t="s">
        <v>449</v>
      </c>
      <c r="AA99" s="46"/>
    </row>
    <row r="100">
      <c r="A100" s="27">
        <v>99.0</v>
      </c>
      <c r="B100" s="21"/>
      <c r="C100" s="21" t="s">
        <v>3</v>
      </c>
      <c r="D100" s="21" t="s">
        <v>368</v>
      </c>
      <c r="E100" s="21"/>
      <c r="F100" s="21" t="s">
        <v>2308</v>
      </c>
      <c r="G100" s="34" t="s">
        <v>2346</v>
      </c>
      <c r="H100" s="31">
        <f t="shared" si="6"/>
        <v>11735.53719</v>
      </c>
      <c r="I100" s="73"/>
      <c r="J100" s="61">
        <v>14200.0</v>
      </c>
      <c r="K100" s="60">
        <v>0.8</v>
      </c>
      <c r="L100" s="33">
        <f>IF('Global Precios'!J100*(1-I100)*(1+'Global Precios'!K100)&gt;10000,MROUND('Global Precios'!J100*(1-I100)*(1+'Global Precios'!K100),1000),MROUND('Global Precios'!J100*(1-I100)*(1+'Global Precios'!K100),500))</f>
        <v>26000</v>
      </c>
      <c r="M100" s="50">
        <v>1.0</v>
      </c>
      <c r="N100" s="84" t="s">
        <v>46</v>
      </c>
      <c r="O100" s="21"/>
      <c r="P100" s="35">
        <v>46023.0</v>
      </c>
      <c r="Q100" s="36">
        <f t="shared" si="2"/>
        <v>24</v>
      </c>
      <c r="R100" s="37">
        <v>30.0</v>
      </c>
      <c r="S100" s="21"/>
      <c r="T100" s="41">
        <f>IFERROR(VLOOKUP(D100,BUSCARV!$A$1:$C$5524,2,0),"")</f>
        <v>12822</v>
      </c>
      <c r="U100" s="42"/>
      <c r="V100" s="42">
        <f t="shared" si="3"/>
        <v>12822</v>
      </c>
      <c r="W100" s="44">
        <f t="shared" si="4"/>
        <v>-0.09704225352</v>
      </c>
      <c r="X100" s="44"/>
      <c r="Y100" s="45">
        <f t="shared" si="5"/>
        <v>0</v>
      </c>
      <c r="Z100" s="46" t="s">
        <v>449</v>
      </c>
      <c r="AA100" s="46"/>
    </row>
    <row r="101">
      <c r="A101" s="27">
        <v>100.0</v>
      </c>
      <c r="B101" s="21"/>
      <c r="C101" s="21" t="s">
        <v>3</v>
      </c>
      <c r="D101" s="21" t="s">
        <v>371</v>
      </c>
      <c r="E101" s="21"/>
      <c r="F101" s="21" t="s">
        <v>2308</v>
      </c>
      <c r="G101" s="21" t="s">
        <v>2344</v>
      </c>
      <c r="H101" s="31">
        <f t="shared" si="6"/>
        <v>1357.85124</v>
      </c>
      <c r="I101" s="73"/>
      <c r="J101" s="61">
        <v>1643.0</v>
      </c>
      <c r="K101" s="58">
        <v>1.0</v>
      </c>
      <c r="L101" s="33">
        <f>IF('Global Precios'!J101*(1-I101)*(1+'Global Precios'!K101)&gt;10000,MROUND('Global Precios'!J101*(1-I101)*(1+'Global Precios'!K101),1000),MROUND('Global Precios'!J101*(1-I101)*(1+'Global Precios'!K101),500))</f>
        <v>3500</v>
      </c>
      <c r="M101" s="27">
        <v>1.0</v>
      </c>
      <c r="N101" s="34" t="s">
        <v>46</v>
      </c>
      <c r="O101" s="21"/>
      <c r="P101" s="35">
        <v>45839.0</v>
      </c>
      <c r="Q101" s="36">
        <f t="shared" si="2"/>
        <v>22</v>
      </c>
      <c r="R101" s="37">
        <v>30.0</v>
      </c>
      <c r="S101" s="21"/>
      <c r="T101" s="41">
        <f>IFERROR(VLOOKUP(D101,BUSCARV!$A$1:$C$5524,2,0),"")</f>
        <v>1783</v>
      </c>
      <c r="U101" s="42"/>
      <c r="V101" s="42">
        <f t="shared" si="3"/>
        <v>1783</v>
      </c>
      <c r="W101" s="44">
        <f t="shared" si="4"/>
        <v>0.08520998174</v>
      </c>
      <c r="X101" s="44"/>
      <c r="Y101" s="45">
        <f t="shared" si="5"/>
        <v>0</v>
      </c>
      <c r="Z101" s="46" t="s">
        <v>1075</v>
      </c>
      <c r="AA101" s="46"/>
    </row>
    <row r="102">
      <c r="A102" s="27">
        <v>101.0</v>
      </c>
      <c r="B102" s="21"/>
      <c r="C102" s="21" t="s">
        <v>3</v>
      </c>
      <c r="D102" s="21" t="s">
        <v>375</v>
      </c>
      <c r="E102" s="21"/>
      <c r="F102" s="21" t="s">
        <v>2308</v>
      </c>
      <c r="G102" s="21" t="s">
        <v>2344</v>
      </c>
      <c r="H102" s="31">
        <f t="shared" si="6"/>
        <v>1244.628099</v>
      </c>
      <c r="I102" s="73"/>
      <c r="J102" s="61">
        <v>1506.0</v>
      </c>
      <c r="K102" s="58">
        <v>1.0</v>
      </c>
      <c r="L102" s="33">
        <f>IF('Global Precios'!J102*(1-I102)*(1+'Global Precios'!K102)&gt;10000,MROUND('Global Precios'!J102*(1-I102)*(1+'Global Precios'!K102),1000),MROUND('Global Precios'!J102*(1-I102)*(1+'Global Precios'!K102),500))</f>
        <v>3000</v>
      </c>
      <c r="M102" s="27">
        <v>1.0</v>
      </c>
      <c r="N102" s="34" t="s">
        <v>46</v>
      </c>
      <c r="O102" s="21"/>
      <c r="P102" s="35">
        <v>45839.0</v>
      </c>
      <c r="Q102" s="36">
        <f t="shared" si="2"/>
        <v>21</v>
      </c>
      <c r="R102" s="37">
        <v>30.0</v>
      </c>
      <c r="S102" s="21"/>
      <c r="T102" s="41">
        <f>IFERROR(VLOOKUP(D102,BUSCARV!$A$1:$C$5524,2,0),"")</f>
        <v>1634</v>
      </c>
      <c r="U102" s="42"/>
      <c r="V102" s="42">
        <f t="shared" si="3"/>
        <v>1634</v>
      </c>
      <c r="W102" s="44">
        <f t="shared" si="4"/>
        <v>0.08499335989</v>
      </c>
      <c r="X102" s="44"/>
      <c r="Y102" s="45">
        <f t="shared" si="5"/>
        <v>0</v>
      </c>
      <c r="Z102" s="46" t="s">
        <v>1075</v>
      </c>
      <c r="AA102" s="46"/>
    </row>
    <row r="103">
      <c r="A103" s="27">
        <v>102.0</v>
      </c>
      <c r="B103" s="21"/>
      <c r="C103" s="21" t="s">
        <v>3</v>
      </c>
      <c r="D103" s="21" t="s">
        <v>379</v>
      </c>
      <c r="E103" s="21"/>
      <c r="F103" s="21" t="s">
        <v>2308</v>
      </c>
      <c r="G103" s="21" t="s">
        <v>2344</v>
      </c>
      <c r="H103" s="31">
        <f t="shared" si="6"/>
        <v>1641.322314</v>
      </c>
      <c r="I103" s="73"/>
      <c r="J103" s="61">
        <v>1986.0</v>
      </c>
      <c r="K103" s="58">
        <v>1.0</v>
      </c>
      <c r="L103" s="33">
        <f>IF('Global Precios'!J103*(1-I103)*(1+'Global Precios'!K103)&gt;10000,MROUND('Global Precios'!J103*(1-I103)*(1+'Global Precios'!K103),1000),MROUND('Global Precios'!J103*(1-I103)*(1+'Global Precios'!K103),500))</f>
        <v>4000</v>
      </c>
      <c r="M103" s="27">
        <v>1.0</v>
      </c>
      <c r="N103" s="34" t="s">
        <v>46</v>
      </c>
      <c r="O103" s="21"/>
      <c r="P103" s="35">
        <v>45839.0</v>
      </c>
      <c r="Q103" s="36">
        <f t="shared" si="2"/>
        <v>22</v>
      </c>
      <c r="R103" s="37">
        <v>30.0</v>
      </c>
      <c r="S103" s="21"/>
      <c r="T103" s="41">
        <f>IFERROR(VLOOKUP(D103,BUSCARV!$A$1:$C$5524,2,0),"")</f>
        <v>2155</v>
      </c>
      <c r="U103" s="42"/>
      <c r="V103" s="42">
        <f t="shared" si="3"/>
        <v>2155</v>
      </c>
      <c r="W103" s="44">
        <f t="shared" si="4"/>
        <v>0.08509566969</v>
      </c>
      <c r="X103" s="44"/>
      <c r="Y103" s="45">
        <f t="shared" si="5"/>
        <v>0</v>
      </c>
      <c r="Z103" s="46" t="s">
        <v>1075</v>
      </c>
      <c r="AA103" s="46"/>
    </row>
    <row r="104">
      <c r="A104" s="27">
        <v>103.0</v>
      </c>
      <c r="B104" s="21"/>
      <c r="C104" s="21" t="s">
        <v>3</v>
      </c>
      <c r="D104" s="21" t="s">
        <v>382</v>
      </c>
      <c r="E104" s="21"/>
      <c r="F104" s="21" t="s">
        <v>2308</v>
      </c>
      <c r="G104" s="21" t="s">
        <v>2344</v>
      </c>
      <c r="H104" s="31">
        <f t="shared" si="6"/>
        <v>1194.214876</v>
      </c>
      <c r="I104" s="73"/>
      <c r="J104" s="61">
        <v>1445.0</v>
      </c>
      <c r="K104" s="58">
        <v>1.0</v>
      </c>
      <c r="L104" s="33">
        <f>IF('Global Precios'!J104*(1-I104)*(1+'Global Precios'!K104)&gt;10000,MROUND('Global Precios'!J104*(1-I104)*(1+'Global Precios'!K104),1000),MROUND('Global Precios'!J104*(1-I104)*(1+'Global Precios'!K104),500))</f>
        <v>3000</v>
      </c>
      <c r="M104" s="27">
        <v>1.0</v>
      </c>
      <c r="N104" s="34" t="s">
        <v>46</v>
      </c>
      <c r="O104" s="21"/>
      <c r="P104" s="35">
        <v>45839.0</v>
      </c>
      <c r="Q104" s="36">
        <f t="shared" si="2"/>
        <v>23</v>
      </c>
      <c r="R104" s="37">
        <v>30.0</v>
      </c>
      <c r="S104" s="21"/>
      <c r="T104" s="41">
        <f>IFERROR(VLOOKUP(D104,BUSCARV!$A$1:$C$5524,2,0),"")</f>
        <v>1569</v>
      </c>
      <c r="U104" s="42"/>
      <c r="V104" s="42">
        <f t="shared" si="3"/>
        <v>1569</v>
      </c>
      <c r="W104" s="44">
        <f t="shared" si="4"/>
        <v>0.08581314879</v>
      </c>
      <c r="X104" s="44"/>
      <c r="Y104" s="45">
        <f t="shared" si="5"/>
        <v>0</v>
      </c>
      <c r="Z104" s="46" t="s">
        <v>1075</v>
      </c>
      <c r="AA104" s="46"/>
    </row>
    <row r="105">
      <c r="A105" s="27">
        <v>104.0</v>
      </c>
      <c r="B105" s="21"/>
      <c r="C105" s="21" t="s">
        <v>3</v>
      </c>
      <c r="D105" s="21" t="s">
        <v>385</v>
      </c>
      <c r="E105" s="21"/>
      <c r="F105" s="21" t="s">
        <v>2308</v>
      </c>
      <c r="G105" s="21" t="s">
        <v>2344</v>
      </c>
      <c r="H105" s="31">
        <f t="shared" si="6"/>
        <v>1281.818182</v>
      </c>
      <c r="I105" s="73"/>
      <c r="J105" s="61">
        <v>1551.0</v>
      </c>
      <c r="K105" s="58">
        <v>1.0</v>
      </c>
      <c r="L105" s="33">
        <f>IF('Global Precios'!J105*(1-I105)*(1+'Global Precios'!K105)&gt;10000,MROUND('Global Precios'!J105*(1-I105)*(1+'Global Precios'!K105),1000),MROUND('Global Precios'!J105*(1-I105)*(1+'Global Precios'!K105),500))</f>
        <v>3000</v>
      </c>
      <c r="M105" s="27">
        <v>1.0</v>
      </c>
      <c r="N105" s="34" t="s">
        <v>46</v>
      </c>
      <c r="O105" s="21"/>
      <c r="P105" s="35">
        <v>45839.0</v>
      </c>
      <c r="Q105" s="36">
        <f t="shared" si="2"/>
        <v>23</v>
      </c>
      <c r="R105" s="37">
        <v>30.0</v>
      </c>
      <c r="S105" s="21"/>
      <c r="T105" s="41">
        <f>IFERROR(VLOOKUP(D105,BUSCARV!$A$1:$C$5524,2,0),"")</f>
        <v>1683</v>
      </c>
      <c r="U105" s="42"/>
      <c r="V105" s="42">
        <f t="shared" si="3"/>
        <v>1683</v>
      </c>
      <c r="W105" s="44">
        <f t="shared" si="4"/>
        <v>0.08510638298</v>
      </c>
      <c r="X105" s="44"/>
      <c r="Y105" s="45">
        <f t="shared" si="5"/>
        <v>0</v>
      </c>
      <c r="Z105" s="46" t="s">
        <v>1075</v>
      </c>
      <c r="AA105" s="46"/>
    </row>
    <row r="106">
      <c r="A106" s="27">
        <v>105.0</v>
      </c>
      <c r="B106" s="21"/>
      <c r="C106" s="21" t="s">
        <v>3</v>
      </c>
      <c r="D106" s="21" t="s">
        <v>389</v>
      </c>
      <c r="E106" s="21"/>
      <c r="F106" s="21" t="s">
        <v>2308</v>
      </c>
      <c r="G106" s="21" t="s">
        <v>2344</v>
      </c>
      <c r="H106" s="31">
        <f t="shared" si="6"/>
        <v>1814.876033</v>
      </c>
      <c r="I106" s="73"/>
      <c r="J106" s="61">
        <v>2196.0</v>
      </c>
      <c r="K106" s="58">
        <v>1.0</v>
      </c>
      <c r="L106" s="33">
        <f>IF('Global Precios'!J106*(1-I106)*(1+'Global Precios'!K106)&gt;10000,MROUND('Global Precios'!J106*(1-I106)*(1+'Global Precios'!K106),1000),MROUND('Global Precios'!J106*(1-I106)*(1+'Global Precios'!K106),500))</f>
        <v>4500</v>
      </c>
      <c r="M106" s="27">
        <v>1.0</v>
      </c>
      <c r="N106" s="34" t="s">
        <v>46</v>
      </c>
      <c r="O106" s="21"/>
      <c r="P106" s="35">
        <v>45839.0</v>
      </c>
      <c r="Q106" s="36">
        <f t="shared" si="2"/>
        <v>21</v>
      </c>
      <c r="R106" s="37">
        <v>30.0</v>
      </c>
      <c r="S106" s="21"/>
      <c r="T106" s="41">
        <f>IFERROR(VLOOKUP(D106,BUSCARV!$A$1:$C$5524,2,0),"")</f>
        <v>2382</v>
      </c>
      <c r="U106" s="42"/>
      <c r="V106" s="42">
        <f t="shared" si="3"/>
        <v>2382</v>
      </c>
      <c r="W106" s="44">
        <f t="shared" si="4"/>
        <v>0.08469945355</v>
      </c>
      <c r="X106" s="44"/>
      <c r="Y106" s="45">
        <f t="shared" si="5"/>
        <v>0</v>
      </c>
      <c r="Z106" s="46" t="s">
        <v>1075</v>
      </c>
      <c r="AA106" s="46"/>
    </row>
    <row r="107">
      <c r="A107" s="27">
        <v>106.0</v>
      </c>
      <c r="B107" s="21"/>
      <c r="C107" s="21" t="s">
        <v>3</v>
      </c>
      <c r="D107" s="29" t="s">
        <v>392</v>
      </c>
      <c r="E107" s="21"/>
      <c r="F107" s="21" t="s">
        <v>2308</v>
      </c>
      <c r="G107" s="29" t="s">
        <v>2378</v>
      </c>
      <c r="H107" s="31">
        <f t="shared" si="6"/>
        <v>2066.115702</v>
      </c>
      <c r="I107" s="73"/>
      <c r="J107" s="57">
        <v>2500.0</v>
      </c>
      <c r="K107" s="60">
        <v>0.8</v>
      </c>
      <c r="L107" s="33">
        <f>IF('Global Precios'!J107*(1-I107)*(1+'Global Precios'!K107)&gt;10000,MROUND('Global Precios'!J107*(1-I107)*(1+'Global Precios'!K107),1000),MROUND('Global Precios'!J107*(1-I107)*(1+'Global Precios'!K107),500))</f>
        <v>4500</v>
      </c>
      <c r="M107" s="21"/>
      <c r="N107" s="34"/>
      <c r="O107" s="21"/>
      <c r="P107" s="35">
        <v>45839.0</v>
      </c>
      <c r="Q107" s="36">
        <f t="shared" si="2"/>
        <v>15</v>
      </c>
      <c r="R107" s="37">
        <v>30.0</v>
      </c>
      <c r="S107" s="21"/>
      <c r="T107" s="41" t="str">
        <f>IFERROR(VLOOKUP(D107,BUSCARV!$A$1:$C$5524,2,0),"")</f>
        <v/>
      </c>
      <c r="U107" s="42"/>
      <c r="V107" s="42" t="str">
        <f t="shared" si="3"/>
        <v/>
      </c>
      <c r="W107" s="44" t="str">
        <f t="shared" si="4"/>
        <v/>
      </c>
      <c r="X107" s="44"/>
      <c r="Y107" s="45">
        <f t="shared" si="5"/>
        <v>0</v>
      </c>
      <c r="Z107" s="46" t="s">
        <v>449</v>
      </c>
      <c r="AA107" s="46"/>
    </row>
    <row r="108">
      <c r="A108" s="27">
        <v>107.0</v>
      </c>
      <c r="B108" s="21"/>
      <c r="C108" s="21" t="s">
        <v>3</v>
      </c>
      <c r="D108" s="21" t="s">
        <v>395</v>
      </c>
      <c r="E108" s="21" t="s">
        <v>4286</v>
      </c>
      <c r="F108" s="21" t="s">
        <v>2308</v>
      </c>
      <c r="G108" s="21" t="s">
        <v>2350</v>
      </c>
      <c r="H108" s="31">
        <f t="shared" si="6"/>
        <v>12661.15702</v>
      </c>
      <c r="I108" s="73"/>
      <c r="J108" s="61">
        <v>15320.0</v>
      </c>
      <c r="K108" s="60">
        <v>0.7</v>
      </c>
      <c r="L108" s="33">
        <f>IF('Global Precios'!J108*(1-I108)*(1+'Global Precios'!K108)&gt;10000,MROUND('Global Precios'!J108*(1-I108)*(1+'Global Precios'!K108),1000),MROUND('Global Precios'!J108*(1-I108)*(1+'Global Precios'!K108),500))</f>
        <v>26000</v>
      </c>
      <c r="M108" s="27">
        <v>100.0</v>
      </c>
      <c r="N108" s="34" t="s">
        <v>2496</v>
      </c>
      <c r="O108" s="21"/>
      <c r="P108" s="35">
        <v>45839.0</v>
      </c>
      <c r="Q108" s="36">
        <f t="shared" si="2"/>
        <v>24</v>
      </c>
      <c r="R108" s="37">
        <v>30.0</v>
      </c>
      <c r="S108" s="21"/>
      <c r="T108" s="41">
        <f>IFERROR(VLOOKUP(D108,BUSCARV!$A$1:$C$5524,2,0),"")</f>
        <v>15320</v>
      </c>
      <c r="U108" s="42"/>
      <c r="V108" s="42">
        <f t="shared" si="3"/>
        <v>15320</v>
      </c>
      <c r="W108" s="44">
        <f t="shared" si="4"/>
        <v>0</v>
      </c>
      <c r="X108" s="44"/>
      <c r="Y108" s="45">
        <f t="shared" si="5"/>
        <v>0</v>
      </c>
      <c r="Z108" s="46" t="s">
        <v>449</v>
      </c>
      <c r="AA108" s="46"/>
    </row>
    <row r="109">
      <c r="A109" s="27">
        <v>108.0</v>
      </c>
      <c r="B109" s="21"/>
      <c r="C109" s="21" t="s">
        <v>3</v>
      </c>
      <c r="D109" s="29" t="s">
        <v>399</v>
      </c>
      <c r="E109" s="29" t="s">
        <v>399</v>
      </c>
      <c r="F109" s="21"/>
      <c r="G109" s="21"/>
      <c r="H109" s="31" t="str">
        <f t="shared" si="6"/>
        <v/>
      </c>
      <c r="I109" s="31"/>
      <c r="J109" s="88"/>
      <c r="K109" s="89"/>
      <c r="L109" s="33">
        <f>IF('Global Precios'!J109*(1-I109)*(1+'Global Precios'!K109)&gt;1000,MROUND('Global Precios'!J109*(1-I109)*(1+'Global Precios'!K109),100),MROUND('Global Precios'!J109*(1-I109)*(1+'Global Precios'!K109),10))</f>
        <v>0</v>
      </c>
      <c r="M109" s="21"/>
      <c r="N109" s="29" t="s">
        <v>399</v>
      </c>
      <c r="O109" s="21"/>
      <c r="P109" s="90" t="s">
        <v>399</v>
      </c>
      <c r="Q109" s="29" t="s">
        <v>399</v>
      </c>
      <c r="R109" s="37">
        <v>0.0</v>
      </c>
      <c r="S109" s="21"/>
      <c r="T109" s="41" t="str">
        <f>IFERROR(VLOOKUP(D109,BUSCARV!$A$1:$C$5524,2,0),"")</f>
        <v/>
      </c>
      <c r="U109" s="42"/>
      <c r="V109" s="42" t="str">
        <f t="shared" si="3"/>
        <v/>
      </c>
      <c r="W109" s="44" t="str">
        <f t="shared" si="4"/>
        <v/>
      </c>
      <c r="X109" s="44"/>
      <c r="Y109" s="45">
        <f t="shared" si="5"/>
        <v>0</v>
      </c>
      <c r="Z109" s="46" t="s">
        <v>1075</v>
      </c>
      <c r="AA109" s="46"/>
    </row>
    <row r="110">
      <c r="A110" s="27">
        <v>109.0</v>
      </c>
      <c r="B110" s="21"/>
      <c r="C110" s="29" t="s">
        <v>3</v>
      </c>
      <c r="D110" s="29" t="s">
        <v>406</v>
      </c>
      <c r="E110" s="21" t="s">
        <v>2787</v>
      </c>
      <c r="F110" s="29" t="s">
        <v>2308</v>
      </c>
      <c r="G110" s="21" t="s">
        <v>2351</v>
      </c>
      <c r="H110" s="31">
        <f t="shared" si="6"/>
        <v>3957.024793</v>
      </c>
      <c r="I110" s="73"/>
      <c r="J110" s="57">
        <v>4788.0</v>
      </c>
      <c r="K110" s="60">
        <v>0.7</v>
      </c>
      <c r="L110" s="33">
        <f>IF('Global Precios'!J110*(1-I110)*(1+'Global Precios'!K110)&gt;10000,MROUND('Global Precios'!J110*(1-I110)*(1+'Global Precios'!K110),1000),MROUND('Global Precios'!J110*(1-I110)*(1+'Global Precios'!K110),500))</f>
        <v>8000</v>
      </c>
      <c r="M110" s="91">
        <v>10.0</v>
      </c>
      <c r="N110" s="92" t="s">
        <v>4287</v>
      </c>
      <c r="O110" s="21"/>
      <c r="P110" s="35">
        <v>46054.0</v>
      </c>
      <c r="Q110" s="36">
        <f t="shared" ref="Q110:Q517" si="7">LEN(D110)</f>
        <v>34</v>
      </c>
      <c r="R110" s="37">
        <v>30.0</v>
      </c>
      <c r="S110" s="21"/>
      <c r="T110" s="41" t="str">
        <f>IFERROR(VLOOKUP(D110,BUSCARV!$A$1:$C$5524,2,0),"")</f>
        <v/>
      </c>
      <c r="U110" s="42"/>
      <c r="V110" s="42" t="str">
        <f t="shared" si="3"/>
        <v/>
      </c>
      <c r="W110" s="44" t="str">
        <f t="shared" si="4"/>
        <v/>
      </c>
      <c r="X110" s="44"/>
      <c r="Y110" s="45">
        <f t="shared" si="5"/>
        <v>0</v>
      </c>
      <c r="Z110" s="46" t="s">
        <v>449</v>
      </c>
      <c r="AA110" s="46"/>
    </row>
    <row r="111">
      <c r="A111" s="91">
        <v>111.0</v>
      </c>
      <c r="B111" s="21"/>
      <c r="C111" s="29" t="s">
        <v>3</v>
      </c>
      <c r="D111" s="21" t="s">
        <v>410</v>
      </c>
      <c r="E111" s="21"/>
      <c r="F111" s="29" t="s">
        <v>1982</v>
      </c>
      <c r="G111" s="29" t="s">
        <v>4288</v>
      </c>
      <c r="H111" s="48">
        <v>589.0</v>
      </c>
      <c r="I111" s="65"/>
      <c r="J111" s="61">
        <v>3150.0</v>
      </c>
      <c r="K111" s="60">
        <v>1.0</v>
      </c>
      <c r="L111" s="33">
        <f>IF('Global Precios'!J111*(1-I111)*(1+'Global Precios'!K111)&gt;10000,MROUND('Global Precios'!J111*(1-I111)*(1+'Global Precios'!K111),1000),MROUND('Global Precios'!J111*(1-I111)*(1+'Global Precios'!K111),500))</f>
        <v>6500</v>
      </c>
      <c r="M111" s="91">
        <v>1.0</v>
      </c>
      <c r="N111" s="29" t="s">
        <v>46</v>
      </c>
      <c r="O111" s="21"/>
      <c r="P111" s="35">
        <v>45839.0</v>
      </c>
      <c r="Q111" s="36">
        <f t="shared" si="7"/>
        <v>17</v>
      </c>
      <c r="R111" s="37">
        <v>30.0</v>
      </c>
      <c r="S111" s="21"/>
      <c r="T111" s="41" t="str">
        <f>IFERROR(VLOOKUP(D111,BUSCARV!$A$1:$C$5524,2,0),"")</f>
        <v/>
      </c>
      <c r="U111" s="42"/>
      <c r="V111" s="42" t="str">
        <f t="shared" si="3"/>
        <v/>
      </c>
      <c r="W111" s="44" t="str">
        <f t="shared" si="4"/>
        <v/>
      </c>
      <c r="X111" s="44"/>
      <c r="Y111" s="45">
        <f t="shared" si="5"/>
        <v>0</v>
      </c>
      <c r="Z111" s="46" t="s">
        <v>449</v>
      </c>
      <c r="AA111" s="46" t="s">
        <v>4289</v>
      </c>
    </row>
    <row r="112">
      <c r="A112" s="91">
        <v>112.0</v>
      </c>
      <c r="B112" s="21"/>
      <c r="C112" s="29" t="s">
        <v>3</v>
      </c>
      <c r="D112" s="21" t="s">
        <v>412</v>
      </c>
      <c r="E112" s="21"/>
      <c r="F112" s="29" t="s">
        <v>1982</v>
      </c>
      <c r="G112" s="29" t="s">
        <v>4288</v>
      </c>
      <c r="H112" s="48">
        <v>738.0</v>
      </c>
      <c r="I112" s="65"/>
      <c r="J112" s="57">
        <v>3833.0</v>
      </c>
      <c r="K112" s="60">
        <v>1.0</v>
      </c>
      <c r="L112" s="33">
        <f>IF('Global Precios'!J112*(1-I112)*(1+'Global Precios'!K112)&gt;10000,MROUND('Global Precios'!J112*(1-I112)*(1+'Global Precios'!K112),1000),MROUND('Global Precios'!J112*(1-I112)*(1+'Global Precios'!K112),500))</f>
        <v>7500</v>
      </c>
      <c r="M112" s="91">
        <v>1.0</v>
      </c>
      <c r="N112" s="29" t="s">
        <v>46</v>
      </c>
      <c r="O112" s="21"/>
      <c r="P112" s="35">
        <v>45839.0</v>
      </c>
      <c r="Q112" s="36">
        <f t="shared" si="7"/>
        <v>14</v>
      </c>
      <c r="R112" s="37">
        <v>30.0</v>
      </c>
      <c r="S112" s="21"/>
      <c r="T112" s="41" t="str">
        <f>IFERROR(VLOOKUP(D112,BUSCARV!$A$1:$C$5524,2,0),"")</f>
        <v/>
      </c>
      <c r="U112" s="42"/>
      <c r="V112" s="42" t="str">
        <f t="shared" si="3"/>
        <v/>
      </c>
      <c r="W112" s="44" t="str">
        <f t="shared" si="4"/>
        <v/>
      </c>
      <c r="X112" s="44"/>
      <c r="Y112" s="45">
        <f t="shared" si="5"/>
        <v>0</v>
      </c>
      <c r="Z112" s="46" t="s">
        <v>449</v>
      </c>
      <c r="AA112" s="46" t="s">
        <v>4290</v>
      </c>
    </row>
    <row r="113">
      <c r="A113" s="91">
        <v>113.0</v>
      </c>
      <c r="B113" s="21"/>
      <c r="C113" s="29" t="s">
        <v>3</v>
      </c>
      <c r="D113" s="50" t="s">
        <v>4291</v>
      </c>
      <c r="E113" s="21"/>
      <c r="F113" s="29" t="s">
        <v>1982</v>
      </c>
      <c r="G113" s="29" t="s">
        <v>4292</v>
      </c>
      <c r="H113" s="48">
        <v>244.0</v>
      </c>
      <c r="I113" s="65"/>
      <c r="J113" s="61">
        <v>1470.0</v>
      </c>
      <c r="K113" s="60">
        <v>1.0</v>
      </c>
      <c r="L113" s="33">
        <f>IF('Global Precios'!J113*(1-I113)*(1+'Global Precios'!K113)&gt;10000,MROUND('Global Precios'!J113*(1-I113)*(1+'Global Precios'!K113),1000),MROUND('Global Precios'!J113*(1-I113)*(1+'Global Precios'!K113),500))</f>
        <v>3000</v>
      </c>
      <c r="M113" s="91">
        <v>1.0</v>
      </c>
      <c r="N113" s="29" t="s">
        <v>46</v>
      </c>
      <c r="O113" s="21"/>
      <c r="P113" s="35">
        <v>45839.0</v>
      </c>
      <c r="Q113" s="36">
        <f t="shared" si="7"/>
        <v>24</v>
      </c>
      <c r="R113" s="37">
        <v>30.0</v>
      </c>
      <c r="S113" s="21"/>
      <c r="T113" s="41" t="str">
        <f>IFERROR(VLOOKUP(D113,BUSCARV!$A$1:$C$5524,2,0),"")</f>
        <v/>
      </c>
      <c r="U113" s="42"/>
      <c r="V113" s="42" t="str">
        <f t="shared" si="3"/>
        <v/>
      </c>
      <c r="W113" s="44" t="str">
        <f t="shared" si="4"/>
        <v/>
      </c>
      <c r="X113" s="44"/>
      <c r="Y113" s="45">
        <f t="shared" si="5"/>
        <v>0</v>
      </c>
      <c r="Z113" s="46" t="s">
        <v>449</v>
      </c>
      <c r="AA113" s="46"/>
    </row>
    <row r="114">
      <c r="A114" s="91">
        <v>114.0</v>
      </c>
      <c r="B114" s="21"/>
      <c r="C114" s="29" t="s">
        <v>3</v>
      </c>
      <c r="D114" s="50" t="s">
        <v>4293</v>
      </c>
      <c r="E114" s="50" t="s">
        <v>4294</v>
      </c>
      <c r="F114" s="29" t="s">
        <v>1982</v>
      </c>
      <c r="G114" s="29" t="s">
        <v>4292</v>
      </c>
      <c r="H114" s="48">
        <v>289.0</v>
      </c>
      <c r="I114" s="65"/>
      <c r="J114" s="61">
        <v>2048.0</v>
      </c>
      <c r="K114" s="60">
        <v>1.0</v>
      </c>
      <c r="L114" s="33">
        <f>IF('Global Precios'!J114*(1-I114)*(1+'Global Precios'!K114)&gt;10000,MROUND('Global Precios'!J114*(1-I114)*(1+'Global Precios'!K114),1000),MROUND('Global Precios'!J114*(1-I114)*(1+'Global Precios'!K114),500))</f>
        <v>4000</v>
      </c>
      <c r="M114" s="91">
        <v>1.0</v>
      </c>
      <c r="N114" s="29" t="s">
        <v>46</v>
      </c>
      <c r="O114" s="21"/>
      <c r="P114" s="35">
        <v>45839.0</v>
      </c>
      <c r="Q114" s="36">
        <f t="shared" si="7"/>
        <v>26</v>
      </c>
      <c r="R114" s="37">
        <v>30.0</v>
      </c>
      <c r="S114" s="21"/>
      <c r="T114" s="41" t="str">
        <f>IFERROR(VLOOKUP(D114,BUSCARV!$A$1:$C$5524,2,0),"")</f>
        <v/>
      </c>
      <c r="U114" s="42"/>
      <c r="V114" s="42" t="str">
        <f t="shared" si="3"/>
        <v/>
      </c>
      <c r="W114" s="44" t="str">
        <f t="shared" si="4"/>
        <v/>
      </c>
      <c r="X114" s="44"/>
      <c r="Y114" s="45">
        <f t="shared" si="5"/>
        <v>0</v>
      </c>
      <c r="Z114" s="46" t="s">
        <v>449</v>
      </c>
      <c r="AA114" s="46"/>
    </row>
    <row r="115">
      <c r="A115" s="91">
        <v>115.0</v>
      </c>
      <c r="B115" s="21"/>
      <c r="C115" s="29" t="s">
        <v>3</v>
      </c>
      <c r="D115" s="50" t="s">
        <v>4295</v>
      </c>
      <c r="E115" s="50" t="s">
        <v>4294</v>
      </c>
      <c r="F115" s="29" t="s">
        <v>1982</v>
      </c>
      <c r="G115" s="29" t="s">
        <v>4292</v>
      </c>
      <c r="H115" s="48">
        <v>535.0</v>
      </c>
      <c r="I115" s="65"/>
      <c r="J115" s="61">
        <v>2205.0</v>
      </c>
      <c r="K115" s="60">
        <v>1.0</v>
      </c>
      <c r="L115" s="33">
        <f>IF('Global Precios'!J115*(1-I115)*(1+'Global Precios'!K115)&gt;10000,MROUND('Global Precios'!J115*(1-I115)*(1+'Global Precios'!K115),1000),MROUND('Global Precios'!J115*(1-I115)*(1+'Global Precios'!K115),500))</f>
        <v>4500</v>
      </c>
      <c r="M115" s="91">
        <v>1.0</v>
      </c>
      <c r="N115" s="29" t="s">
        <v>46</v>
      </c>
      <c r="O115" s="21"/>
      <c r="P115" s="35">
        <v>45839.0</v>
      </c>
      <c r="Q115" s="36">
        <f t="shared" si="7"/>
        <v>25</v>
      </c>
      <c r="R115" s="37">
        <v>30.0</v>
      </c>
      <c r="S115" s="21"/>
      <c r="T115" s="41" t="str">
        <f>IFERROR(VLOOKUP(D115,BUSCARV!$A$1:$C$5524,2,0),"")</f>
        <v/>
      </c>
      <c r="U115" s="42"/>
      <c r="V115" s="42" t="str">
        <f t="shared" si="3"/>
        <v/>
      </c>
      <c r="W115" s="44" t="str">
        <f t="shared" si="4"/>
        <v/>
      </c>
      <c r="X115" s="44"/>
      <c r="Y115" s="45">
        <f t="shared" si="5"/>
        <v>0</v>
      </c>
      <c r="Z115" s="46" t="s">
        <v>449</v>
      </c>
      <c r="AA115" s="46"/>
    </row>
    <row r="116">
      <c r="A116" s="91">
        <v>116.0</v>
      </c>
      <c r="B116" s="21"/>
      <c r="C116" s="29" t="s">
        <v>3</v>
      </c>
      <c r="D116" s="21" t="s">
        <v>427</v>
      </c>
      <c r="E116" s="21"/>
      <c r="F116" s="29" t="s">
        <v>1982</v>
      </c>
      <c r="G116" s="29" t="s">
        <v>4292</v>
      </c>
      <c r="H116" s="48">
        <v>535.0</v>
      </c>
      <c r="I116" s="65"/>
      <c r="J116" s="61">
        <v>1203.0</v>
      </c>
      <c r="K116" s="60">
        <v>1.0</v>
      </c>
      <c r="L116" s="33">
        <f>IF('Global Precios'!J116*(1-I116)*(1+'Global Precios'!K116)&gt;1000,MROUND('Global Precios'!J116*(1-I116)*(1+'Global Precios'!K116),100),MROUND('Global Precios'!J116*(1-I116)*(1+'Global Precios'!K116),10))</f>
        <v>2400</v>
      </c>
      <c r="M116" s="91">
        <v>1.0</v>
      </c>
      <c r="N116" s="29" t="s">
        <v>46</v>
      </c>
      <c r="O116" s="21"/>
      <c r="P116" s="35">
        <v>45323.0</v>
      </c>
      <c r="Q116" s="36">
        <f t="shared" si="7"/>
        <v>30</v>
      </c>
      <c r="R116" s="37">
        <v>30.0</v>
      </c>
      <c r="S116" s="21"/>
      <c r="T116" s="41" t="str">
        <f>IFERROR(VLOOKUP(D116,BUSCARV!$A$1:$C$5524,2,0),"")</f>
        <v/>
      </c>
      <c r="U116" s="63"/>
      <c r="V116" s="42" t="str">
        <f t="shared" si="3"/>
        <v/>
      </c>
      <c r="W116" s="44" t="str">
        <f t="shared" si="4"/>
        <v/>
      </c>
      <c r="X116" s="44"/>
      <c r="Y116" s="45">
        <f t="shared" si="5"/>
        <v>0</v>
      </c>
      <c r="Z116" s="46" t="s">
        <v>1075</v>
      </c>
      <c r="AA116" s="46"/>
    </row>
    <row r="117">
      <c r="A117" s="91">
        <v>117.0</v>
      </c>
      <c r="B117" s="21"/>
      <c r="C117" s="29" t="s">
        <v>3</v>
      </c>
      <c r="D117" s="21" t="s">
        <v>430</v>
      </c>
      <c r="E117" s="21"/>
      <c r="F117" s="29" t="s">
        <v>1982</v>
      </c>
      <c r="G117" s="29" t="s">
        <v>4292</v>
      </c>
      <c r="H117" s="48">
        <v>305.0</v>
      </c>
      <c r="I117" s="65"/>
      <c r="J117" s="61">
        <v>684.0</v>
      </c>
      <c r="K117" s="60">
        <v>1.0</v>
      </c>
      <c r="L117" s="33">
        <f>IF('Global Precios'!J117*(1-I117)*(1+'Global Precios'!K117)&gt;1000,MROUND('Global Precios'!J117*(1-I117)*(1+'Global Precios'!K117),100),MROUND('Global Precios'!J117*(1-I117)*(1+'Global Precios'!K117),10))</f>
        <v>1400</v>
      </c>
      <c r="M117" s="91">
        <v>1.0</v>
      </c>
      <c r="N117" s="29" t="s">
        <v>46</v>
      </c>
      <c r="O117" s="21"/>
      <c r="P117" s="35">
        <v>45323.0</v>
      </c>
      <c r="Q117" s="36">
        <f t="shared" si="7"/>
        <v>20</v>
      </c>
      <c r="R117" s="37">
        <v>30.0</v>
      </c>
      <c r="S117" s="21"/>
      <c r="T117" s="41" t="str">
        <f>IFERROR(VLOOKUP(D117,BUSCARV!$A$1:$C$5524,2,0),"")</f>
        <v/>
      </c>
      <c r="U117" s="63"/>
      <c r="V117" s="42" t="str">
        <f t="shared" si="3"/>
        <v/>
      </c>
      <c r="W117" s="44" t="str">
        <f t="shared" si="4"/>
        <v/>
      </c>
      <c r="X117" s="44"/>
      <c r="Y117" s="45">
        <f t="shared" si="5"/>
        <v>0</v>
      </c>
      <c r="Z117" s="46" t="s">
        <v>1075</v>
      </c>
      <c r="AA117" s="46"/>
    </row>
    <row r="118">
      <c r="A118" s="91">
        <v>118.0</v>
      </c>
      <c r="B118" s="21"/>
      <c r="C118" s="29" t="s">
        <v>3</v>
      </c>
      <c r="D118" s="21" t="s">
        <v>433</v>
      </c>
      <c r="E118" s="21"/>
      <c r="F118" s="29" t="s">
        <v>1982</v>
      </c>
      <c r="G118" s="29" t="s">
        <v>4292</v>
      </c>
      <c r="H118" s="48">
        <v>856.0</v>
      </c>
      <c r="I118" s="65"/>
      <c r="J118" s="61">
        <v>1922.0</v>
      </c>
      <c r="K118" s="60">
        <v>1.0</v>
      </c>
      <c r="L118" s="33">
        <f>IF('Global Precios'!J118*(1-I118)*(1+'Global Precios'!K118)&gt;1000,MROUND('Global Precios'!J118*(1-I118)*(1+'Global Precios'!K118),100),MROUND('Global Precios'!J118*(1-I118)*(1+'Global Precios'!K118),10))</f>
        <v>3800</v>
      </c>
      <c r="M118" s="91">
        <v>1.0</v>
      </c>
      <c r="N118" s="29" t="s">
        <v>46</v>
      </c>
      <c r="O118" s="21"/>
      <c r="P118" s="35">
        <v>45323.0</v>
      </c>
      <c r="Q118" s="36">
        <f t="shared" si="7"/>
        <v>30</v>
      </c>
      <c r="R118" s="37">
        <v>30.0</v>
      </c>
      <c r="S118" s="21"/>
      <c r="T118" s="41" t="str">
        <f>IFERROR(VLOOKUP(D118,BUSCARV!$A$1:$C$5524,2,0),"")</f>
        <v/>
      </c>
      <c r="U118" s="63"/>
      <c r="V118" s="42" t="str">
        <f t="shared" si="3"/>
        <v/>
      </c>
      <c r="W118" s="44" t="str">
        <f t="shared" si="4"/>
        <v/>
      </c>
      <c r="X118" s="44"/>
      <c r="Y118" s="45">
        <f t="shared" si="5"/>
        <v>0</v>
      </c>
      <c r="Z118" s="46" t="s">
        <v>1075</v>
      </c>
      <c r="AA118" s="46"/>
    </row>
    <row r="119">
      <c r="A119" s="91">
        <v>121.0</v>
      </c>
      <c r="B119" s="21"/>
      <c r="C119" s="29" t="s">
        <v>3</v>
      </c>
      <c r="D119" s="29" t="s">
        <v>4296</v>
      </c>
      <c r="E119" s="21"/>
      <c r="F119" s="29" t="s">
        <v>1982</v>
      </c>
      <c r="G119" s="29" t="s">
        <v>4292</v>
      </c>
      <c r="H119" s="48">
        <v>187.0</v>
      </c>
      <c r="I119" s="65"/>
      <c r="J119" s="61">
        <v>940.0</v>
      </c>
      <c r="K119" s="60">
        <v>1.0</v>
      </c>
      <c r="L119" s="33">
        <f>IF('Global Precios'!J119*(1-I119)*(1+'Global Precios'!K119)&gt;10000,MROUND('Global Precios'!J119*(1-I119)*(1+'Global Precios'!K119),1000),MROUND('Global Precios'!J119*(1-I119)*(1+'Global Precios'!K119),500))</f>
        <v>2000</v>
      </c>
      <c r="M119" s="91">
        <v>1.0</v>
      </c>
      <c r="N119" s="29" t="s">
        <v>46</v>
      </c>
      <c r="O119" s="21"/>
      <c r="P119" s="35">
        <v>45839.0</v>
      </c>
      <c r="Q119" s="36">
        <f t="shared" si="7"/>
        <v>21</v>
      </c>
      <c r="R119" s="37">
        <v>30.0</v>
      </c>
      <c r="S119" s="21"/>
      <c r="T119" s="41" t="str">
        <f>IFERROR(VLOOKUP(D119,BUSCARV!$A$1:$C$5524,2,0),"")</f>
        <v/>
      </c>
      <c r="U119" s="42"/>
      <c r="V119" s="42" t="str">
        <f t="shared" si="3"/>
        <v/>
      </c>
      <c r="W119" s="44" t="str">
        <f t="shared" si="4"/>
        <v/>
      </c>
      <c r="X119" s="44"/>
      <c r="Y119" s="45">
        <f t="shared" si="5"/>
        <v>0</v>
      </c>
      <c r="Z119" s="46" t="s">
        <v>449</v>
      </c>
      <c r="AA119" s="46" t="s">
        <v>4297</v>
      </c>
    </row>
    <row r="120">
      <c r="A120" s="91">
        <v>122.0</v>
      </c>
      <c r="B120" s="21"/>
      <c r="C120" s="29" t="s">
        <v>3</v>
      </c>
      <c r="D120" s="29" t="s">
        <v>439</v>
      </c>
      <c r="E120" s="21"/>
      <c r="F120" s="29" t="s">
        <v>1982</v>
      </c>
      <c r="G120" s="29" t="s">
        <v>4292</v>
      </c>
      <c r="H120" s="48">
        <v>195.0</v>
      </c>
      <c r="I120" s="65"/>
      <c r="J120" s="61">
        <v>980.0</v>
      </c>
      <c r="K120" s="60">
        <v>1.0</v>
      </c>
      <c r="L120" s="33">
        <f>IF('Global Precios'!J120*(1-I120)*(1+'Global Precios'!K120)&gt;10000,MROUND('Global Precios'!J120*(1-I120)*(1+'Global Precios'!K120),1000),MROUND('Global Precios'!J120*(1-I120)*(1+'Global Precios'!K120),500))</f>
        <v>2000</v>
      </c>
      <c r="M120" s="91">
        <v>1.0</v>
      </c>
      <c r="N120" s="29" t="s">
        <v>46</v>
      </c>
      <c r="O120" s="21"/>
      <c r="P120" s="35">
        <v>45839.0</v>
      </c>
      <c r="Q120" s="36">
        <f t="shared" si="7"/>
        <v>20</v>
      </c>
      <c r="R120" s="37">
        <v>30.0</v>
      </c>
      <c r="S120" s="21"/>
      <c r="T120" s="41" t="str">
        <f>IFERROR(VLOOKUP(D120,BUSCARV!$A$1:$C$5524,2,0),"")</f>
        <v/>
      </c>
      <c r="U120" s="42"/>
      <c r="V120" s="42" t="str">
        <f t="shared" si="3"/>
        <v/>
      </c>
      <c r="W120" s="44" t="str">
        <f t="shared" si="4"/>
        <v/>
      </c>
      <c r="X120" s="44"/>
      <c r="Y120" s="45">
        <f t="shared" si="5"/>
        <v>0</v>
      </c>
      <c r="Z120" s="46" t="s">
        <v>449</v>
      </c>
      <c r="AA120" s="46" t="s">
        <v>4298</v>
      </c>
    </row>
    <row r="121">
      <c r="A121" s="91">
        <v>123.0</v>
      </c>
      <c r="B121" s="21"/>
      <c r="C121" s="29" t="s">
        <v>3</v>
      </c>
      <c r="D121" s="29" t="s">
        <v>443</v>
      </c>
      <c r="E121" s="21"/>
      <c r="F121" s="29" t="s">
        <v>1982</v>
      </c>
      <c r="G121" s="29" t="s">
        <v>4292</v>
      </c>
      <c r="H121" s="48">
        <v>227.0</v>
      </c>
      <c r="I121" s="65"/>
      <c r="J121" s="61">
        <v>1225.0</v>
      </c>
      <c r="K121" s="60">
        <v>1.0</v>
      </c>
      <c r="L121" s="33">
        <f>IF('Global Precios'!J121*(1-I121)*(1+'Global Precios'!K121)&gt;10000,MROUND('Global Precios'!J121*(1-I121)*(1+'Global Precios'!K121),1000),MROUND('Global Precios'!J121*(1-I121)*(1+'Global Precios'!K121),500))</f>
        <v>2500</v>
      </c>
      <c r="M121" s="91">
        <v>1.0</v>
      </c>
      <c r="N121" s="29" t="s">
        <v>46</v>
      </c>
      <c r="O121" s="21"/>
      <c r="P121" s="35">
        <v>45839.0</v>
      </c>
      <c r="Q121" s="36">
        <f t="shared" si="7"/>
        <v>20</v>
      </c>
      <c r="R121" s="37">
        <v>30.0</v>
      </c>
      <c r="S121" s="21"/>
      <c r="T121" s="41" t="str">
        <f>IFERROR(VLOOKUP(D121,BUSCARV!$A$1:$C$5524,2,0),"")</f>
        <v/>
      </c>
      <c r="U121" s="42"/>
      <c r="V121" s="42" t="str">
        <f t="shared" si="3"/>
        <v/>
      </c>
      <c r="W121" s="44" t="str">
        <f t="shared" si="4"/>
        <v/>
      </c>
      <c r="X121" s="44"/>
      <c r="Y121" s="45">
        <f t="shared" si="5"/>
        <v>0</v>
      </c>
      <c r="Z121" s="46" t="s">
        <v>449</v>
      </c>
      <c r="AA121" s="46" t="s">
        <v>4299</v>
      </c>
    </row>
    <row r="122">
      <c r="A122" s="91">
        <v>124.0</v>
      </c>
      <c r="B122" s="21"/>
      <c r="C122" s="29" t="s">
        <v>3</v>
      </c>
      <c r="D122" s="29" t="s">
        <v>447</v>
      </c>
      <c r="E122" s="21"/>
      <c r="F122" s="29" t="s">
        <v>1982</v>
      </c>
      <c r="G122" s="29" t="s">
        <v>4292</v>
      </c>
      <c r="H122" s="48">
        <v>233.0</v>
      </c>
      <c r="I122" s="65"/>
      <c r="J122" s="61">
        <v>1248.0</v>
      </c>
      <c r="K122" s="60">
        <v>1.0</v>
      </c>
      <c r="L122" s="33">
        <f>IF('Global Precios'!J122*(1-I122)*(1+'Global Precios'!K122)&gt;10000,MROUND('Global Precios'!J122*(1-I122)*(1+'Global Precios'!K122),1000),MROUND('Global Precios'!J122*(1-I122)*(1+'Global Precios'!K122),500))</f>
        <v>2500</v>
      </c>
      <c r="M122" s="91">
        <v>1.0</v>
      </c>
      <c r="N122" s="29" t="s">
        <v>46</v>
      </c>
      <c r="O122" s="21"/>
      <c r="P122" s="35">
        <v>45839.0</v>
      </c>
      <c r="Q122" s="36">
        <f t="shared" si="7"/>
        <v>20</v>
      </c>
      <c r="R122" s="37">
        <v>30.0</v>
      </c>
      <c r="S122" s="21"/>
      <c r="T122" s="41" t="str">
        <f>IFERROR(VLOOKUP(D122,BUSCARV!$A$1:$C$5524,2,0),"")</f>
        <v/>
      </c>
      <c r="U122" s="42"/>
      <c r="V122" s="42" t="str">
        <f t="shared" si="3"/>
        <v/>
      </c>
      <c r="W122" s="44" t="str">
        <f t="shared" si="4"/>
        <v/>
      </c>
      <c r="X122" s="44"/>
      <c r="Y122" s="45">
        <f t="shared" si="5"/>
        <v>0</v>
      </c>
      <c r="Z122" s="46" t="s">
        <v>449</v>
      </c>
      <c r="AA122" s="46" t="s">
        <v>4300</v>
      </c>
    </row>
    <row r="123">
      <c r="A123" s="91">
        <v>125.0</v>
      </c>
      <c r="B123" s="21"/>
      <c r="C123" s="29" t="s">
        <v>3</v>
      </c>
      <c r="D123" s="29" t="s">
        <v>451</v>
      </c>
      <c r="E123" s="21"/>
      <c r="F123" s="29" t="s">
        <v>1982</v>
      </c>
      <c r="G123" s="29" t="s">
        <v>4292</v>
      </c>
      <c r="H123" s="48">
        <v>291.0</v>
      </c>
      <c r="I123" s="65"/>
      <c r="J123" s="61">
        <v>1664.0</v>
      </c>
      <c r="K123" s="60">
        <v>1.0</v>
      </c>
      <c r="L123" s="33">
        <f>IF('Global Precios'!J123*(1-I123)*(1+'Global Precios'!K123)&gt;10000,MROUND('Global Precios'!J123*(1-I123)*(1+'Global Precios'!K123),1000),MROUND('Global Precios'!J123*(1-I123)*(1+'Global Precios'!K123),500))</f>
        <v>3500</v>
      </c>
      <c r="M123" s="91">
        <v>1.0</v>
      </c>
      <c r="N123" s="29" t="s">
        <v>46</v>
      </c>
      <c r="O123" s="21"/>
      <c r="P123" s="35">
        <v>45839.0</v>
      </c>
      <c r="Q123" s="36">
        <f t="shared" si="7"/>
        <v>20</v>
      </c>
      <c r="R123" s="37">
        <v>30.0</v>
      </c>
      <c r="S123" s="21"/>
      <c r="T123" s="41" t="str">
        <f>IFERROR(VLOOKUP(D123,BUSCARV!$A$1:$C$5524,2,0),"")</f>
        <v/>
      </c>
      <c r="U123" s="42"/>
      <c r="V123" s="42" t="str">
        <f t="shared" si="3"/>
        <v/>
      </c>
      <c r="W123" s="44" t="str">
        <f t="shared" si="4"/>
        <v/>
      </c>
      <c r="X123" s="44"/>
      <c r="Y123" s="45">
        <f t="shared" si="5"/>
        <v>0</v>
      </c>
      <c r="Z123" s="46" t="s">
        <v>449</v>
      </c>
      <c r="AA123" s="46" t="s">
        <v>4301</v>
      </c>
    </row>
    <row r="124">
      <c r="A124" s="91">
        <v>126.0</v>
      </c>
      <c r="B124" s="21"/>
      <c r="C124" s="29" t="s">
        <v>3</v>
      </c>
      <c r="D124" s="50" t="s">
        <v>4302</v>
      </c>
      <c r="E124" s="50" t="s">
        <v>4294</v>
      </c>
      <c r="F124" s="29" t="s">
        <v>1982</v>
      </c>
      <c r="G124" s="29" t="s">
        <v>4292</v>
      </c>
      <c r="H124" s="48">
        <v>305.0</v>
      </c>
      <c r="I124" s="65"/>
      <c r="J124" s="61">
        <v>1722.0</v>
      </c>
      <c r="K124" s="60">
        <v>1.0</v>
      </c>
      <c r="L124" s="33">
        <f>IF('Global Precios'!J124*(1-I124)*(1+'Global Precios'!K124)&gt;10000,MROUND('Global Precios'!J124*(1-I124)*(1+'Global Precios'!K124),1000),MROUND('Global Precios'!J124*(1-I124)*(1+'Global Precios'!K124),500))</f>
        <v>3500</v>
      </c>
      <c r="M124" s="91">
        <v>1.0</v>
      </c>
      <c r="N124" s="29" t="s">
        <v>46</v>
      </c>
      <c r="O124" s="21"/>
      <c r="P124" s="35">
        <v>45839.0</v>
      </c>
      <c r="Q124" s="36">
        <f t="shared" si="7"/>
        <v>16</v>
      </c>
      <c r="R124" s="37">
        <v>30.0</v>
      </c>
      <c r="S124" s="21"/>
      <c r="T124" s="41" t="str">
        <f>IFERROR(VLOOKUP(D124,BUSCARV!$A$1:$C$5524,2,0),"")</f>
        <v/>
      </c>
      <c r="U124" s="42"/>
      <c r="V124" s="42" t="str">
        <f t="shared" si="3"/>
        <v/>
      </c>
      <c r="W124" s="44" t="str">
        <f t="shared" si="4"/>
        <v/>
      </c>
      <c r="X124" s="44"/>
      <c r="Y124" s="45">
        <f t="shared" si="5"/>
        <v>0</v>
      </c>
      <c r="Z124" s="46" t="s">
        <v>449</v>
      </c>
      <c r="AA124" s="46" t="s">
        <v>4303</v>
      </c>
    </row>
    <row r="125">
      <c r="A125" s="91">
        <v>127.0</v>
      </c>
      <c r="B125" s="21"/>
      <c r="C125" s="29" t="s">
        <v>3</v>
      </c>
      <c r="D125" s="50" t="s">
        <v>4304</v>
      </c>
      <c r="E125" s="50" t="s">
        <v>4294</v>
      </c>
      <c r="F125" s="29" t="s">
        <v>1982</v>
      </c>
      <c r="G125" s="29" t="s">
        <v>4292</v>
      </c>
      <c r="H125" s="48">
        <v>963.0</v>
      </c>
      <c r="I125" s="65"/>
      <c r="J125" s="61">
        <v>2033.0</v>
      </c>
      <c r="K125" s="60">
        <v>1.0</v>
      </c>
      <c r="L125" s="33">
        <f>IF('Global Precios'!J125*(1-I125)*(1+'Global Precios'!K125)&gt;10000,MROUND('Global Precios'!J125*(1-I125)*(1+'Global Precios'!K125),1000),MROUND('Global Precios'!J125*(1-I125)*(1+'Global Precios'!K125),500))</f>
        <v>4000</v>
      </c>
      <c r="M125" s="91">
        <v>1.0</v>
      </c>
      <c r="N125" s="29" t="s">
        <v>46</v>
      </c>
      <c r="O125" s="21"/>
      <c r="P125" s="35">
        <v>45839.0</v>
      </c>
      <c r="Q125" s="36">
        <f t="shared" si="7"/>
        <v>16</v>
      </c>
      <c r="R125" s="37">
        <v>30.0</v>
      </c>
      <c r="S125" s="21"/>
      <c r="T125" s="41" t="str">
        <f>IFERROR(VLOOKUP(D125,BUSCARV!$A$1:$C$5524,2,0),"")</f>
        <v/>
      </c>
      <c r="U125" s="42"/>
      <c r="V125" s="42" t="str">
        <f t="shared" si="3"/>
        <v/>
      </c>
      <c r="W125" s="44" t="str">
        <f t="shared" si="4"/>
        <v/>
      </c>
      <c r="X125" s="44"/>
      <c r="Y125" s="45">
        <f t="shared" si="5"/>
        <v>0</v>
      </c>
      <c r="Z125" s="46" t="s">
        <v>449</v>
      </c>
      <c r="AA125" s="46" t="s">
        <v>4305</v>
      </c>
    </row>
    <row r="126">
      <c r="A126" s="91">
        <v>128.0</v>
      </c>
      <c r="B126" s="21"/>
      <c r="C126" s="29" t="s">
        <v>3</v>
      </c>
      <c r="D126" s="21" t="s">
        <v>460</v>
      </c>
      <c r="E126" s="21"/>
      <c r="F126" s="29" t="s">
        <v>1982</v>
      </c>
      <c r="G126" s="29" t="s">
        <v>4292</v>
      </c>
      <c r="H126" s="48">
        <v>1284.0</v>
      </c>
      <c r="I126" s="65"/>
      <c r="J126" s="61">
        <v>2880.0</v>
      </c>
      <c r="K126" s="60">
        <v>1.0</v>
      </c>
      <c r="L126" s="33">
        <f>IF('Global Precios'!J126*(1-I126)*(1+'Global Precios'!K126)&gt;1000,MROUND('Global Precios'!J126*(1-I126)*(1+'Global Precios'!K126),100),MROUND('Global Precios'!J126*(1-I126)*(1+'Global Precios'!K126),10))</f>
        <v>5800</v>
      </c>
      <c r="M126" s="91">
        <v>1.0</v>
      </c>
      <c r="N126" s="29" t="s">
        <v>46</v>
      </c>
      <c r="O126" s="21"/>
      <c r="P126" s="35">
        <v>45323.0</v>
      </c>
      <c r="Q126" s="36">
        <f t="shared" si="7"/>
        <v>27</v>
      </c>
      <c r="R126" s="37">
        <v>30.0</v>
      </c>
      <c r="S126" s="21"/>
      <c r="T126" s="41" t="str">
        <f>IFERROR(VLOOKUP(D126,BUSCARV!$A$1:$C$5524,2,0),"")</f>
        <v/>
      </c>
      <c r="U126" s="63"/>
      <c r="V126" s="42" t="str">
        <f t="shared" si="3"/>
        <v/>
      </c>
      <c r="W126" s="44" t="str">
        <f t="shared" si="4"/>
        <v/>
      </c>
      <c r="X126" s="44"/>
      <c r="Y126" s="45">
        <f t="shared" si="5"/>
        <v>0</v>
      </c>
      <c r="Z126" s="46" t="s">
        <v>1075</v>
      </c>
      <c r="AA126" s="46"/>
    </row>
    <row r="127">
      <c r="A127" s="91">
        <v>129.0</v>
      </c>
      <c r="B127" s="21"/>
      <c r="C127" s="29" t="s">
        <v>3</v>
      </c>
      <c r="D127" s="29" t="s">
        <v>4306</v>
      </c>
      <c r="E127" s="21"/>
      <c r="F127" s="29" t="s">
        <v>1982</v>
      </c>
      <c r="G127" s="29" t="s">
        <v>4292</v>
      </c>
      <c r="H127" s="48">
        <v>214.0</v>
      </c>
      <c r="I127" s="65"/>
      <c r="J127" s="61">
        <v>597.0</v>
      </c>
      <c r="K127" s="60">
        <v>1.0</v>
      </c>
      <c r="L127" s="33">
        <f>IF('Global Precios'!J127*(1-I127)*(1+'Global Precios'!K127)&gt;1000,MROUND('Global Precios'!J127*(1-I127)*(1+'Global Precios'!K127),100),MROUND('Global Precios'!J127*(1-I127)*(1+'Global Precios'!K127),10))</f>
        <v>1200</v>
      </c>
      <c r="M127" s="91">
        <v>1.0</v>
      </c>
      <c r="N127" s="29" t="s">
        <v>46</v>
      </c>
      <c r="O127" s="21"/>
      <c r="P127" s="35">
        <v>45323.0</v>
      </c>
      <c r="Q127" s="36">
        <f t="shared" si="7"/>
        <v>22</v>
      </c>
      <c r="R127" s="37">
        <v>30.0</v>
      </c>
      <c r="S127" s="21"/>
      <c r="T127" s="41" t="str">
        <f>IFERROR(VLOOKUP(D127,BUSCARV!$A$1:$C$5524,2,0),"")</f>
        <v/>
      </c>
      <c r="U127" s="63"/>
      <c r="V127" s="42" t="str">
        <f t="shared" si="3"/>
        <v/>
      </c>
      <c r="W127" s="44" t="str">
        <f t="shared" si="4"/>
        <v/>
      </c>
      <c r="X127" s="44"/>
      <c r="Y127" s="45">
        <f t="shared" si="5"/>
        <v>0</v>
      </c>
      <c r="Z127" s="46" t="s">
        <v>1075</v>
      </c>
      <c r="AA127" s="46" t="s">
        <v>4307</v>
      </c>
    </row>
    <row r="128">
      <c r="A128" s="91">
        <v>130.0</v>
      </c>
      <c r="B128" s="21"/>
      <c r="C128" s="29" t="s">
        <v>3</v>
      </c>
      <c r="D128" s="93" t="s">
        <v>467</v>
      </c>
      <c r="E128" s="21"/>
      <c r="F128" s="29" t="s">
        <v>1982</v>
      </c>
      <c r="G128" s="29" t="s">
        <v>4308</v>
      </c>
      <c r="H128" s="48">
        <v>749.0</v>
      </c>
      <c r="I128" s="65"/>
      <c r="J128" s="61">
        <v>3146.0</v>
      </c>
      <c r="K128" s="60">
        <v>1.0</v>
      </c>
      <c r="L128" s="33">
        <f>IF('Global Precios'!J128*(1-I128)*(1+'Global Precios'!K128)&gt;10000,MROUND('Global Precios'!J128*(1-I128)*(1+'Global Precios'!K128),1000),MROUND('Global Precios'!J128*(1-I128)*(1+'Global Precios'!K128),500))</f>
        <v>6500</v>
      </c>
      <c r="M128" s="91">
        <v>1.0</v>
      </c>
      <c r="N128" s="29" t="s">
        <v>46</v>
      </c>
      <c r="O128" s="21"/>
      <c r="P128" s="35">
        <v>45839.0</v>
      </c>
      <c r="Q128" s="36">
        <f t="shared" si="7"/>
        <v>35</v>
      </c>
      <c r="R128" s="37">
        <v>30.0</v>
      </c>
      <c r="S128" s="21"/>
      <c r="T128" s="41" t="str">
        <f>IFERROR(VLOOKUP(D128,BUSCARV!$A$1:$C$5524,2,0),"")</f>
        <v/>
      </c>
      <c r="U128" s="42"/>
      <c r="V128" s="42" t="str">
        <f t="shared" si="3"/>
        <v/>
      </c>
      <c r="W128" s="44" t="str">
        <f t="shared" si="4"/>
        <v/>
      </c>
      <c r="X128" s="44"/>
      <c r="Y128" s="45">
        <f t="shared" si="5"/>
        <v>0</v>
      </c>
      <c r="Z128" s="46" t="s">
        <v>449</v>
      </c>
      <c r="AA128" s="46"/>
    </row>
    <row r="129">
      <c r="A129" s="91">
        <v>131.0</v>
      </c>
      <c r="B129" s="21"/>
      <c r="C129" s="29" t="s">
        <v>3</v>
      </c>
      <c r="D129" s="93" t="s">
        <v>470</v>
      </c>
      <c r="E129" s="21"/>
      <c r="F129" s="29" t="s">
        <v>1982</v>
      </c>
      <c r="G129" s="29" t="s">
        <v>4308</v>
      </c>
      <c r="H129" s="48">
        <v>599.0</v>
      </c>
      <c r="I129" s="65"/>
      <c r="J129" s="61">
        <v>1346.0</v>
      </c>
      <c r="K129" s="60">
        <v>1.0</v>
      </c>
      <c r="L129" s="33">
        <f>IF('Global Precios'!J129*(1-I129)*(1+'Global Precios'!K129)&gt;1000,MROUND('Global Precios'!J129*(1-I129)*(1+'Global Precios'!K129),100),MROUND('Global Precios'!J129*(1-I129)*(1+'Global Precios'!K129),10))</f>
        <v>2700</v>
      </c>
      <c r="M129" s="91">
        <v>1.0</v>
      </c>
      <c r="N129" s="29" t="s">
        <v>46</v>
      </c>
      <c r="O129" s="21"/>
      <c r="P129" s="35">
        <v>45323.0</v>
      </c>
      <c r="Q129" s="36">
        <f t="shared" si="7"/>
        <v>31</v>
      </c>
      <c r="R129" s="37">
        <v>30.0</v>
      </c>
      <c r="S129" s="21"/>
      <c r="T129" s="41" t="str">
        <f>IFERROR(VLOOKUP(D129,BUSCARV!$A$1:$C$5524,2,0),"")</f>
        <v/>
      </c>
      <c r="U129" s="63"/>
      <c r="V129" s="42" t="str">
        <f t="shared" si="3"/>
        <v/>
      </c>
      <c r="W129" s="44" t="str">
        <f t="shared" si="4"/>
        <v/>
      </c>
      <c r="X129" s="44"/>
      <c r="Y129" s="45">
        <f t="shared" si="5"/>
        <v>0</v>
      </c>
      <c r="Z129" s="46" t="s">
        <v>1075</v>
      </c>
      <c r="AA129" s="46"/>
    </row>
    <row r="130">
      <c r="A130" s="91">
        <v>132.0</v>
      </c>
      <c r="B130" s="21"/>
      <c r="C130" s="29" t="s">
        <v>3</v>
      </c>
      <c r="D130" s="93" t="s">
        <v>473</v>
      </c>
      <c r="E130" s="21"/>
      <c r="F130" s="29" t="s">
        <v>1982</v>
      </c>
      <c r="G130" s="29" t="s">
        <v>4308</v>
      </c>
      <c r="H130" s="48">
        <v>360.0</v>
      </c>
      <c r="I130" s="65"/>
      <c r="J130" s="61">
        <v>1649.0</v>
      </c>
      <c r="K130" s="60">
        <v>1.0</v>
      </c>
      <c r="L130" s="33">
        <f>IF('Global Precios'!J130*(1-I130)*(1+'Global Precios'!K130)&gt;10000,MROUND('Global Precios'!J130*(1-I130)*(1+'Global Precios'!K130),1000),MROUND('Global Precios'!J130*(1-I130)*(1+'Global Precios'!K130),500))</f>
        <v>3500</v>
      </c>
      <c r="M130" s="91">
        <v>1.0</v>
      </c>
      <c r="N130" s="29" t="s">
        <v>46</v>
      </c>
      <c r="O130" s="21"/>
      <c r="P130" s="35">
        <v>45839.0</v>
      </c>
      <c r="Q130" s="36">
        <f t="shared" si="7"/>
        <v>20</v>
      </c>
      <c r="R130" s="37">
        <v>30.0</v>
      </c>
      <c r="S130" s="21"/>
      <c r="T130" s="41" t="str">
        <f>IFERROR(VLOOKUP(D130,BUSCARV!$A$1:$C$5524,2,0),"")</f>
        <v/>
      </c>
      <c r="U130" s="42"/>
      <c r="V130" s="42" t="str">
        <f t="shared" si="3"/>
        <v/>
      </c>
      <c r="W130" s="44" t="str">
        <f t="shared" si="4"/>
        <v/>
      </c>
      <c r="X130" s="44"/>
      <c r="Y130" s="45">
        <f t="shared" si="5"/>
        <v>0</v>
      </c>
      <c r="Z130" s="46" t="s">
        <v>449</v>
      </c>
      <c r="AA130" s="46" t="s">
        <v>4309</v>
      </c>
    </row>
    <row r="131">
      <c r="A131" s="91">
        <v>133.0</v>
      </c>
      <c r="B131" s="21"/>
      <c r="C131" s="29" t="s">
        <v>3</v>
      </c>
      <c r="D131" s="93" t="s">
        <v>477</v>
      </c>
      <c r="E131" s="21"/>
      <c r="F131" s="29" t="s">
        <v>1982</v>
      </c>
      <c r="G131" s="29" t="s">
        <v>4308</v>
      </c>
      <c r="H131" s="48">
        <v>508.0</v>
      </c>
      <c r="I131" s="65"/>
      <c r="J131" s="61">
        <v>2835.0</v>
      </c>
      <c r="K131" s="60">
        <v>1.0</v>
      </c>
      <c r="L131" s="33">
        <f>IF('Global Precios'!J131*(1-I131)*(1+'Global Precios'!K131)&gt;10000,MROUND('Global Precios'!J131*(1-I131)*(1+'Global Precios'!K131),1000),MROUND('Global Precios'!J131*(1-I131)*(1+'Global Precios'!K131),500))</f>
        <v>5500</v>
      </c>
      <c r="M131" s="91">
        <v>1.0</v>
      </c>
      <c r="N131" s="29" t="s">
        <v>46</v>
      </c>
      <c r="O131" s="21"/>
      <c r="P131" s="35">
        <v>45839.0</v>
      </c>
      <c r="Q131" s="36">
        <f t="shared" si="7"/>
        <v>19</v>
      </c>
      <c r="R131" s="37">
        <v>30.0</v>
      </c>
      <c r="S131" s="21"/>
      <c r="T131" s="41" t="str">
        <f>IFERROR(VLOOKUP(D131,BUSCARV!$A$1:$C$5524,2,0),"")</f>
        <v/>
      </c>
      <c r="U131" s="42"/>
      <c r="V131" s="42" t="str">
        <f t="shared" si="3"/>
        <v/>
      </c>
      <c r="W131" s="44" t="str">
        <f t="shared" si="4"/>
        <v/>
      </c>
      <c r="X131" s="44"/>
      <c r="Y131" s="45">
        <f t="shared" si="5"/>
        <v>0</v>
      </c>
      <c r="Z131" s="46" t="s">
        <v>449</v>
      </c>
      <c r="AA131" s="46" t="s">
        <v>4310</v>
      </c>
    </row>
    <row r="132">
      <c r="A132" s="91">
        <v>136.0</v>
      </c>
      <c r="B132" s="21"/>
      <c r="C132" s="29" t="s">
        <v>3</v>
      </c>
      <c r="D132" s="93" t="s">
        <v>480</v>
      </c>
      <c r="E132" s="21"/>
      <c r="F132" s="29" t="s">
        <v>1982</v>
      </c>
      <c r="G132" s="29" t="s">
        <v>4311</v>
      </c>
      <c r="H132" s="48">
        <v>403.0</v>
      </c>
      <c r="I132" s="65"/>
      <c r="J132" s="61">
        <v>2191.0</v>
      </c>
      <c r="K132" s="60">
        <v>1.0</v>
      </c>
      <c r="L132" s="33">
        <f>IF('Global Precios'!J132*(1-I132)*(1+'Global Precios'!K132)&gt;10000,MROUND('Global Precios'!J132*(1-I132)*(1+'Global Precios'!K132),1000),MROUND('Global Precios'!J132*(1-I132)*(1+'Global Precios'!K132),500))</f>
        <v>4500</v>
      </c>
      <c r="M132" s="94">
        <v>1.0</v>
      </c>
      <c r="N132" s="29" t="s">
        <v>46</v>
      </c>
      <c r="O132" s="21"/>
      <c r="P132" s="35">
        <v>45839.0</v>
      </c>
      <c r="Q132" s="36">
        <f t="shared" si="7"/>
        <v>20</v>
      </c>
      <c r="R132" s="37">
        <v>30.0</v>
      </c>
      <c r="S132" s="21"/>
      <c r="T132" s="41" t="str">
        <f>IFERROR(VLOOKUP(D132,BUSCARV!$A$1:$C$5524,2,0),"")</f>
        <v/>
      </c>
      <c r="U132" s="42"/>
      <c r="V132" s="42" t="str">
        <f t="shared" si="3"/>
        <v/>
      </c>
      <c r="W132" s="44" t="str">
        <f t="shared" si="4"/>
        <v/>
      </c>
      <c r="X132" s="44"/>
      <c r="Y132" s="45">
        <f t="shared" si="5"/>
        <v>0</v>
      </c>
      <c r="Z132" s="46" t="s">
        <v>449</v>
      </c>
      <c r="AA132" s="46" t="s">
        <v>4312</v>
      </c>
    </row>
    <row r="133">
      <c r="A133" s="91">
        <v>137.0</v>
      </c>
      <c r="B133" s="21"/>
      <c r="C133" s="29" t="s">
        <v>3</v>
      </c>
      <c r="D133" s="93" t="s">
        <v>483</v>
      </c>
      <c r="E133" s="21"/>
      <c r="F133" s="29" t="s">
        <v>1982</v>
      </c>
      <c r="G133" s="29" t="s">
        <v>4311</v>
      </c>
      <c r="H133" s="48">
        <v>427.0</v>
      </c>
      <c r="I133" s="65"/>
      <c r="J133" s="61">
        <v>2196.0</v>
      </c>
      <c r="K133" s="60">
        <v>1.0</v>
      </c>
      <c r="L133" s="33">
        <f>IF('Global Precios'!J133*(1-I133)*(1+'Global Precios'!K133)&gt;10000,MROUND('Global Precios'!J133*(1-I133)*(1+'Global Precios'!K133),1000),MROUND('Global Precios'!J133*(1-I133)*(1+'Global Precios'!K133),500))</f>
        <v>4500</v>
      </c>
      <c r="M133" s="94">
        <v>1.0</v>
      </c>
      <c r="N133" s="29" t="s">
        <v>46</v>
      </c>
      <c r="O133" s="21"/>
      <c r="P133" s="35">
        <v>45839.0</v>
      </c>
      <c r="Q133" s="36">
        <f t="shared" si="7"/>
        <v>20</v>
      </c>
      <c r="R133" s="37">
        <v>30.0</v>
      </c>
      <c r="S133" s="21"/>
      <c r="T133" s="41" t="str">
        <f>IFERROR(VLOOKUP(D133,BUSCARV!$A$1:$C$5524,2,0),"")</f>
        <v/>
      </c>
      <c r="U133" s="42"/>
      <c r="V133" s="42" t="str">
        <f t="shared" si="3"/>
        <v/>
      </c>
      <c r="W133" s="44" t="str">
        <f t="shared" si="4"/>
        <v/>
      </c>
      <c r="X133" s="44"/>
      <c r="Y133" s="45">
        <f t="shared" si="5"/>
        <v>0</v>
      </c>
      <c r="Z133" s="46" t="s">
        <v>449</v>
      </c>
      <c r="AA133" s="46" t="s">
        <v>4313</v>
      </c>
    </row>
    <row r="134">
      <c r="A134" s="91">
        <v>138.0</v>
      </c>
      <c r="B134" s="21"/>
      <c r="C134" s="29" t="s">
        <v>3</v>
      </c>
      <c r="D134" s="93" t="s">
        <v>487</v>
      </c>
      <c r="E134" s="21"/>
      <c r="F134" s="29" t="s">
        <v>1982</v>
      </c>
      <c r="G134" s="29" t="s">
        <v>4311</v>
      </c>
      <c r="H134" s="48">
        <v>626.0</v>
      </c>
      <c r="I134" s="65"/>
      <c r="J134" s="61">
        <v>2999.0</v>
      </c>
      <c r="K134" s="60">
        <v>1.0</v>
      </c>
      <c r="L134" s="33">
        <f>IF('Global Precios'!J134*(1-I134)*(1+'Global Precios'!K134)&gt;10000,MROUND('Global Precios'!J134*(1-I134)*(1+'Global Precios'!K134),1000),MROUND('Global Precios'!J134*(1-I134)*(1+'Global Precios'!K134),500))</f>
        <v>6000</v>
      </c>
      <c r="M134" s="94">
        <v>1.0</v>
      </c>
      <c r="N134" s="29" t="s">
        <v>46</v>
      </c>
      <c r="O134" s="21"/>
      <c r="P134" s="35">
        <v>45839.0</v>
      </c>
      <c r="Q134" s="36">
        <f t="shared" si="7"/>
        <v>20</v>
      </c>
      <c r="R134" s="37">
        <v>30.0</v>
      </c>
      <c r="S134" s="21"/>
      <c r="T134" s="41" t="str">
        <f>IFERROR(VLOOKUP(D134,BUSCARV!$A$1:$C$5524,2,0),"")</f>
        <v/>
      </c>
      <c r="U134" s="42"/>
      <c r="V134" s="42" t="str">
        <f t="shared" si="3"/>
        <v/>
      </c>
      <c r="W134" s="44" t="str">
        <f t="shared" si="4"/>
        <v/>
      </c>
      <c r="X134" s="44"/>
      <c r="Y134" s="45">
        <f t="shared" si="5"/>
        <v>0</v>
      </c>
      <c r="Z134" s="46" t="s">
        <v>449</v>
      </c>
      <c r="AA134" s="46" t="s">
        <v>4314</v>
      </c>
    </row>
    <row r="135">
      <c r="A135" s="91">
        <v>139.0</v>
      </c>
      <c r="B135" s="21"/>
      <c r="C135" s="29" t="s">
        <v>3</v>
      </c>
      <c r="D135" s="93" t="s">
        <v>491</v>
      </c>
      <c r="E135" s="21"/>
      <c r="F135" s="29" t="s">
        <v>1982</v>
      </c>
      <c r="G135" s="29" t="s">
        <v>4311</v>
      </c>
      <c r="H135" s="48">
        <v>1160.0</v>
      </c>
      <c r="I135" s="65"/>
      <c r="J135" s="61">
        <v>3910.0</v>
      </c>
      <c r="K135" s="60">
        <v>1.0</v>
      </c>
      <c r="L135" s="33">
        <f>IF('Global Precios'!J135*(1-I135)*(1+'Global Precios'!K135)&gt;1000,MROUND('Global Precios'!J135*(1-I135)*(1+'Global Precios'!K135),100),MROUND('Global Precios'!J135*(1-I135)*(1+'Global Precios'!K135),10))</f>
        <v>7800</v>
      </c>
      <c r="M135" s="94">
        <v>1.0</v>
      </c>
      <c r="N135" s="29" t="s">
        <v>46</v>
      </c>
      <c r="O135" s="21"/>
      <c r="P135" s="35">
        <v>45383.0</v>
      </c>
      <c r="Q135" s="36">
        <f t="shared" si="7"/>
        <v>32</v>
      </c>
      <c r="R135" s="37">
        <v>30.0</v>
      </c>
      <c r="S135" s="21"/>
      <c r="T135" s="41" t="str">
        <f>IFERROR(VLOOKUP(D135,BUSCARV!$A$1:$C$5524,2,0),"")</f>
        <v/>
      </c>
      <c r="U135" s="63"/>
      <c r="V135" s="42" t="str">
        <f t="shared" si="3"/>
        <v/>
      </c>
      <c r="W135" s="44" t="str">
        <f t="shared" si="4"/>
        <v/>
      </c>
      <c r="X135" s="44"/>
      <c r="Y135" s="45">
        <f t="shared" si="5"/>
        <v>0</v>
      </c>
      <c r="Z135" s="46" t="s">
        <v>1075</v>
      </c>
      <c r="AA135" s="46" t="s">
        <v>4315</v>
      </c>
    </row>
    <row r="136">
      <c r="A136" s="91">
        <v>140.0</v>
      </c>
      <c r="B136" s="21"/>
      <c r="C136" s="29" t="s">
        <v>3</v>
      </c>
      <c r="D136" s="93" t="s">
        <v>495</v>
      </c>
      <c r="E136" s="29"/>
      <c r="F136" s="29" t="s">
        <v>1982</v>
      </c>
      <c r="G136" s="29" t="s">
        <v>4316</v>
      </c>
      <c r="H136" s="48">
        <v>513.0</v>
      </c>
      <c r="I136" s="65"/>
      <c r="J136" s="61">
        <v>2577.0</v>
      </c>
      <c r="K136" s="60">
        <v>0.8</v>
      </c>
      <c r="L136" s="33">
        <f>IF('Global Precios'!J136*(1-I136)*(1+'Global Precios'!K136)&gt;10000,MROUND('Global Precios'!J136*(1-I136)*(1+'Global Precios'!K136),1000),MROUND('Global Precios'!J136*(1-I136)*(1+'Global Precios'!K136),500))</f>
        <v>4500</v>
      </c>
      <c r="M136" s="94">
        <v>1.0</v>
      </c>
      <c r="N136" s="29" t="s">
        <v>46</v>
      </c>
      <c r="O136" s="21"/>
      <c r="P136" s="35">
        <v>45839.0</v>
      </c>
      <c r="Q136" s="36">
        <f t="shared" si="7"/>
        <v>19</v>
      </c>
      <c r="R136" s="37">
        <v>30.0</v>
      </c>
      <c r="S136" s="21"/>
      <c r="T136" s="41" t="str">
        <f>IFERROR(VLOOKUP(D136,BUSCARV!$A$1:$C$5524,2,0),"")</f>
        <v/>
      </c>
      <c r="U136" s="42"/>
      <c r="V136" s="42" t="str">
        <f t="shared" si="3"/>
        <v/>
      </c>
      <c r="W136" s="44" t="str">
        <f t="shared" si="4"/>
        <v/>
      </c>
      <c r="X136" s="44"/>
      <c r="Y136" s="45">
        <f t="shared" si="5"/>
        <v>0</v>
      </c>
      <c r="Z136" s="46" t="s">
        <v>449</v>
      </c>
      <c r="AA136" s="46" t="s">
        <v>4317</v>
      </c>
    </row>
    <row r="137">
      <c r="A137" s="91">
        <v>141.0</v>
      </c>
      <c r="B137" s="21"/>
      <c r="C137" s="29" t="s">
        <v>3</v>
      </c>
      <c r="D137" s="93" t="s">
        <v>498</v>
      </c>
      <c r="E137" s="29"/>
      <c r="F137" s="29" t="s">
        <v>1982</v>
      </c>
      <c r="G137" s="29" t="s">
        <v>4316</v>
      </c>
      <c r="H137" s="48">
        <v>616.0</v>
      </c>
      <c r="I137" s="65"/>
      <c r="J137" s="61">
        <v>2892.0</v>
      </c>
      <c r="K137" s="60">
        <v>0.8</v>
      </c>
      <c r="L137" s="33">
        <f>IF('Global Precios'!J137*(1-I137)*(1+'Global Precios'!K137)&gt;10000,MROUND('Global Precios'!J137*(1-I137)*(1+'Global Precios'!K137),1000),MROUND('Global Precios'!J137*(1-I137)*(1+'Global Precios'!K137),500))</f>
        <v>5000</v>
      </c>
      <c r="M137" s="94">
        <v>1.0</v>
      </c>
      <c r="N137" s="29" t="s">
        <v>46</v>
      </c>
      <c r="O137" s="21"/>
      <c r="P137" s="35">
        <v>45839.0</v>
      </c>
      <c r="Q137" s="36">
        <f t="shared" si="7"/>
        <v>19</v>
      </c>
      <c r="R137" s="37">
        <v>30.0</v>
      </c>
      <c r="S137" s="21"/>
      <c r="T137" s="41" t="str">
        <f>IFERROR(VLOOKUP(D137,BUSCARV!$A$1:$C$5524,2,0),"")</f>
        <v/>
      </c>
      <c r="U137" s="42"/>
      <c r="V137" s="42" t="str">
        <f t="shared" si="3"/>
        <v/>
      </c>
      <c r="W137" s="44" t="str">
        <f t="shared" si="4"/>
        <v/>
      </c>
      <c r="X137" s="44"/>
      <c r="Y137" s="45">
        <f t="shared" si="5"/>
        <v>0</v>
      </c>
      <c r="Z137" s="46" t="s">
        <v>449</v>
      </c>
      <c r="AA137" s="46" t="s">
        <v>4318</v>
      </c>
    </row>
    <row r="138">
      <c r="A138" s="91">
        <v>142.0</v>
      </c>
      <c r="B138" s="21"/>
      <c r="C138" s="29" t="s">
        <v>3</v>
      </c>
      <c r="D138" s="93" t="s">
        <v>502</v>
      </c>
      <c r="E138" s="29"/>
      <c r="F138" s="29" t="s">
        <v>1982</v>
      </c>
      <c r="G138" s="29" t="s">
        <v>4316</v>
      </c>
      <c r="H138" s="48">
        <v>689.0</v>
      </c>
      <c r="I138" s="65"/>
      <c r="J138" s="61">
        <v>3106.0</v>
      </c>
      <c r="K138" s="60">
        <v>1.0</v>
      </c>
      <c r="L138" s="33">
        <f>IF('Global Precios'!J138*(1-I138)*(1+'Global Precios'!K138)&gt;10000,MROUND('Global Precios'!J138*(1-I138)*(1+'Global Precios'!K138),1000),MROUND('Global Precios'!J138*(1-I138)*(1+'Global Precios'!K138),500))</f>
        <v>6000</v>
      </c>
      <c r="M138" s="94">
        <v>1.0</v>
      </c>
      <c r="N138" s="29" t="s">
        <v>46</v>
      </c>
      <c r="O138" s="21"/>
      <c r="P138" s="35">
        <v>45839.0</v>
      </c>
      <c r="Q138" s="36">
        <f t="shared" si="7"/>
        <v>19</v>
      </c>
      <c r="R138" s="37">
        <v>30.0</v>
      </c>
      <c r="S138" s="21"/>
      <c r="T138" s="41" t="str">
        <f>IFERROR(VLOOKUP(D138,BUSCARV!$A$1:$C$5524,2,0),"")</f>
        <v/>
      </c>
      <c r="U138" s="42"/>
      <c r="V138" s="42" t="str">
        <f t="shared" si="3"/>
        <v/>
      </c>
      <c r="W138" s="44" t="str">
        <f t="shared" si="4"/>
        <v/>
      </c>
      <c r="X138" s="44"/>
      <c r="Y138" s="45">
        <f t="shared" si="5"/>
        <v>0</v>
      </c>
      <c r="Z138" s="46" t="s">
        <v>449</v>
      </c>
      <c r="AA138" s="46" t="s">
        <v>4319</v>
      </c>
    </row>
    <row r="139">
      <c r="A139" s="91">
        <v>143.0</v>
      </c>
      <c r="B139" s="21"/>
      <c r="C139" s="29" t="s">
        <v>3</v>
      </c>
      <c r="D139" s="93" t="s">
        <v>505</v>
      </c>
      <c r="E139" s="29"/>
      <c r="F139" s="29" t="s">
        <v>1982</v>
      </c>
      <c r="G139" s="29" t="s">
        <v>4316</v>
      </c>
      <c r="H139" s="48">
        <v>763.0</v>
      </c>
      <c r="I139" s="65"/>
      <c r="J139" s="61">
        <v>3427.0</v>
      </c>
      <c r="K139" s="60">
        <v>0.8</v>
      </c>
      <c r="L139" s="33">
        <f>IF('Global Precios'!J139*(1-I139)*(1+'Global Precios'!K139)&gt;10000,MROUND('Global Precios'!J139*(1-I139)*(1+'Global Precios'!K139),1000),MROUND('Global Precios'!J139*(1-I139)*(1+'Global Precios'!K139),500))</f>
        <v>6000</v>
      </c>
      <c r="M139" s="94">
        <v>1.0</v>
      </c>
      <c r="N139" s="29" t="s">
        <v>46</v>
      </c>
      <c r="O139" s="21"/>
      <c r="P139" s="35">
        <v>45839.0</v>
      </c>
      <c r="Q139" s="36">
        <f t="shared" si="7"/>
        <v>19</v>
      </c>
      <c r="R139" s="37">
        <v>30.0</v>
      </c>
      <c r="S139" s="21"/>
      <c r="T139" s="41" t="str">
        <f>IFERROR(VLOOKUP(D139,BUSCARV!$A$1:$C$5524,2,0),"")</f>
        <v/>
      </c>
      <c r="U139" s="42"/>
      <c r="V139" s="42" t="str">
        <f t="shared" si="3"/>
        <v/>
      </c>
      <c r="W139" s="44" t="str">
        <f t="shared" si="4"/>
        <v/>
      </c>
      <c r="X139" s="44"/>
      <c r="Y139" s="45">
        <f t="shared" si="5"/>
        <v>0</v>
      </c>
      <c r="Z139" s="46" t="s">
        <v>449</v>
      </c>
      <c r="AA139" s="46" t="s">
        <v>4320</v>
      </c>
    </row>
    <row r="140">
      <c r="A140" s="91">
        <v>144.0</v>
      </c>
      <c r="B140" s="21"/>
      <c r="C140" s="29" t="s">
        <v>3</v>
      </c>
      <c r="D140" s="93" t="s">
        <v>509</v>
      </c>
      <c r="E140" s="29"/>
      <c r="F140" s="29" t="s">
        <v>1982</v>
      </c>
      <c r="G140" s="29" t="s">
        <v>4316</v>
      </c>
      <c r="H140" s="48">
        <v>817.0</v>
      </c>
      <c r="I140" s="65"/>
      <c r="J140" s="61">
        <v>3780.0</v>
      </c>
      <c r="K140" s="60">
        <v>0.8</v>
      </c>
      <c r="L140" s="33">
        <f>IF('Global Precios'!J140*(1-I140)*(1+'Global Precios'!K140)&gt;10000,MROUND('Global Precios'!J140*(1-I140)*(1+'Global Precios'!K140),1000),MROUND('Global Precios'!J140*(1-I140)*(1+'Global Precios'!K140),500))</f>
        <v>7000</v>
      </c>
      <c r="M140" s="94">
        <v>1.0</v>
      </c>
      <c r="N140" s="29" t="s">
        <v>46</v>
      </c>
      <c r="O140" s="21"/>
      <c r="P140" s="35">
        <v>45839.0</v>
      </c>
      <c r="Q140" s="36">
        <f t="shared" si="7"/>
        <v>19</v>
      </c>
      <c r="R140" s="37">
        <v>30.0</v>
      </c>
      <c r="S140" s="21"/>
      <c r="T140" s="41" t="str">
        <f>IFERROR(VLOOKUP(D140,BUSCARV!$A$1:$C$5524,2,0),"")</f>
        <v/>
      </c>
      <c r="U140" s="42"/>
      <c r="V140" s="42" t="str">
        <f t="shared" si="3"/>
        <v/>
      </c>
      <c r="W140" s="44" t="str">
        <f t="shared" si="4"/>
        <v/>
      </c>
      <c r="X140" s="44"/>
      <c r="Y140" s="45">
        <f t="shared" si="5"/>
        <v>0</v>
      </c>
      <c r="Z140" s="46" t="s">
        <v>449</v>
      </c>
      <c r="AA140" s="46" t="s">
        <v>4321</v>
      </c>
    </row>
    <row r="141">
      <c r="A141" s="91">
        <v>145.0</v>
      </c>
      <c r="B141" s="21"/>
      <c r="C141" s="29" t="s">
        <v>3</v>
      </c>
      <c r="D141" s="93" t="s">
        <v>513</v>
      </c>
      <c r="E141" s="29" t="s">
        <v>4322</v>
      </c>
      <c r="F141" s="29" t="s">
        <v>1982</v>
      </c>
      <c r="G141" s="29" t="s">
        <v>4316</v>
      </c>
      <c r="H141" s="48">
        <v>610.0</v>
      </c>
      <c r="I141" s="65"/>
      <c r="J141" s="61">
        <v>2214.0</v>
      </c>
      <c r="K141" s="60">
        <v>0.8</v>
      </c>
      <c r="L141" s="33">
        <f>IF('Global Precios'!J141*(1-I141)*(1+'Global Precios'!K141)&gt;1000,MROUND('Global Precios'!J141*(1-I141)*(1+'Global Precios'!K141),100),MROUND('Global Precios'!J141*(1-I141)*(1+'Global Precios'!K141),10))</f>
        <v>4000</v>
      </c>
      <c r="M141" s="94">
        <v>1.0</v>
      </c>
      <c r="N141" s="29" t="s">
        <v>46</v>
      </c>
      <c r="O141" s="21"/>
      <c r="P141" s="35">
        <v>45323.0</v>
      </c>
      <c r="Q141" s="36">
        <f t="shared" si="7"/>
        <v>22</v>
      </c>
      <c r="R141" s="37">
        <v>30.0</v>
      </c>
      <c r="S141" s="21"/>
      <c r="T141" s="41" t="str">
        <f>IFERROR(VLOOKUP(D141,BUSCARV!$A$1:$C$5524,2,0),"")</f>
        <v/>
      </c>
      <c r="U141" s="63"/>
      <c r="V141" s="42" t="str">
        <f t="shared" si="3"/>
        <v/>
      </c>
      <c r="W141" s="44" t="str">
        <f t="shared" si="4"/>
        <v/>
      </c>
      <c r="X141" s="44"/>
      <c r="Y141" s="45">
        <f t="shared" si="5"/>
        <v>0</v>
      </c>
      <c r="Z141" s="46" t="s">
        <v>1075</v>
      </c>
      <c r="AA141" s="46"/>
    </row>
    <row r="142">
      <c r="A142" s="91">
        <v>146.0</v>
      </c>
      <c r="B142" s="21"/>
      <c r="C142" s="29" t="s">
        <v>3</v>
      </c>
      <c r="D142" s="93" t="s">
        <v>517</v>
      </c>
      <c r="E142" s="29" t="s">
        <v>4322</v>
      </c>
      <c r="F142" s="29" t="s">
        <v>1982</v>
      </c>
      <c r="G142" s="29" t="s">
        <v>4316</v>
      </c>
      <c r="H142" s="48">
        <v>732.0</v>
      </c>
      <c r="I142" s="65"/>
      <c r="J142" s="61">
        <v>2413.0</v>
      </c>
      <c r="K142" s="60">
        <v>0.8</v>
      </c>
      <c r="L142" s="33">
        <f>IF('Global Precios'!J142*(1-I142)*(1+'Global Precios'!K142)&gt;1000,MROUND('Global Precios'!J142*(1-I142)*(1+'Global Precios'!K142),100),MROUND('Global Precios'!J142*(1-I142)*(1+'Global Precios'!K142),10))</f>
        <v>4300</v>
      </c>
      <c r="M142" s="94">
        <v>1.0</v>
      </c>
      <c r="N142" s="29" t="s">
        <v>46</v>
      </c>
      <c r="O142" s="21"/>
      <c r="P142" s="35">
        <v>45323.0</v>
      </c>
      <c r="Q142" s="36">
        <f t="shared" si="7"/>
        <v>22</v>
      </c>
      <c r="R142" s="37">
        <v>30.0</v>
      </c>
      <c r="S142" s="21"/>
      <c r="T142" s="41" t="str">
        <f>IFERROR(VLOOKUP(D142,BUSCARV!$A$1:$C$5524,2,0),"")</f>
        <v/>
      </c>
      <c r="U142" s="63"/>
      <c r="V142" s="42" t="str">
        <f t="shared" si="3"/>
        <v/>
      </c>
      <c r="W142" s="44" t="str">
        <f t="shared" si="4"/>
        <v/>
      </c>
      <c r="X142" s="44"/>
      <c r="Y142" s="45">
        <f t="shared" si="5"/>
        <v>0</v>
      </c>
      <c r="Z142" s="46" t="s">
        <v>1075</v>
      </c>
      <c r="AA142" s="46"/>
    </row>
    <row r="143">
      <c r="A143" s="91">
        <v>147.0</v>
      </c>
      <c r="B143" s="21"/>
      <c r="C143" s="29" t="s">
        <v>3</v>
      </c>
      <c r="D143" s="93" t="s">
        <v>521</v>
      </c>
      <c r="E143" s="21"/>
      <c r="F143" s="29" t="s">
        <v>1982</v>
      </c>
      <c r="G143" s="29" t="s">
        <v>4323</v>
      </c>
      <c r="H143" s="48">
        <v>1605.0</v>
      </c>
      <c r="I143" s="65"/>
      <c r="J143" s="61">
        <v>3602.0</v>
      </c>
      <c r="K143" s="60">
        <v>0.7</v>
      </c>
      <c r="L143" s="33">
        <f>IF('Global Precios'!J143*(1-I143)*(1+'Global Precios'!K143)&gt;1000,MROUND('Global Precios'!J143*(1-I143)*(1+'Global Precios'!K143),100),MROUND('Global Precios'!J143*(1-I143)*(1+'Global Precios'!K143),10))</f>
        <v>6100</v>
      </c>
      <c r="M143" s="94">
        <v>1.0</v>
      </c>
      <c r="N143" s="29" t="s">
        <v>46</v>
      </c>
      <c r="O143" s="21"/>
      <c r="P143" s="35">
        <v>45323.0</v>
      </c>
      <c r="Q143" s="36">
        <f t="shared" si="7"/>
        <v>14</v>
      </c>
      <c r="R143" s="37">
        <v>30.0</v>
      </c>
      <c r="S143" s="21"/>
      <c r="T143" s="41" t="str">
        <f>IFERROR(VLOOKUP(D143,BUSCARV!$A$1:$C$5524,2,0),"")</f>
        <v/>
      </c>
      <c r="U143" s="63"/>
      <c r="V143" s="42" t="str">
        <f t="shared" si="3"/>
        <v/>
      </c>
      <c r="W143" s="44" t="str">
        <f t="shared" si="4"/>
        <v/>
      </c>
      <c r="X143" s="44"/>
      <c r="Y143" s="45">
        <f t="shared" si="5"/>
        <v>0</v>
      </c>
      <c r="Z143" s="46" t="s">
        <v>1075</v>
      </c>
      <c r="AA143" s="46"/>
    </row>
    <row r="144">
      <c r="A144" s="91">
        <v>148.0</v>
      </c>
      <c r="B144" s="21"/>
      <c r="C144" s="29" t="s">
        <v>3</v>
      </c>
      <c r="D144" s="93" t="s">
        <v>524</v>
      </c>
      <c r="E144" s="21"/>
      <c r="F144" s="29" t="s">
        <v>1982</v>
      </c>
      <c r="G144" s="29" t="s">
        <v>4323</v>
      </c>
      <c r="H144" s="48">
        <v>3745.0</v>
      </c>
      <c r="I144" s="65"/>
      <c r="J144" s="61">
        <v>8403.0</v>
      </c>
      <c r="K144" s="60">
        <v>0.7</v>
      </c>
      <c r="L144" s="33">
        <f>IF('Global Precios'!J144*(1-I144)*(1+'Global Precios'!K144)&gt;1000,MROUND('Global Precios'!J144*(1-I144)*(1+'Global Precios'!K144),100),MROUND('Global Precios'!J144*(1-I144)*(1+'Global Precios'!K144),10))</f>
        <v>14300</v>
      </c>
      <c r="M144" s="94">
        <v>1.0</v>
      </c>
      <c r="N144" s="29" t="s">
        <v>46</v>
      </c>
      <c r="O144" s="21"/>
      <c r="P144" s="35">
        <v>45323.0</v>
      </c>
      <c r="Q144" s="36">
        <f t="shared" si="7"/>
        <v>14</v>
      </c>
      <c r="R144" s="37">
        <v>30.0</v>
      </c>
      <c r="S144" s="21"/>
      <c r="T144" s="41" t="str">
        <f>IFERROR(VLOOKUP(D144,BUSCARV!$A$1:$C$5524,2,0),"")</f>
        <v/>
      </c>
      <c r="U144" s="63"/>
      <c r="V144" s="42" t="str">
        <f t="shared" si="3"/>
        <v/>
      </c>
      <c r="W144" s="44" t="str">
        <f t="shared" si="4"/>
        <v/>
      </c>
      <c r="X144" s="44"/>
      <c r="Y144" s="45">
        <f t="shared" si="5"/>
        <v>0</v>
      </c>
      <c r="Z144" s="46" t="s">
        <v>1075</v>
      </c>
      <c r="AA144" s="46"/>
    </row>
    <row r="145">
      <c r="A145" s="91">
        <v>149.0</v>
      </c>
      <c r="B145" s="21"/>
      <c r="C145" s="29" t="s">
        <v>182</v>
      </c>
      <c r="D145" s="29" t="s">
        <v>527</v>
      </c>
      <c r="E145" s="21"/>
      <c r="F145" s="29" t="s">
        <v>2323</v>
      </c>
      <c r="G145" s="21"/>
      <c r="H145" s="31">
        <f t="shared" ref="H145:H147" si="8">0.8*H148</f>
        <v>5003.636364</v>
      </c>
      <c r="I145" s="65"/>
      <c r="J145" s="47">
        <v>5676.0</v>
      </c>
      <c r="K145" s="58">
        <v>1.0</v>
      </c>
      <c r="L145" s="33">
        <f>IF('Global Precios'!J145*(1-I145)*(1+'Global Precios'!K145)&gt;10000,MROUND('Global Precios'!J145*(1-I145)*(1+'Global Precios'!K145),1000),MROUND('Global Precios'!J145*(1-I145)*(1+'Global Precios'!K145),500))</f>
        <v>11000</v>
      </c>
      <c r="M145" s="91">
        <v>1.0</v>
      </c>
      <c r="N145" s="29" t="s">
        <v>46</v>
      </c>
      <c r="O145" s="21"/>
      <c r="P145" s="35">
        <v>45809.0</v>
      </c>
      <c r="Q145" s="36">
        <f t="shared" si="7"/>
        <v>16</v>
      </c>
      <c r="R145" s="37">
        <v>60.0</v>
      </c>
      <c r="S145" s="39"/>
      <c r="T145" s="41" t="str">
        <f>IFERROR(VLOOKUP(D145,BUSCARV!$A$1:$C$5524,2,0),"")</f>
        <v/>
      </c>
      <c r="U145" s="42"/>
      <c r="V145" s="42" t="str">
        <f t="shared" si="3"/>
        <v/>
      </c>
      <c r="W145" s="44" t="str">
        <f t="shared" si="4"/>
        <v/>
      </c>
      <c r="X145" s="44"/>
      <c r="Y145" s="45">
        <f t="shared" si="5"/>
        <v>0</v>
      </c>
      <c r="Z145" s="46" t="s">
        <v>449</v>
      </c>
      <c r="AA145" s="46"/>
    </row>
    <row r="146">
      <c r="A146" s="91">
        <v>150.0</v>
      </c>
      <c r="B146" s="21"/>
      <c r="C146" s="29" t="s">
        <v>182</v>
      </c>
      <c r="D146" s="29" t="s">
        <v>531</v>
      </c>
      <c r="E146" s="21"/>
      <c r="F146" s="29" t="s">
        <v>2323</v>
      </c>
      <c r="G146" s="21"/>
      <c r="H146" s="31">
        <f t="shared" si="8"/>
        <v>7005.619835</v>
      </c>
      <c r="I146" s="65"/>
      <c r="J146" s="47">
        <v>7191.0</v>
      </c>
      <c r="K146" s="58">
        <v>1.0</v>
      </c>
      <c r="L146" s="33">
        <f>IF('Global Precios'!J146*(1-I146)*(1+'Global Precios'!K146)&gt;10000,MROUND('Global Precios'!J146*(1-I146)*(1+'Global Precios'!K146),1000),MROUND('Global Precios'!J146*(1-I146)*(1+'Global Precios'!K146),500))</f>
        <v>14000</v>
      </c>
      <c r="M146" s="91">
        <v>1.0</v>
      </c>
      <c r="N146" s="29" t="s">
        <v>46</v>
      </c>
      <c r="O146" s="21"/>
      <c r="P146" s="35">
        <v>45809.0</v>
      </c>
      <c r="Q146" s="36">
        <f t="shared" si="7"/>
        <v>18</v>
      </c>
      <c r="R146" s="37">
        <v>60.0</v>
      </c>
      <c r="S146" s="39"/>
      <c r="T146" s="41" t="str">
        <f>IFERROR(VLOOKUP(D146,BUSCARV!$A$1:$C$5524,2,0),"")</f>
        <v/>
      </c>
      <c r="U146" s="42"/>
      <c r="V146" s="42" t="str">
        <f t="shared" si="3"/>
        <v/>
      </c>
      <c r="W146" s="44" t="str">
        <f t="shared" si="4"/>
        <v/>
      </c>
      <c r="X146" s="44"/>
      <c r="Y146" s="45">
        <f t="shared" si="5"/>
        <v>0</v>
      </c>
      <c r="Z146" s="46" t="s">
        <v>449</v>
      </c>
      <c r="AA146" s="46"/>
    </row>
    <row r="147">
      <c r="A147" s="91">
        <v>151.0</v>
      </c>
      <c r="B147" s="21"/>
      <c r="C147" s="29" t="s">
        <v>182</v>
      </c>
      <c r="D147" s="29" t="s">
        <v>534</v>
      </c>
      <c r="E147" s="21"/>
      <c r="F147" s="29" t="s">
        <v>2323</v>
      </c>
      <c r="G147" s="21"/>
      <c r="H147" s="31">
        <f t="shared" si="8"/>
        <v>9007.603306</v>
      </c>
      <c r="I147" s="65"/>
      <c r="J147" s="47">
        <v>10596.0</v>
      </c>
      <c r="K147" s="58">
        <v>1.0</v>
      </c>
      <c r="L147" s="33">
        <f>IF('Global Precios'!J147*(1-I147)*(1+'Global Precios'!K147)&gt;10000,MROUND('Global Precios'!J147*(1-I147)*(1+'Global Precios'!K147),1000),MROUND('Global Precios'!J147*(1-I147)*(1+'Global Precios'!K147),500))</f>
        <v>21000</v>
      </c>
      <c r="M147" s="91">
        <v>1.0</v>
      </c>
      <c r="N147" s="29" t="s">
        <v>46</v>
      </c>
      <c r="O147" s="21"/>
      <c r="P147" s="35">
        <v>45809.0</v>
      </c>
      <c r="Q147" s="36">
        <f t="shared" si="7"/>
        <v>17</v>
      </c>
      <c r="R147" s="37">
        <v>60.0</v>
      </c>
      <c r="S147" s="39"/>
      <c r="T147" s="41" t="str">
        <f>IFERROR(VLOOKUP(D147,BUSCARV!$A$1:$C$5524,2,0),"")</f>
        <v/>
      </c>
      <c r="U147" s="42"/>
      <c r="V147" s="42" t="str">
        <f t="shared" si="3"/>
        <v/>
      </c>
      <c r="W147" s="44" t="str">
        <f t="shared" si="4"/>
        <v/>
      </c>
      <c r="X147" s="44"/>
      <c r="Y147" s="45">
        <f t="shared" si="5"/>
        <v>0</v>
      </c>
      <c r="Z147" s="46" t="s">
        <v>449</v>
      </c>
      <c r="AA147" s="46"/>
    </row>
    <row r="148">
      <c r="A148" s="91">
        <v>152.0</v>
      </c>
      <c r="B148" s="21"/>
      <c r="C148" s="29" t="s">
        <v>182</v>
      </c>
      <c r="D148" s="29" t="s">
        <v>537</v>
      </c>
      <c r="E148" s="21"/>
      <c r="F148" s="29" t="s">
        <v>2323</v>
      </c>
      <c r="G148" s="21"/>
      <c r="H148" s="31">
        <f t="shared" ref="H148:H164" si="9">IF(J148="","",J148/1.21)</f>
        <v>6254.545455</v>
      </c>
      <c r="I148" s="65"/>
      <c r="J148" s="47">
        <v>7568.0</v>
      </c>
      <c r="K148" s="58">
        <v>1.0</v>
      </c>
      <c r="L148" s="33">
        <f>IF('Global Precios'!J148*(1-I148)*(1+'Global Precios'!K148)&gt;10000,MROUND('Global Precios'!J148*(1-I148)*(1+'Global Precios'!K148),1000),MROUND('Global Precios'!J148*(1-I148)*(1+'Global Precios'!K148),500))</f>
        <v>15000</v>
      </c>
      <c r="M148" s="91">
        <v>1.0</v>
      </c>
      <c r="N148" s="29" t="s">
        <v>46</v>
      </c>
      <c r="O148" s="21"/>
      <c r="P148" s="35">
        <v>45809.0</v>
      </c>
      <c r="Q148" s="36">
        <f t="shared" si="7"/>
        <v>24</v>
      </c>
      <c r="R148" s="37">
        <v>60.0</v>
      </c>
      <c r="S148" s="39"/>
      <c r="T148" s="41" t="str">
        <f>IFERROR(VLOOKUP(D148,BUSCARV!$A$1:$C$5524,2,0),"")</f>
        <v/>
      </c>
      <c r="U148" s="42"/>
      <c r="V148" s="42" t="str">
        <f t="shared" si="3"/>
        <v/>
      </c>
      <c r="W148" s="44" t="str">
        <f t="shared" si="4"/>
        <v/>
      </c>
      <c r="X148" s="44"/>
      <c r="Y148" s="45">
        <f t="shared" si="5"/>
        <v>0</v>
      </c>
      <c r="Z148" s="46" t="s">
        <v>449</v>
      </c>
      <c r="AA148" s="46"/>
    </row>
    <row r="149">
      <c r="A149" s="91">
        <v>153.0</v>
      </c>
      <c r="B149" s="21"/>
      <c r="C149" s="29" t="s">
        <v>182</v>
      </c>
      <c r="D149" s="29" t="s">
        <v>540</v>
      </c>
      <c r="E149" s="21"/>
      <c r="F149" s="29" t="s">
        <v>2323</v>
      </c>
      <c r="G149" s="21"/>
      <c r="H149" s="31">
        <f t="shared" si="9"/>
        <v>8757.024793</v>
      </c>
      <c r="I149" s="65"/>
      <c r="J149" s="47">
        <v>10596.0</v>
      </c>
      <c r="K149" s="58">
        <v>1.0</v>
      </c>
      <c r="L149" s="33">
        <f>IF('Global Precios'!J149*(1-I149)*(1+'Global Precios'!K149)&gt;10000,MROUND('Global Precios'!J149*(1-I149)*(1+'Global Precios'!K149),1000),MROUND('Global Precios'!J149*(1-I149)*(1+'Global Precios'!K149),500))</f>
        <v>21000</v>
      </c>
      <c r="M149" s="91">
        <v>1.0</v>
      </c>
      <c r="N149" s="29" t="s">
        <v>46</v>
      </c>
      <c r="O149" s="21"/>
      <c r="P149" s="35">
        <v>45809.0</v>
      </c>
      <c r="Q149" s="36">
        <f t="shared" si="7"/>
        <v>26</v>
      </c>
      <c r="R149" s="37">
        <v>60.0</v>
      </c>
      <c r="S149" s="39"/>
      <c r="T149" s="41" t="str">
        <f>IFERROR(VLOOKUP(D149,BUSCARV!$A$1:$C$5524,2,0),"")</f>
        <v/>
      </c>
      <c r="U149" s="42"/>
      <c r="V149" s="42" t="str">
        <f t="shared" si="3"/>
        <v/>
      </c>
      <c r="W149" s="44" t="str">
        <f t="shared" si="4"/>
        <v/>
      </c>
      <c r="X149" s="44"/>
      <c r="Y149" s="45">
        <f t="shared" si="5"/>
        <v>0</v>
      </c>
      <c r="Z149" s="46" t="s">
        <v>449</v>
      </c>
      <c r="AA149" s="46"/>
    </row>
    <row r="150">
      <c r="A150" s="91">
        <v>154.0</v>
      </c>
      <c r="B150" s="21"/>
      <c r="C150" s="29" t="s">
        <v>182</v>
      </c>
      <c r="D150" s="29" t="s">
        <v>544</v>
      </c>
      <c r="E150" s="21"/>
      <c r="F150" s="29" t="s">
        <v>2323</v>
      </c>
      <c r="G150" s="21"/>
      <c r="H150" s="31">
        <f t="shared" si="9"/>
        <v>11259.50413</v>
      </c>
      <c r="I150" s="65"/>
      <c r="J150" s="47">
        <v>13624.0</v>
      </c>
      <c r="K150" s="58">
        <v>1.0</v>
      </c>
      <c r="L150" s="33">
        <f>IF('Global Precios'!J150*(1-I150)*(1+'Global Precios'!K150)&gt;10000,MROUND('Global Precios'!J150*(1-I150)*(1+'Global Precios'!K150),1000),MROUND('Global Precios'!J150*(1-I150)*(1+'Global Precios'!K150),500))</f>
        <v>27000</v>
      </c>
      <c r="M150" s="91">
        <v>1.0</v>
      </c>
      <c r="N150" s="29" t="s">
        <v>46</v>
      </c>
      <c r="O150" s="21"/>
      <c r="P150" s="35">
        <v>45809.0</v>
      </c>
      <c r="Q150" s="36">
        <f t="shared" si="7"/>
        <v>25</v>
      </c>
      <c r="R150" s="37">
        <v>60.0</v>
      </c>
      <c r="S150" s="39"/>
      <c r="T150" s="41" t="str">
        <f>IFERROR(VLOOKUP(D150,BUSCARV!$A$1:$C$5524,2,0),"")</f>
        <v/>
      </c>
      <c r="U150" s="42"/>
      <c r="V150" s="42" t="str">
        <f t="shared" si="3"/>
        <v/>
      </c>
      <c r="W150" s="44" t="str">
        <f t="shared" si="4"/>
        <v/>
      </c>
      <c r="X150" s="44"/>
      <c r="Y150" s="45">
        <f t="shared" si="5"/>
        <v>0</v>
      </c>
      <c r="Z150" s="46" t="s">
        <v>449</v>
      </c>
      <c r="AA150" s="46"/>
    </row>
    <row r="151">
      <c r="A151" s="91">
        <v>155.0</v>
      </c>
      <c r="B151" s="21"/>
      <c r="C151" s="29" t="s">
        <v>182</v>
      </c>
      <c r="D151" s="29" t="s">
        <v>547</v>
      </c>
      <c r="E151" s="21" t="s">
        <v>189</v>
      </c>
      <c r="F151" s="29" t="s">
        <v>204</v>
      </c>
      <c r="G151" s="21"/>
      <c r="H151" s="31">
        <f t="shared" si="9"/>
        <v>60485.12397</v>
      </c>
      <c r="I151" s="31"/>
      <c r="J151" s="47">
        <v>73187.0</v>
      </c>
      <c r="K151" s="89"/>
      <c r="L151" s="33">
        <f>IF('Global Precios'!J151*(1-I151)*(1+'Global Precios'!K151)&gt;10000,MROUND('Global Precios'!J151*(1-I151)*(1+'Global Precios'!K151),1000),MROUND('Global Precios'!J151*(1-I151)*(1+'Global Precios'!K151),500))</f>
        <v>73000</v>
      </c>
      <c r="M151" s="27">
        <v>1.0</v>
      </c>
      <c r="N151" s="34" t="s">
        <v>313</v>
      </c>
      <c r="O151" s="21"/>
      <c r="P151" s="35">
        <v>45809.0</v>
      </c>
      <c r="Q151" s="36">
        <f t="shared" si="7"/>
        <v>21</v>
      </c>
      <c r="R151" s="37">
        <v>60.0</v>
      </c>
      <c r="S151" s="39"/>
      <c r="T151" s="41" t="str">
        <f>IFERROR(VLOOKUP(D151,BUSCARV!$A$1:$C$5524,2,0),"")</f>
        <v/>
      </c>
      <c r="U151" s="42"/>
      <c r="V151" s="42" t="str">
        <f t="shared" si="3"/>
        <v/>
      </c>
      <c r="W151" s="44" t="str">
        <f t="shared" si="4"/>
        <v/>
      </c>
      <c r="X151" s="44"/>
      <c r="Y151" s="45">
        <f t="shared" si="5"/>
        <v>0</v>
      </c>
      <c r="Z151" s="46" t="s">
        <v>449</v>
      </c>
      <c r="AA151" s="46"/>
    </row>
    <row r="152">
      <c r="A152" s="91">
        <v>156.0</v>
      </c>
      <c r="B152" s="21"/>
      <c r="C152" s="29" t="s">
        <v>182</v>
      </c>
      <c r="D152" s="29" t="s">
        <v>550</v>
      </c>
      <c r="E152" s="21" t="s">
        <v>189</v>
      </c>
      <c r="F152" s="29" t="s">
        <v>204</v>
      </c>
      <c r="G152" s="21"/>
      <c r="H152" s="31">
        <f t="shared" si="9"/>
        <v>68046.28099</v>
      </c>
      <c r="I152" s="31"/>
      <c r="J152" s="47">
        <v>82336.0</v>
      </c>
      <c r="K152" s="89"/>
      <c r="L152" s="33">
        <f>IF('Global Precios'!J152*(1-I152)*(1+'Global Precios'!K152)&gt;10000,MROUND('Global Precios'!J152*(1-I152)*(1+'Global Precios'!K152),1000),MROUND('Global Precios'!J152*(1-I152)*(1+'Global Precios'!K152),500))</f>
        <v>82000</v>
      </c>
      <c r="M152" s="27">
        <v>1.0</v>
      </c>
      <c r="N152" s="34" t="s">
        <v>313</v>
      </c>
      <c r="O152" s="21"/>
      <c r="P152" s="35">
        <v>45809.0</v>
      </c>
      <c r="Q152" s="36">
        <f t="shared" si="7"/>
        <v>34</v>
      </c>
      <c r="R152" s="37">
        <v>60.0</v>
      </c>
      <c r="S152" s="39"/>
      <c r="T152" s="41" t="str">
        <f>IFERROR(VLOOKUP(D152,BUSCARV!$A$1:$C$5524,2,0),"")</f>
        <v/>
      </c>
      <c r="U152" s="42"/>
      <c r="V152" s="42" t="str">
        <f t="shared" si="3"/>
        <v/>
      </c>
      <c r="W152" s="44" t="str">
        <f t="shared" si="4"/>
        <v/>
      </c>
      <c r="X152" s="44"/>
      <c r="Y152" s="45">
        <f t="shared" si="5"/>
        <v>0</v>
      </c>
      <c r="Z152" s="46" t="s">
        <v>449</v>
      </c>
      <c r="AA152" s="46"/>
    </row>
    <row r="153">
      <c r="A153" s="91">
        <v>157.0</v>
      </c>
      <c r="B153" s="21"/>
      <c r="C153" s="29" t="s">
        <v>182</v>
      </c>
      <c r="D153" s="29" t="s">
        <v>552</v>
      </c>
      <c r="E153" s="21" t="s">
        <v>189</v>
      </c>
      <c r="F153" s="29" t="s">
        <v>204</v>
      </c>
      <c r="G153" s="21"/>
      <c r="H153" s="31">
        <f t="shared" si="9"/>
        <v>75614.04959</v>
      </c>
      <c r="I153" s="31"/>
      <c r="J153" s="47">
        <v>91493.0</v>
      </c>
      <c r="K153" s="89"/>
      <c r="L153" s="33">
        <f>IF('Global Precios'!J153*(1-I153)*(1+'Global Precios'!K153)&gt;10000,MROUND('Global Precios'!J153*(1-I153)*(1+'Global Precios'!K153),1000),MROUND('Global Precios'!J153*(1-I153)*(1+'Global Precios'!K153),500))</f>
        <v>91000</v>
      </c>
      <c r="M153" s="27">
        <v>1.0</v>
      </c>
      <c r="N153" s="34" t="s">
        <v>313</v>
      </c>
      <c r="O153" s="21"/>
      <c r="P153" s="35">
        <v>45809.0</v>
      </c>
      <c r="Q153" s="36">
        <f t="shared" si="7"/>
        <v>34</v>
      </c>
      <c r="R153" s="37">
        <v>60.0</v>
      </c>
      <c r="S153" s="39"/>
      <c r="T153" s="41" t="str">
        <f>IFERROR(VLOOKUP(D153,BUSCARV!$A$1:$C$5524,2,0),"")</f>
        <v/>
      </c>
      <c r="U153" s="42"/>
      <c r="V153" s="42" t="str">
        <f t="shared" si="3"/>
        <v/>
      </c>
      <c r="W153" s="44" t="str">
        <f t="shared" si="4"/>
        <v/>
      </c>
      <c r="X153" s="44"/>
      <c r="Y153" s="45">
        <f t="shared" si="5"/>
        <v>0</v>
      </c>
      <c r="Z153" s="46" t="s">
        <v>449</v>
      </c>
      <c r="AA153" s="46"/>
    </row>
    <row r="154">
      <c r="A154" s="91">
        <v>158.0</v>
      </c>
      <c r="B154" s="21"/>
      <c r="C154" s="29" t="s">
        <v>182</v>
      </c>
      <c r="D154" s="29" t="s">
        <v>556</v>
      </c>
      <c r="E154" s="21" t="s">
        <v>189</v>
      </c>
      <c r="F154" s="29" t="s">
        <v>204</v>
      </c>
      <c r="G154" s="21"/>
      <c r="H154" s="31">
        <f t="shared" si="9"/>
        <v>83171.07438</v>
      </c>
      <c r="I154" s="31"/>
      <c r="J154" s="47">
        <v>100637.0</v>
      </c>
      <c r="K154" s="89"/>
      <c r="L154" s="33">
        <f>IF('Global Precios'!J154*(1-I154)*(1+'Global Precios'!K154)&gt;10000,MROUND('Global Precios'!J154*(1-I154)*(1+'Global Precios'!K154),1000),MROUND('Global Precios'!J154*(1-I154)*(1+'Global Precios'!K154),500))</f>
        <v>101000</v>
      </c>
      <c r="M154" s="27">
        <v>1.0</v>
      </c>
      <c r="N154" s="34" t="s">
        <v>313</v>
      </c>
      <c r="O154" s="21"/>
      <c r="P154" s="35">
        <v>45809.0</v>
      </c>
      <c r="Q154" s="36">
        <f t="shared" si="7"/>
        <v>34</v>
      </c>
      <c r="R154" s="37">
        <v>60.0</v>
      </c>
      <c r="S154" s="39"/>
      <c r="T154" s="41" t="str">
        <f>IFERROR(VLOOKUP(D154,BUSCARV!$A$1:$C$5524,2,0),"")</f>
        <v/>
      </c>
      <c r="U154" s="42"/>
      <c r="V154" s="42" t="str">
        <f t="shared" si="3"/>
        <v/>
      </c>
      <c r="W154" s="44" t="str">
        <f t="shared" si="4"/>
        <v/>
      </c>
      <c r="X154" s="44"/>
      <c r="Y154" s="45">
        <f t="shared" si="5"/>
        <v>0</v>
      </c>
      <c r="Z154" s="46" t="s">
        <v>449</v>
      </c>
      <c r="AA154" s="46"/>
    </row>
    <row r="155">
      <c r="A155" s="91">
        <v>159.0</v>
      </c>
      <c r="B155" s="21"/>
      <c r="C155" s="29" t="s">
        <v>182</v>
      </c>
      <c r="D155" s="29" t="s">
        <v>559</v>
      </c>
      <c r="E155" s="21" t="s">
        <v>189</v>
      </c>
      <c r="F155" s="29" t="s">
        <v>204</v>
      </c>
      <c r="G155" s="21"/>
      <c r="H155" s="31">
        <f t="shared" si="9"/>
        <v>90736.36364</v>
      </c>
      <c r="I155" s="31"/>
      <c r="J155" s="47">
        <v>109791.0</v>
      </c>
      <c r="K155" s="89"/>
      <c r="L155" s="33">
        <f>IF('Global Precios'!J155*(1-I155)*(1+'Global Precios'!K155)&gt;10000,MROUND('Global Precios'!J155*(1-I155)*(1+'Global Precios'!K155),1000),MROUND('Global Precios'!J155*(1-I155)*(1+'Global Precios'!K155),500))</f>
        <v>110000</v>
      </c>
      <c r="M155" s="27">
        <v>1.0</v>
      </c>
      <c r="N155" s="34" t="s">
        <v>313</v>
      </c>
      <c r="O155" s="21"/>
      <c r="P155" s="35">
        <v>45809.0</v>
      </c>
      <c r="Q155" s="36">
        <f t="shared" si="7"/>
        <v>34</v>
      </c>
      <c r="R155" s="37">
        <v>60.0</v>
      </c>
      <c r="S155" s="39"/>
      <c r="T155" s="41" t="str">
        <f>IFERROR(VLOOKUP(D155,BUSCARV!$A$1:$C$5524,2,0),"")</f>
        <v/>
      </c>
      <c r="U155" s="42"/>
      <c r="V155" s="42" t="str">
        <f t="shared" si="3"/>
        <v/>
      </c>
      <c r="W155" s="44" t="str">
        <f t="shared" si="4"/>
        <v/>
      </c>
      <c r="X155" s="44"/>
      <c r="Y155" s="45">
        <f t="shared" si="5"/>
        <v>0</v>
      </c>
      <c r="Z155" s="46" t="s">
        <v>449</v>
      </c>
      <c r="AA155" s="46"/>
    </row>
    <row r="156">
      <c r="A156" s="91">
        <v>160.0</v>
      </c>
      <c r="B156" s="21"/>
      <c r="C156" s="29" t="s">
        <v>182</v>
      </c>
      <c r="D156" s="29" t="s">
        <v>561</v>
      </c>
      <c r="E156" s="21" t="s">
        <v>189</v>
      </c>
      <c r="F156" s="29" t="s">
        <v>204</v>
      </c>
      <c r="G156" s="21"/>
      <c r="H156" s="31">
        <f t="shared" si="9"/>
        <v>98288.42975</v>
      </c>
      <c r="I156" s="31"/>
      <c r="J156" s="47">
        <v>118929.0</v>
      </c>
      <c r="K156" s="89"/>
      <c r="L156" s="33">
        <f>IF('Global Precios'!J156*(1-I156)*(1+'Global Precios'!K156)&gt;10000,MROUND('Global Precios'!J156*(1-I156)*(1+'Global Precios'!K156),1000),MROUND('Global Precios'!J156*(1-I156)*(1+'Global Precios'!K156),500))</f>
        <v>119000</v>
      </c>
      <c r="M156" s="27">
        <v>1.0</v>
      </c>
      <c r="N156" s="34" t="s">
        <v>313</v>
      </c>
      <c r="O156" s="21"/>
      <c r="P156" s="35">
        <v>45809.0</v>
      </c>
      <c r="Q156" s="36">
        <f t="shared" si="7"/>
        <v>34</v>
      </c>
      <c r="R156" s="37">
        <v>60.0</v>
      </c>
      <c r="S156" s="39"/>
      <c r="T156" s="41" t="str">
        <f>IFERROR(VLOOKUP(D156,BUSCARV!$A$1:$C$5524,2,0),"")</f>
        <v/>
      </c>
      <c r="U156" s="42"/>
      <c r="V156" s="42" t="str">
        <f t="shared" si="3"/>
        <v/>
      </c>
      <c r="W156" s="44" t="str">
        <f t="shared" si="4"/>
        <v/>
      </c>
      <c r="X156" s="44"/>
      <c r="Y156" s="45">
        <f t="shared" si="5"/>
        <v>0</v>
      </c>
      <c r="Z156" s="46" t="s">
        <v>449</v>
      </c>
      <c r="AA156" s="46"/>
    </row>
    <row r="157">
      <c r="A157" s="91">
        <v>161.0</v>
      </c>
      <c r="B157" s="21"/>
      <c r="C157" s="29" t="s">
        <v>182</v>
      </c>
      <c r="D157" s="29" t="s">
        <v>564</v>
      </c>
      <c r="E157" s="21" t="s">
        <v>189</v>
      </c>
      <c r="F157" s="29" t="s">
        <v>204</v>
      </c>
      <c r="G157" s="21"/>
      <c r="H157" s="31">
        <f t="shared" si="9"/>
        <v>105860.3306</v>
      </c>
      <c r="I157" s="31"/>
      <c r="J157" s="47">
        <v>128091.0</v>
      </c>
      <c r="K157" s="89"/>
      <c r="L157" s="33">
        <f>IF('Global Precios'!J157*(1-I157)*(1+'Global Precios'!K157)&gt;10000,MROUND('Global Precios'!J157*(1-I157)*(1+'Global Precios'!K157),1000),MROUND('Global Precios'!J157*(1-I157)*(1+'Global Precios'!K157),500))</f>
        <v>128000</v>
      </c>
      <c r="M157" s="27">
        <v>1.0</v>
      </c>
      <c r="N157" s="34" t="s">
        <v>313</v>
      </c>
      <c r="O157" s="21"/>
      <c r="P157" s="35">
        <v>45809.0</v>
      </c>
      <c r="Q157" s="36">
        <f t="shared" si="7"/>
        <v>28</v>
      </c>
      <c r="R157" s="37">
        <v>60.0</v>
      </c>
      <c r="S157" s="39"/>
      <c r="T157" s="41" t="str">
        <f>IFERROR(VLOOKUP(D157,BUSCARV!$A$1:$C$5524,2,0),"")</f>
        <v/>
      </c>
      <c r="U157" s="42"/>
      <c r="V157" s="42" t="str">
        <f t="shared" si="3"/>
        <v/>
      </c>
      <c r="W157" s="44" t="str">
        <f t="shared" si="4"/>
        <v/>
      </c>
      <c r="X157" s="44"/>
      <c r="Y157" s="45">
        <f t="shared" si="5"/>
        <v>0</v>
      </c>
      <c r="Z157" s="46" t="s">
        <v>449</v>
      </c>
      <c r="AA157" s="46"/>
    </row>
    <row r="158">
      <c r="A158" s="91">
        <v>162.0</v>
      </c>
      <c r="B158" s="21"/>
      <c r="C158" s="29" t="s">
        <v>182</v>
      </c>
      <c r="D158" s="29" t="s">
        <v>566</v>
      </c>
      <c r="E158" s="29" t="s">
        <v>189</v>
      </c>
      <c r="F158" s="29" t="s">
        <v>204</v>
      </c>
      <c r="G158" s="21"/>
      <c r="H158" s="31">
        <f t="shared" si="9"/>
        <v>3785.123967</v>
      </c>
      <c r="I158" s="31"/>
      <c r="J158" s="47">
        <v>4580.0</v>
      </c>
      <c r="K158" s="89"/>
      <c r="L158" s="33">
        <f>IF('Global Precios'!J158*(1-I158)*(1+'Global Precios'!K158)&gt;10000,MROUND('Global Precios'!J158*(1-I158)*(1+'Global Precios'!K158),1000),MROUND('Global Precios'!J158*(1-I158)*(1+'Global Precios'!K158),500))</f>
        <v>4500</v>
      </c>
      <c r="M158" s="91">
        <v>1.0</v>
      </c>
      <c r="N158" s="34" t="s">
        <v>313</v>
      </c>
      <c r="O158" s="21"/>
      <c r="P158" s="35">
        <v>45809.0</v>
      </c>
      <c r="Q158" s="36">
        <f t="shared" si="7"/>
        <v>10</v>
      </c>
      <c r="R158" s="37">
        <v>60.0</v>
      </c>
      <c r="S158" s="39"/>
      <c r="T158" s="41" t="str">
        <f>IFERROR(VLOOKUP(D158,BUSCARV!$A$1:$C$5524,2,0),"")</f>
        <v/>
      </c>
      <c r="U158" s="42"/>
      <c r="V158" s="42" t="str">
        <f t="shared" si="3"/>
        <v/>
      </c>
      <c r="W158" s="44" t="str">
        <f t="shared" si="4"/>
        <v/>
      </c>
      <c r="X158" s="44"/>
      <c r="Y158" s="45">
        <f t="shared" si="5"/>
        <v>0</v>
      </c>
      <c r="Z158" s="46" t="s">
        <v>449</v>
      </c>
      <c r="AA158" s="46"/>
    </row>
    <row r="159">
      <c r="A159" s="91">
        <v>163.0</v>
      </c>
      <c r="B159" s="21"/>
      <c r="C159" s="29" t="s">
        <v>3</v>
      </c>
      <c r="D159" s="29" t="s">
        <v>569</v>
      </c>
      <c r="E159" s="29" t="s">
        <v>189</v>
      </c>
      <c r="F159" s="29" t="s">
        <v>2338</v>
      </c>
      <c r="G159" s="50" t="s">
        <v>2338</v>
      </c>
      <c r="H159" s="31">
        <f t="shared" si="9"/>
        <v>0.826446281</v>
      </c>
      <c r="I159" s="31"/>
      <c r="J159" s="57">
        <v>1.0</v>
      </c>
      <c r="K159" s="95">
        <v>0.01</v>
      </c>
      <c r="L159" s="33">
        <f>IF('Global Precios'!J159*(1-I159)*(1+'Global Precios'!K159)&gt;10000,MROUND('Global Precios'!J159*(1-I159)*(1+'Global Precios'!K159),1000),MROUND('Global Precios'!J159*(1-I159)*(1+'Global Precios'!K159),500))</f>
        <v>0</v>
      </c>
      <c r="M159" s="91">
        <v>1.0</v>
      </c>
      <c r="N159" s="34" t="s">
        <v>313</v>
      </c>
      <c r="O159" s="21"/>
      <c r="P159" s="35">
        <v>44717.0</v>
      </c>
      <c r="Q159" s="36">
        <f t="shared" si="7"/>
        <v>20</v>
      </c>
      <c r="R159" s="37">
        <v>0.0</v>
      </c>
      <c r="S159" s="21"/>
      <c r="T159" s="41" t="str">
        <f>IFERROR(VLOOKUP(D159,BUSCARV!$A$1:$C$5524,2,0),"")</f>
        <v/>
      </c>
      <c r="U159" s="42"/>
      <c r="V159" s="42" t="str">
        <f t="shared" si="3"/>
        <v/>
      </c>
      <c r="W159" s="44" t="str">
        <f t="shared" si="4"/>
        <v/>
      </c>
      <c r="X159" s="44"/>
      <c r="Y159" s="45">
        <f t="shared" si="5"/>
        <v>0</v>
      </c>
      <c r="Z159" s="46" t="s">
        <v>449</v>
      </c>
      <c r="AA159" s="46"/>
    </row>
    <row r="160">
      <c r="A160" s="91">
        <v>164.0</v>
      </c>
      <c r="B160" s="21"/>
      <c r="C160" s="29" t="s">
        <v>3</v>
      </c>
      <c r="D160" s="29" t="s">
        <v>573</v>
      </c>
      <c r="E160" s="29" t="s">
        <v>4324</v>
      </c>
      <c r="F160" s="29" t="s">
        <v>2308</v>
      </c>
      <c r="G160" s="50" t="s">
        <v>2316</v>
      </c>
      <c r="H160" s="31">
        <f t="shared" si="9"/>
        <v>7871.900826</v>
      </c>
      <c r="I160" s="73"/>
      <c r="J160" s="61">
        <v>9525.0</v>
      </c>
      <c r="K160" s="60">
        <v>1.6</v>
      </c>
      <c r="L160" s="33">
        <f>IF('Global Precios'!J160*(1-I160)*(1+'Global Precios'!K160)&gt;10000,MROUND('Global Precios'!J160*(1-I160)*(1+'Global Precios'!K160),1000),MROUND('Global Precios'!J160*(1-I160)*(1+'Global Precios'!K160),500))</f>
        <v>25000</v>
      </c>
      <c r="M160" s="91">
        <v>1.0</v>
      </c>
      <c r="N160" s="29" t="s">
        <v>313</v>
      </c>
      <c r="O160" s="21"/>
      <c r="P160" s="35">
        <v>46082.0</v>
      </c>
      <c r="Q160" s="36">
        <f t="shared" si="7"/>
        <v>25</v>
      </c>
      <c r="R160" s="37">
        <v>30.0</v>
      </c>
      <c r="S160" s="21"/>
      <c r="T160" s="41" t="str">
        <f>IFERROR(VLOOKUP(D160,BUSCARV!$A$1:$C$5524,2,0),"")</f>
        <v/>
      </c>
      <c r="U160" s="42"/>
      <c r="V160" s="42" t="str">
        <f t="shared" si="3"/>
        <v/>
      </c>
      <c r="W160" s="44" t="str">
        <f t="shared" si="4"/>
        <v/>
      </c>
      <c r="X160" s="44"/>
      <c r="Y160" s="45">
        <f t="shared" si="5"/>
        <v>0</v>
      </c>
      <c r="Z160" s="46" t="s">
        <v>449</v>
      </c>
      <c r="AA160" s="46"/>
    </row>
    <row r="161">
      <c r="A161" s="91">
        <v>165.0</v>
      </c>
      <c r="B161" s="21"/>
      <c r="C161" s="29" t="s">
        <v>3</v>
      </c>
      <c r="D161" s="29" t="s">
        <v>576</v>
      </c>
      <c r="E161" s="29"/>
      <c r="F161" s="29" t="s">
        <v>2308</v>
      </c>
      <c r="G161" s="50" t="s">
        <v>2316</v>
      </c>
      <c r="H161" s="31">
        <f t="shared" si="9"/>
        <v>7165.289256</v>
      </c>
      <c r="I161" s="73"/>
      <c r="J161" s="61">
        <v>8670.0</v>
      </c>
      <c r="K161" s="60">
        <v>1.7</v>
      </c>
      <c r="L161" s="33">
        <f>IF('Global Precios'!J161*(1-I161)*(1+'Global Precios'!K161)&gt;10000,MROUND('Global Precios'!J161*(1-I161)*(1+'Global Precios'!K161),1000),MROUND('Global Precios'!J161*(1-I161)*(1+'Global Precios'!K161),500))</f>
        <v>23000</v>
      </c>
      <c r="M161" s="91">
        <v>1.0</v>
      </c>
      <c r="N161" s="29" t="s">
        <v>313</v>
      </c>
      <c r="O161" s="21"/>
      <c r="P161" s="35">
        <v>45839.0</v>
      </c>
      <c r="Q161" s="36">
        <f t="shared" si="7"/>
        <v>18</v>
      </c>
      <c r="R161" s="37">
        <v>30.0</v>
      </c>
      <c r="S161" s="21"/>
      <c r="T161" s="41" t="str">
        <f>IFERROR(VLOOKUP(D161,BUSCARV!$A$1:$C$5524,2,0),"")</f>
        <v/>
      </c>
      <c r="U161" s="42"/>
      <c r="V161" s="42" t="str">
        <f t="shared" si="3"/>
        <v/>
      </c>
      <c r="W161" s="44" t="str">
        <f t="shared" si="4"/>
        <v/>
      </c>
      <c r="X161" s="44"/>
      <c r="Y161" s="45">
        <f t="shared" si="5"/>
        <v>0</v>
      </c>
      <c r="Z161" s="46" t="s">
        <v>449</v>
      </c>
      <c r="AA161" s="46"/>
    </row>
    <row r="162">
      <c r="A162" s="91">
        <v>1660.0</v>
      </c>
      <c r="B162" s="21"/>
      <c r="C162" s="29" t="s">
        <v>3</v>
      </c>
      <c r="D162" s="29" t="s">
        <v>579</v>
      </c>
      <c r="E162" s="29" t="s">
        <v>4325</v>
      </c>
      <c r="F162" s="29" t="s">
        <v>2308</v>
      </c>
      <c r="G162" s="50" t="s">
        <v>2316</v>
      </c>
      <c r="H162" s="31">
        <f t="shared" si="9"/>
        <v>7933.884298</v>
      </c>
      <c r="I162" s="73"/>
      <c r="J162" s="57">
        <v>9600.0</v>
      </c>
      <c r="K162" s="60">
        <v>1.4</v>
      </c>
      <c r="L162" s="33">
        <f>IF('Global Precios'!J162*(1-I162)*(1+'Global Precios'!K162)&gt;10000,MROUND('Global Precios'!J162*(1-I162)*(1+'Global Precios'!K162),1000),MROUND('Global Precios'!J162*(1-I162)*(1+'Global Precios'!K162),500))</f>
        <v>23000</v>
      </c>
      <c r="M162" s="91">
        <v>1.0</v>
      </c>
      <c r="N162" s="29" t="s">
        <v>313</v>
      </c>
      <c r="O162" s="21"/>
      <c r="P162" s="35">
        <v>45839.0</v>
      </c>
      <c r="Q162" s="36">
        <f t="shared" si="7"/>
        <v>24</v>
      </c>
      <c r="R162" s="37">
        <v>30.0</v>
      </c>
      <c r="S162" s="21"/>
      <c r="T162" s="41" t="str">
        <f>IFERROR(VLOOKUP(D162,BUSCARV!$A$1:$C$5524,2,0),"")</f>
        <v/>
      </c>
      <c r="U162" s="42"/>
      <c r="V162" s="42" t="str">
        <f t="shared" si="3"/>
        <v/>
      </c>
      <c r="W162" s="44" t="str">
        <f t="shared" si="4"/>
        <v/>
      </c>
      <c r="X162" s="44"/>
      <c r="Y162" s="45">
        <f t="shared" si="5"/>
        <v>0</v>
      </c>
      <c r="Z162" s="46" t="s">
        <v>449</v>
      </c>
      <c r="AA162" s="46"/>
    </row>
    <row r="163">
      <c r="A163" s="91">
        <v>166.0</v>
      </c>
      <c r="B163" s="21"/>
      <c r="C163" s="29" t="s">
        <v>3</v>
      </c>
      <c r="D163" s="19" t="s">
        <v>583</v>
      </c>
      <c r="E163" s="29"/>
      <c r="F163" s="29" t="s">
        <v>2308</v>
      </c>
      <c r="G163" s="50" t="s">
        <v>2346</v>
      </c>
      <c r="H163" s="31">
        <f t="shared" si="9"/>
        <v>364.4628099</v>
      </c>
      <c r="I163" s="73"/>
      <c r="J163" s="57">
        <v>441.0</v>
      </c>
      <c r="K163" s="60">
        <v>1.0</v>
      </c>
      <c r="L163" s="33">
        <f>IF('Global Precios'!J163*(1-I163)*(1+'Global Precios'!K163)&gt;10000,MROUND('Global Precios'!J163*(1-I163)*(1+'Global Precios'!K163),1000),MROUND('Global Precios'!J163*(1-I163)*(1+'Global Precios'!K163),500))</f>
        <v>1000</v>
      </c>
      <c r="M163" s="91">
        <v>1.0</v>
      </c>
      <c r="N163" s="29" t="s">
        <v>313</v>
      </c>
      <c r="O163" s="21"/>
      <c r="P163" s="35">
        <v>45839.0</v>
      </c>
      <c r="Q163" s="36">
        <f t="shared" si="7"/>
        <v>35</v>
      </c>
      <c r="R163" s="37">
        <v>30.0</v>
      </c>
      <c r="S163" s="21"/>
      <c r="T163" s="41" t="str">
        <f>IFERROR(VLOOKUP(D163,BUSCARV!$A$1:$C$5524,2,0),"")</f>
        <v/>
      </c>
      <c r="U163" s="42"/>
      <c r="V163" s="42" t="str">
        <f t="shared" si="3"/>
        <v/>
      </c>
      <c r="W163" s="44" t="str">
        <f t="shared" si="4"/>
        <v/>
      </c>
      <c r="X163" s="44"/>
      <c r="Y163" s="45">
        <f t="shared" si="5"/>
        <v>0</v>
      </c>
      <c r="Z163" s="46" t="s">
        <v>449</v>
      </c>
      <c r="AA163" s="46"/>
    </row>
    <row r="164">
      <c r="A164" s="91">
        <v>167.0</v>
      </c>
      <c r="B164" s="21"/>
      <c r="C164" s="29" t="s">
        <v>3</v>
      </c>
      <c r="D164" s="29" t="s">
        <v>586</v>
      </c>
      <c r="E164" s="29"/>
      <c r="F164" s="29" t="s">
        <v>2308</v>
      </c>
      <c r="G164" s="21"/>
      <c r="H164" s="31">
        <f t="shared" si="9"/>
        <v>1025.619835</v>
      </c>
      <c r="I164" s="73"/>
      <c r="J164" s="57">
        <v>1241.0</v>
      </c>
      <c r="K164" s="58">
        <v>1.0</v>
      </c>
      <c r="L164" s="33">
        <f>IF('Global Precios'!J164*(1-I164)*(1+'Global Precios'!K164)&gt;1000,MROUND('Global Precios'!J164*(1-I164)*(1+'Global Precios'!K164),100),MROUND('Global Precios'!J164*(1-I164)*(1+'Global Precios'!K164),10))</f>
        <v>2500</v>
      </c>
      <c r="M164" s="21"/>
      <c r="N164" s="21"/>
      <c r="O164" s="21"/>
      <c r="P164" s="35">
        <v>45139.0</v>
      </c>
      <c r="Q164" s="36">
        <f t="shared" si="7"/>
        <v>26</v>
      </c>
      <c r="R164" s="37">
        <v>30.0</v>
      </c>
      <c r="S164" s="21"/>
      <c r="T164" s="41" t="str">
        <f>IFERROR(VLOOKUP(D164,BUSCARV!$A$1:$C$5524,2,0),"")</f>
        <v/>
      </c>
      <c r="U164" s="42"/>
      <c r="V164" s="42" t="str">
        <f t="shared" si="3"/>
        <v/>
      </c>
      <c r="W164" s="44" t="str">
        <f t="shared" si="4"/>
        <v/>
      </c>
      <c r="X164" s="44"/>
      <c r="Y164" s="45">
        <f t="shared" si="5"/>
        <v>0</v>
      </c>
      <c r="Z164" s="46" t="s">
        <v>1075</v>
      </c>
      <c r="AA164" s="46"/>
    </row>
    <row r="165">
      <c r="A165" s="91">
        <v>168.0</v>
      </c>
      <c r="B165" s="21"/>
      <c r="C165" s="29" t="s">
        <v>3</v>
      </c>
      <c r="D165" s="29" t="s">
        <v>590</v>
      </c>
      <c r="E165" s="29"/>
      <c r="F165" s="29" t="s">
        <v>1982</v>
      </c>
      <c r="G165" s="50" t="s">
        <v>2316</v>
      </c>
      <c r="H165" s="48">
        <v>6.0</v>
      </c>
      <c r="I165" s="65"/>
      <c r="J165" s="61">
        <v>80.0</v>
      </c>
      <c r="K165" s="60">
        <v>1.5</v>
      </c>
      <c r="L165" s="33">
        <f>IF('Global Precios'!J165*(1-I165)*(1+'Global Precios'!K165)&gt;10000,MROUND('Global Precios'!J165*(1-I165)*(1+'Global Precios'!K165),1000),MROUND('Global Precios'!J165*(1-I165)*(1+'Global Precios'!K165),500))</f>
        <v>0</v>
      </c>
      <c r="M165" s="91">
        <v>1.0</v>
      </c>
      <c r="N165" s="29" t="s">
        <v>313</v>
      </c>
      <c r="O165" s="21"/>
      <c r="P165" s="35">
        <v>45839.0</v>
      </c>
      <c r="Q165" s="36">
        <f t="shared" si="7"/>
        <v>17</v>
      </c>
      <c r="R165" s="37">
        <v>30.0</v>
      </c>
      <c r="S165" s="21"/>
      <c r="T165" s="41" t="str">
        <f>IFERROR(VLOOKUP(D165,BUSCARV!$A$1:$C$5524,2,0),"")</f>
        <v/>
      </c>
      <c r="U165" s="42"/>
      <c r="V165" s="42" t="str">
        <f t="shared" si="3"/>
        <v/>
      </c>
      <c r="W165" s="44" t="str">
        <f t="shared" si="4"/>
        <v/>
      </c>
      <c r="X165" s="44"/>
      <c r="Y165" s="45">
        <f t="shared" si="5"/>
        <v>0</v>
      </c>
      <c r="Z165" s="46" t="s">
        <v>449</v>
      </c>
      <c r="AA165" s="46" t="s">
        <v>4326</v>
      </c>
    </row>
    <row r="166">
      <c r="A166" s="91">
        <v>169.0</v>
      </c>
      <c r="B166" s="21"/>
      <c r="C166" s="29" t="s">
        <v>3</v>
      </c>
      <c r="D166" s="29" t="s">
        <v>594</v>
      </c>
      <c r="E166" s="29"/>
      <c r="F166" s="29" t="s">
        <v>1982</v>
      </c>
      <c r="G166" s="21"/>
      <c r="H166" s="48">
        <v>471.0</v>
      </c>
      <c r="I166" s="65"/>
      <c r="J166" s="61">
        <v>2415.0</v>
      </c>
      <c r="K166" s="60">
        <v>1.0</v>
      </c>
      <c r="L166" s="33">
        <f>IF('Global Precios'!J166*(1-I166)*(1+'Global Precios'!K166)&gt;10000,MROUND('Global Precios'!J166*(1-I166)*(1+'Global Precios'!K166),1000),MROUND('Global Precios'!J166*(1-I166)*(1+'Global Precios'!K166),500))</f>
        <v>5000</v>
      </c>
      <c r="M166" s="91">
        <v>1.0</v>
      </c>
      <c r="N166" s="29" t="s">
        <v>313</v>
      </c>
      <c r="O166" s="21"/>
      <c r="P166" s="35">
        <v>45839.0</v>
      </c>
      <c r="Q166" s="36">
        <f t="shared" si="7"/>
        <v>16</v>
      </c>
      <c r="R166" s="37">
        <v>30.0</v>
      </c>
      <c r="S166" s="21"/>
      <c r="T166" s="41" t="str">
        <f>IFERROR(VLOOKUP(D166,BUSCARV!$A$1:$C$5524,2,0),"")</f>
        <v/>
      </c>
      <c r="U166" s="42"/>
      <c r="V166" s="42" t="str">
        <f t="shared" si="3"/>
        <v/>
      </c>
      <c r="W166" s="44" t="str">
        <f t="shared" si="4"/>
        <v/>
      </c>
      <c r="X166" s="44"/>
      <c r="Y166" s="45">
        <f t="shared" si="5"/>
        <v>0</v>
      </c>
      <c r="Z166" s="46" t="s">
        <v>449</v>
      </c>
      <c r="AA166" s="96" t="s">
        <v>4327</v>
      </c>
    </row>
    <row r="167">
      <c r="A167" s="91">
        <v>170.0</v>
      </c>
      <c r="B167" s="21"/>
      <c r="C167" s="29" t="s">
        <v>3</v>
      </c>
      <c r="D167" s="29" t="s">
        <v>4328</v>
      </c>
      <c r="E167" s="29"/>
      <c r="F167" s="29" t="s">
        <v>1982</v>
      </c>
      <c r="G167" s="21"/>
      <c r="H167" s="48">
        <v>336.0</v>
      </c>
      <c r="I167" s="65"/>
      <c r="J167" s="61">
        <v>1680.0</v>
      </c>
      <c r="K167" s="60">
        <v>1.0</v>
      </c>
      <c r="L167" s="33">
        <f>IF('Global Precios'!J167*(1-I167)*(1+'Global Precios'!K167)&gt;10000,MROUND('Global Precios'!J167*(1-I167)*(1+'Global Precios'!K167),1000),MROUND('Global Precios'!J167*(1-I167)*(1+'Global Precios'!K167),500))</f>
        <v>3500</v>
      </c>
      <c r="M167" s="91">
        <v>1.0</v>
      </c>
      <c r="N167" s="29" t="s">
        <v>313</v>
      </c>
      <c r="O167" s="21"/>
      <c r="P167" s="35">
        <v>45839.0</v>
      </c>
      <c r="Q167" s="36">
        <f t="shared" si="7"/>
        <v>9</v>
      </c>
      <c r="R167" s="37">
        <v>30.0</v>
      </c>
      <c r="S167" s="21"/>
      <c r="T167" s="41" t="str">
        <f>IFERROR(VLOOKUP(D167,BUSCARV!$A$1:$C$5524,2,0),"")</f>
        <v/>
      </c>
      <c r="U167" s="42"/>
      <c r="V167" s="42" t="str">
        <f t="shared" si="3"/>
        <v/>
      </c>
      <c r="W167" s="44" t="str">
        <f t="shared" si="4"/>
        <v/>
      </c>
      <c r="X167" s="44"/>
      <c r="Y167" s="45">
        <f t="shared" si="5"/>
        <v>0</v>
      </c>
      <c r="Z167" s="46" t="s">
        <v>449</v>
      </c>
      <c r="AA167" s="96" t="s">
        <v>4329</v>
      </c>
    </row>
    <row r="168">
      <c r="A168" s="91">
        <v>171.0</v>
      </c>
      <c r="B168" s="21"/>
      <c r="C168" s="29" t="s">
        <v>3</v>
      </c>
      <c r="D168" s="29" t="s">
        <v>600</v>
      </c>
      <c r="E168" s="29"/>
      <c r="F168" s="29" t="s">
        <v>1982</v>
      </c>
      <c r="G168" s="21"/>
      <c r="H168" s="48">
        <v>696.0</v>
      </c>
      <c r="I168" s="65"/>
      <c r="J168" s="61">
        <v>2249.0</v>
      </c>
      <c r="K168" s="60">
        <v>1.0</v>
      </c>
      <c r="L168" s="33">
        <f>IF('Global Precios'!J168*(1-I168)*(1+'Global Precios'!K168)&gt;10000,MROUND('Global Precios'!J168*(1-I168)*(1+'Global Precios'!K168),1000),MROUND('Global Precios'!J168*(1-I168)*(1+'Global Precios'!K168),500))</f>
        <v>4500</v>
      </c>
      <c r="M168" s="91">
        <v>1.0</v>
      </c>
      <c r="N168" s="29" t="s">
        <v>313</v>
      </c>
      <c r="O168" s="21"/>
      <c r="P168" s="35">
        <v>45839.0</v>
      </c>
      <c r="Q168" s="36">
        <f t="shared" si="7"/>
        <v>11</v>
      </c>
      <c r="R168" s="37">
        <v>30.0</v>
      </c>
      <c r="S168" s="21"/>
      <c r="T168" s="41" t="str">
        <f>IFERROR(VLOOKUP(D168,BUSCARV!$A$1:$C$5524,2,0),"")</f>
        <v/>
      </c>
      <c r="U168" s="42"/>
      <c r="V168" s="42" t="str">
        <f t="shared" si="3"/>
        <v/>
      </c>
      <c r="W168" s="44" t="str">
        <f t="shared" si="4"/>
        <v/>
      </c>
      <c r="X168" s="44"/>
      <c r="Y168" s="45">
        <f t="shared" si="5"/>
        <v>0</v>
      </c>
      <c r="Z168" s="46" t="s">
        <v>449</v>
      </c>
      <c r="AA168" s="46" t="s">
        <v>4330</v>
      </c>
    </row>
    <row r="169">
      <c r="A169" s="91">
        <v>172.0</v>
      </c>
      <c r="B169" s="21"/>
      <c r="C169" s="29" t="s">
        <v>3</v>
      </c>
      <c r="D169" s="29" t="s">
        <v>603</v>
      </c>
      <c r="E169" s="29"/>
      <c r="F169" s="29" t="s">
        <v>1982</v>
      </c>
      <c r="G169" s="21"/>
      <c r="H169" s="48">
        <v>269.0</v>
      </c>
      <c r="I169" s="65"/>
      <c r="J169" s="61">
        <v>604.0</v>
      </c>
      <c r="K169" s="60">
        <v>1.0</v>
      </c>
      <c r="L169" s="33">
        <f>IF('Global Precios'!J169*(1-I169)*(1+'Global Precios'!K169)&gt;1000,MROUND('Global Precios'!J169*(1-I169)*(1+'Global Precios'!K169),100),MROUND('Global Precios'!J169*(1-I169)*(1+'Global Precios'!K169),10))</f>
        <v>1200</v>
      </c>
      <c r="M169" s="91">
        <v>1.0</v>
      </c>
      <c r="N169" s="29" t="s">
        <v>313</v>
      </c>
      <c r="O169" s="21"/>
      <c r="P169" s="35">
        <v>45323.0</v>
      </c>
      <c r="Q169" s="36">
        <f t="shared" si="7"/>
        <v>18</v>
      </c>
      <c r="R169" s="37">
        <v>30.0</v>
      </c>
      <c r="S169" s="21"/>
      <c r="T169" s="41" t="str">
        <f>IFERROR(VLOOKUP(D169,BUSCARV!$A$1:$C$5524,2,0),"")</f>
        <v/>
      </c>
      <c r="U169" s="63"/>
      <c r="V169" s="42" t="str">
        <f t="shared" si="3"/>
        <v/>
      </c>
      <c r="W169" s="44" t="str">
        <f t="shared" si="4"/>
        <v/>
      </c>
      <c r="X169" s="44"/>
      <c r="Y169" s="45">
        <f t="shared" si="5"/>
        <v>0</v>
      </c>
      <c r="Z169" s="46" t="s">
        <v>1075</v>
      </c>
      <c r="AA169" s="46"/>
    </row>
    <row r="170">
      <c r="A170" s="91">
        <v>173.0</v>
      </c>
      <c r="B170" s="21"/>
      <c r="C170" s="29" t="s">
        <v>3</v>
      </c>
      <c r="D170" s="29" t="s">
        <v>606</v>
      </c>
      <c r="E170" s="29"/>
      <c r="F170" s="29" t="s">
        <v>1982</v>
      </c>
      <c r="G170" s="21"/>
      <c r="H170" s="48">
        <v>97.0</v>
      </c>
      <c r="I170" s="65"/>
      <c r="J170" s="61">
        <v>516.0</v>
      </c>
      <c r="K170" s="60">
        <v>1.0</v>
      </c>
      <c r="L170" s="33">
        <f>IF('Global Precios'!J170*(1-I170)*(1+'Global Precios'!K170)&gt;10000,MROUND('Global Precios'!J170*(1-I170)*(1+'Global Precios'!K170),1000),MROUND('Global Precios'!J170*(1-I170)*(1+'Global Precios'!K170),500))</f>
        <v>1000</v>
      </c>
      <c r="M170" s="91">
        <v>1.0</v>
      </c>
      <c r="N170" s="29" t="s">
        <v>313</v>
      </c>
      <c r="O170" s="21"/>
      <c r="P170" s="35">
        <v>45839.0</v>
      </c>
      <c r="Q170" s="36">
        <f t="shared" si="7"/>
        <v>14</v>
      </c>
      <c r="R170" s="37">
        <v>30.0</v>
      </c>
      <c r="S170" s="21"/>
      <c r="T170" s="41" t="str">
        <f>IFERROR(VLOOKUP(D170,BUSCARV!$A$1:$C$5524,2,0),"")</f>
        <v/>
      </c>
      <c r="U170" s="42"/>
      <c r="V170" s="42" t="str">
        <f t="shared" si="3"/>
        <v/>
      </c>
      <c r="W170" s="44" t="str">
        <f t="shared" si="4"/>
        <v/>
      </c>
      <c r="X170" s="44"/>
      <c r="Y170" s="45">
        <f t="shared" si="5"/>
        <v>0</v>
      </c>
      <c r="Z170" s="46" t="s">
        <v>449</v>
      </c>
      <c r="AA170" s="46" t="s">
        <v>4331</v>
      </c>
    </row>
    <row r="171">
      <c r="A171" s="91">
        <v>174.0</v>
      </c>
      <c r="B171" s="21"/>
      <c r="C171" s="29" t="s">
        <v>182</v>
      </c>
      <c r="D171" s="19" t="s">
        <v>4332</v>
      </c>
      <c r="E171" s="29"/>
      <c r="F171" s="29" t="s">
        <v>204</v>
      </c>
      <c r="G171" s="50" t="s">
        <v>2316</v>
      </c>
      <c r="H171" s="31">
        <f t="shared" ref="H171:H230" si="10">IF(J171="","",J171/1.21)</f>
        <v>3752.892562</v>
      </c>
      <c r="I171" s="21"/>
      <c r="J171" s="47">
        <v>4541.0</v>
      </c>
      <c r="K171" s="21"/>
      <c r="L171" s="33">
        <f>IF('Global Precios'!J171*(1-I171)*(1+'Global Precios'!K171)&gt;10000,MROUND('Global Precios'!J171*(1-I171)*(1+'Global Precios'!K171),1000),MROUND('Global Precios'!J171*(1-I171)*(1+'Global Precios'!K171),500))</f>
        <v>4500</v>
      </c>
      <c r="M171" s="91">
        <v>1.0</v>
      </c>
      <c r="N171" s="29" t="s">
        <v>313</v>
      </c>
      <c r="O171" s="21"/>
      <c r="P171" s="35">
        <v>45809.0</v>
      </c>
      <c r="Q171" s="36">
        <f t="shared" si="7"/>
        <v>37</v>
      </c>
      <c r="R171" s="37">
        <v>60.0</v>
      </c>
      <c r="S171" s="39"/>
      <c r="T171" s="41" t="str">
        <f>IFERROR(VLOOKUP(D171,BUSCARV!$A$1:$C$5524,2,0),"")</f>
        <v/>
      </c>
      <c r="U171" s="42"/>
      <c r="V171" s="42" t="str">
        <f t="shared" si="3"/>
        <v/>
      </c>
      <c r="W171" s="44" t="str">
        <f t="shared" si="4"/>
        <v/>
      </c>
      <c r="X171" s="44"/>
      <c r="Y171" s="45">
        <f t="shared" si="5"/>
        <v>0</v>
      </c>
      <c r="Z171" s="46" t="s">
        <v>449</v>
      </c>
      <c r="AA171" s="46"/>
    </row>
    <row r="172">
      <c r="A172" s="91">
        <v>175.0</v>
      </c>
      <c r="B172" s="21"/>
      <c r="C172" s="29" t="s">
        <v>3</v>
      </c>
      <c r="D172" s="97" t="s">
        <v>4333</v>
      </c>
      <c r="E172" s="21" t="s">
        <v>1793</v>
      </c>
      <c r="F172" s="29" t="s">
        <v>1795</v>
      </c>
      <c r="G172" s="21" t="s">
        <v>1797</v>
      </c>
      <c r="H172" s="31">
        <f t="shared" si="10"/>
        <v>3327.823691</v>
      </c>
      <c r="I172" s="56">
        <v>0.065</v>
      </c>
      <c r="J172" s="77">
        <f t="shared" ref="J172:J173" si="11">J22/M22</f>
        <v>4026.666667</v>
      </c>
      <c r="K172" s="58">
        <v>0.4</v>
      </c>
      <c r="L172" s="33">
        <f>IF('Global Precios'!J172*(1-I172)*(1+'Global Precios'!K172)&gt;10000,MROUND('Global Precios'!J172*(1-I172)*(1+'Global Precios'!K172),1000),MROUND('Global Precios'!J172*(1-I172)*(1+'Global Precios'!K172),500))</f>
        <v>5500</v>
      </c>
      <c r="M172" s="91">
        <v>1.0</v>
      </c>
      <c r="N172" s="29" t="s">
        <v>1823</v>
      </c>
      <c r="O172" s="21"/>
      <c r="P172" s="35">
        <v>46174.0</v>
      </c>
      <c r="Q172" s="36">
        <f t="shared" si="7"/>
        <v>50</v>
      </c>
      <c r="R172" s="37">
        <v>0.0</v>
      </c>
      <c r="S172" s="21"/>
      <c r="T172" s="41" t="str">
        <f>IFERROR(VLOOKUP(D172,BUSCARV!$A$1:$C$5524,2,0),"")</f>
        <v/>
      </c>
      <c r="U172" s="42"/>
      <c r="V172" s="42" t="str">
        <f t="shared" si="3"/>
        <v/>
      </c>
      <c r="W172" s="44" t="str">
        <f t="shared" si="4"/>
        <v/>
      </c>
      <c r="X172" s="44"/>
      <c r="Y172" s="45">
        <f t="shared" si="5"/>
        <v>0</v>
      </c>
      <c r="Z172" s="46" t="s">
        <v>1075</v>
      </c>
      <c r="AA172" s="46"/>
    </row>
    <row r="173">
      <c r="A173" s="91">
        <v>176.0</v>
      </c>
      <c r="B173" s="21"/>
      <c r="C173" s="29" t="s">
        <v>3</v>
      </c>
      <c r="D173" s="97" t="s">
        <v>617</v>
      </c>
      <c r="E173" s="21" t="s">
        <v>1793</v>
      </c>
      <c r="F173" s="29" t="s">
        <v>1795</v>
      </c>
      <c r="G173" s="21" t="s">
        <v>1797</v>
      </c>
      <c r="H173" s="31">
        <f t="shared" si="10"/>
        <v>1189.311295</v>
      </c>
      <c r="I173" s="56">
        <v>0.065</v>
      </c>
      <c r="J173" s="77">
        <f t="shared" si="11"/>
        <v>1439.066667</v>
      </c>
      <c r="K173" s="58">
        <v>0.4</v>
      </c>
      <c r="L173" s="33">
        <f>IF('Global Precios'!J173*(1-I173)*(1+'Global Precios'!K173)&gt;10000,MROUND('Global Precios'!J173*(1-I173)*(1+'Global Precios'!K173),1000),MROUND('Global Precios'!J173*(1-I173)*(1+'Global Precios'!K173),500))</f>
        <v>2000</v>
      </c>
      <c r="M173" s="91">
        <v>1.0</v>
      </c>
      <c r="N173" s="29" t="s">
        <v>1823</v>
      </c>
      <c r="O173" s="21"/>
      <c r="P173" s="35">
        <v>46174.0</v>
      </c>
      <c r="Q173" s="36">
        <f t="shared" si="7"/>
        <v>50</v>
      </c>
      <c r="R173" s="37">
        <v>0.0</v>
      </c>
      <c r="S173" s="21"/>
      <c r="T173" s="41" t="str">
        <f>IFERROR(VLOOKUP(D173,BUSCARV!$A$1:$C$5524,2,0),"")</f>
        <v/>
      </c>
      <c r="U173" s="42"/>
      <c r="V173" s="42" t="str">
        <f t="shared" si="3"/>
        <v/>
      </c>
      <c r="W173" s="44" t="str">
        <f t="shared" si="4"/>
        <v/>
      </c>
      <c r="X173" s="44"/>
      <c r="Y173" s="45">
        <f t="shared" si="5"/>
        <v>0</v>
      </c>
      <c r="Z173" s="46" t="s">
        <v>1075</v>
      </c>
      <c r="AA173" s="46"/>
    </row>
    <row r="174">
      <c r="A174" s="91">
        <v>177.0</v>
      </c>
      <c r="B174" s="21"/>
      <c r="C174" s="29" t="s">
        <v>3</v>
      </c>
      <c r="D174" s="97" t="s">
        <v>619</v>
      </c>
      <c r="E174" s="21" t="s">
        <v>1793</v>
      </c>
      <c r="F174" s="29" t="s">
        <v>1795</v>
      </c>
      <c r="G174" s="21" t="s">
        <v>1905</v>
      </c>
      <c r="H174" s="31">
        <f t="shared" si="10"/>
        <v>7314.049587</v>
      </c>
      <c r="I174" s="56">
        <v>0.065</v>
      </c>
      <c r="J174" s="57">
        <v>8850.0</v>
      </c>
      <c r="K174" s="58">
        <v>0.4</v>
      </c>
      <c r="L174" s="33">
        <f>IF('Global Precios'!J174*(1-I174)*(1+'Global Precios'!K174)&gt;10000,MROUND('Global Precios'!J174*(1-I174)*(1+'Global Precios'!K174),1000),MROUND('Global Precios'!J174*(1-I174)*(1+'Global Precios'!K174),500))</f>
        <v>12000</v>
      </c>
      <c r="M174" s="91">
        <v>1.0</v>
      </c>
      <c r="N174" s="29" t="s">
        <v>1823</v>
      </c>
      <c r="O174" s="21"/>
      <c r="P174" s="35">
        <v>46174.0</v>
      </c>
      <c r="Q174" s="36">
        <f t="shared" si="7"/>
        <v>32</v>
      </c>
      <c r="R174" s="37">
        <v>0.0</v>
      </c>
      <c r="S174" s="21"/>
      <c r="T174" s="41" t="str">
        <f>IFERROR(VLOOKUP(D174,BUSCARV!$A$1:$C$5524,2,0),"")</f>
        <v/>
      </c>
      <c r="U174" s="42"/>
      <c r="V174" s="42" t="str">
        <f t="shared" si="3"/>
        <v/>
      </c>
      <c r="W174" s="44" t="str">
        <f t="shared" si="4"/>
        <v/>
      </c>
      <c r="X174" s="44"/>
      <c r="Y174" s="45">
        <f t="shared" si="5"/>
        <v>0</v>
      </c>
      <c r="Z174" s="46" t="s">
        <v>449</v>
      </c>
      <c r="AA174" s="46"/>
    </row>
    <row r="175">
      <c r="A175" s="91">
        <v>178.0</v>
      </c>
      <c r="B175" s="21"/>
      <c r="C175" s="29" t="s">
        <v>3</v>
      </c>
      <c r="D175" s="97" t="s">
        <v>623</v>
      </c>
      <c r="E175" s="21" t="s">
        <v>1793</v>
      </c>
      <c r="F175" s="29" t="s">
        <v>1795</v>
      </c>
      <c r="G175" s="21" t="s">
        <v>1905</v>
      </c>
      <c r="H175" s="31">
        <f t="shared" si="10"/>
        <v>6611.570248</v>
      </c>
      <c r="I175" s="56">
        <v>0.065</v>
      </c>
      <c r="J175" s="57">
        <v>8000.0</v>
      </c>
      <c r="K175" s="58">
        <v>0.4</v>
      </c>
      <c r="L175" s="33">
        <f>IF('Global Precios'!J175*(1-I175)*(1+'Global Precios'!K175)&gt;10000,MROUND('Global Precios'!J175*(1-I175)*(1+'Global Precios'!K175),1000),MROUND('Global Precios'!J175*(1-I175)*(1+'Global Precios'!K175),500))</f>
        <v>10000</v>
      </c>
      <c r="M175" s="91">
        <v>1.0</v>
      </c>
      <c r="N175" s="29" t="s">
        <v>1823</v>
      </c>
      <c r="O175" s="21"/>
      <c r="P175" s="35">
        <v>46174.0</v>
      </c>
      <c r="Q175" s="36">
        <f t="shared" si="7"/>
        <v>35</v>
      </c>
      <c r="R175" s="37">
        <v>0.0</v>
      </c>
      <c r="S175" s="21"/>
      <c r="T175" s="41" t="str">
        <f>IFERROR(VLOOKUP(D175,BUSCARV!$A$1:$C$5524,2,0),"")</f>
        <v/>
      </c>
      <c r="U175" s="42"/>
      <c r="V175" s="42" t="str">
        <f t="shared" si="3"/>
        <v/>
      </c>
      <c r="W175" s="44" t="str">
        <f t="shared" si="4"/>
        <v/>
      </c>
      <c r="X175" s="44"/>
      <c r="Y175" s="45">
        <f t="shared" si="5"/>
        <v>0</v>
      </c>
      <c r="Z175" s="46" t="s">
        <v>449</v>
      </c>
      <c r="AA175" s="46"/>
    </row>
    <row r="176">
      <c r="A176" s="91">
        <v>179.0</v>
      </c>
      <c r="B176" s="21"/>
      <c r="C176" s="29" t="s">
        <v>3</v>
      </c>
      <c r="D176" s="97" t="s">
        <v>626</v>
      </c>
      <c r="E176" s="29" t="s">
        <v>2075</v>
      </c>
      <c r="F176" s="29" t="s">
        <v>1795</v>
      </c>
      <c r="G176" s="21" t="s">
        <v>1797</v>
      </c>
      <c r="H176" s="31">
        <f t="shared" si="10"/>
        <v>177.442878</v>
      </c>
      <c r="I176" s="98"/>
      <c r="J176" s="77">
        <f>J28/M28</f>
        <v>214.7058824</v>
      </c>
      <c r="K176" s="58">
        <v>0.4</v>
      </c>
      <c r="L176" s="33">
        <f>IF('Global Precios'!J176*(1-I176)*(1+'Global Precios'!K176)&gt;1000,MROUND('Global Precios'!J176*(1-I176)*(1+'Global Precios'!K176),100),MROUND('Global Precios'!J176*(1-I176)*(1+'Global Precios'!K176),10))</f>
        <v>300</v>
      </c>
      <c r="M176" s="91">
        <v>1.0</v>
      </c>
      <c r="N176" s="29" t="s">
        <v>1823</v>
      </c>
      <c r="O176" s="21"/>
      <c r="P176" s="35">
        <v>44986.0</v>
      </c>
      <c r="Q176" s="36">
        <f t="shared" si="7"/>
        <v>41</v>
      </c>
      <c r="R176" s="37">
        <v>0.0</v>
      </c>
      <c r="S176" s="21"/>
      <c r="T176" s="41" t="str">
        <f>IFERROR(VLOOKUP(D176,BUSCARV!$A$1:$C$5524,2,0),"")</f>
        <v/>
      </c>
      <c r="U176" s="42"/>
      <c r="V176" s="42" t="str">
        <f t="shared" si="3"/>
        <v/>
      </c>
      <c r="W176" s="44" t="str">
        <f t="shared" si="4"/>
        <v/>
      </c>
      <c r="X176" s="44"/>
      <c r="Y176" s="45">
        <f t="shared" si="5"/>
        <v>0</v>
      </c>
      <c r="Z176" s="46" t="s">
        <v>1075</v>
      </c>
      <c r="AA176" s="46"/>
    </row>
    <row r="177">
      <c r="A177" s="91">
        <v>180.0</v>
      </c>
      <c r="B177" s="21"/>
      <c r="C177" s="29" t="s">
        <v>3</v>
      </c>
      <c r="D177" s="97" t="s">
        <v>630</v>
      </c>
      <c r="E177" s="29" t="s">
        <v>2075</v>
      </c>
      <c r="F177" s="29" t="s">
        <v>1795</v>
      </c>
      <c r="G177" s="29" t="s">
        <v>1797</v>
      </c>
      <c r="H177" s="31">
        <f t="shared" si="10"/>
        <v>219.0082645</v>
      </c>
      <c r="I177" s="98"/>
      <c r="J177" s="27">
        <f>J30/M30</f>
        <v>265</v>
      </c>
      <c r="K177" s="58">
        <v>0.4</v>
      </c>
      <c r="L177" s="33">
        <f>IF('Global Precios'!J177*(1-I177)*(1+'Global Precios'!K177)&gt;1000,MROUND('Global Precios'!J177*(1-I177)*(1+'Global Precios'!K177),100),MROUND('Global Precios'!J177*(1-I177)*(1+'Global Precios'!K177),10))</f>
        <v>370</v>
      </c>
      <c r="M177" s="91">
        <v>1.0</v>
      </c>
      <c r="N177" s="29" t="s">
        <v>1823</v>
      </c>
      <c r="O177" s="21"/>
      <c r="P177" s="35">
        <v>44986.0</v>
      </c>
      <c r="Q177" s="36">
        <f t="shared" si="7"/>
        <v>43</v>
      </c>
      <c r="R177" s="37">
        <v>0.0</v>
      </c>
      <c r="S177" s="21"/>
      <c r="T177" s="41" t="str">
        <f>IFERROR(VLOOKUP(D177,BUSCARV!$A$1:$C$5524,2,0),"")</f>
        <v/>
      </c>
      <c r="U177" s="42"/>
      <c r="V177" s="42" t="str">
        <f t="shared" si="3"/>
        <v/>
      </c>
      <c r="W177" s="44" t="str">
        <f t="shared" si="4"/>
        <v/>
      </c>
      <c r="X177" s="44"/>
      <c r="Y177" s="45">
        <f t="shared" si="5"/>
        <v>0</v>
      </c>
      <c r="Z177" s="46" t="s">
        <v>1075</v>
      </c>
      <c r="AA177" s="46"/>
    </row>
    <row r="178">
      <c r="A178" s="91">
        <v>181.0</v>
      </c>
      <c r="B178" s="21"/>
      <c r="C178" s="29" t="s">
        <v>3</v>
      </c>
      <c r="D178" s="97" t="s">
        <v>633</v>
      </c>
      <c r="E178" s="29" t="s">
        <v>2075</v>
      </c>
      <c r="F178" s="29" t="s">
        <v>1795</v>
      </c>
      <c r="G178" s="29" t="s">
        <v>1905</v>
      </c>
      <c r="H178" s="31">
        <f t="shared" si="10"/>
        <v>325.0688705</v>
      </c>
      <c r="I178" s="21"/>
      <c r="J178" s="77">
        <f t="shared" ref="J178:J179" si="12">J32/M32</f>
        <v>393.3333333</v>
      </c>
      <c r="K178" s="58">
        <v>0.4</v>
      </c>
      <c r="L178" s="33">
        <f>IF('Global Precios'!J178*(1-I178)*(1+'Global Precios'!K178)&gt;1000,MROUND('Global Precios'!J178*(1-I178)*(1+'Global Precios'!K178),100),MROUND('Global Precios'!J178*(1-I178)*(1+'Global Precios'!K178),10))</f>
        <v>550</v>
      </c>
      <c r="M178" s="91">
        <v>1.0</v>
      </c>
      <c r="N178" s="29" t="s">
        <v>1823</v>
      </c>
      <c r="O178" s="21"/>
      <c r="P178" s="35">
        <v>44986.0</v>
      </c>
      <c r="Q178" s="36">
        <f t="shared" si="7"/>
        <v>34</v>
      </c>
      <c r="R178" s="37">
        <v>0.0</v>
      </c>
      <c r="S178" s="21"/>
      <c r="T178" s="41" t="str">
        <f>IFERROR(VLOOKUP(D178,BUSCARV!$A$1:$C$5524,2,0),"")</f>
        <v/>
      </c>
      <c r="U178" s="42"/>
      <c r="V178" s="42" t="str">
        <f t="shared" si="3"/>
        <v/>
      </c>
      <c r="W178" s="44" t="str">
        <f t="shared" si="4"/>
        <v/>
      </c>
      <c r="X178" s="44"/>
      <c r="Y178" s="45">
        <f t="shared" si="5"/>
        <v>0</v>
      </c>
      <c r="Z178" s="46" t="s">
        <v>1075</v>
      </c>
      <c r="AA178" s="46"/>
    </row>
    <row r="179">
      <c r="A179" s="91">
        <v>182.0</v>
      </c>
      <c r="B179" s="21"/>
      <c r="C179" s="29" t="s">
        <v>3</v>
      </c>
      <c r="D179" s="97" t="s">
        <v>636</v>
      </c>
      <c r="E179" s="29" t="s">
        <v>2075</v>
      </c>
      <c r="F179" s="29" t="s">
        <v>1795</v>
      </c>
      <c r="G179" s="29" t="s">
        <v>1905</v>
      </c>
      <c r="H179" s="31">
        <f t="shared" si="10"/>
        <v>349.3112948</v>
      </c>
      <c r="I179" s="21"/>
      <c r="J179" s="77">
        <f t="shared" si="12"/>
        <v>422.6666667</v>
      </c>
      <c r="K179" s="58">
        <v>0.4</v>
      </c>
      <c r="L179" s="33">
        <f>IF('Global Precios'!J179*(1-I179)*(1+'Global Precios'!K179)&gt;1000,MROUND('Global Precios'!J179*(1-I179)*(1+'Global Precios'!K179),100),MROUND('Global Precios'!J179*(1-I179)*(1+'Global Precios'!K179),10))</f>
        <v>590</v>
      </c>
      <c r="M179" s="91">
        <v>1.0</v>
      </c>
      <c r="N179" s="29" t="s">
        <v>1823</v>
      </c>
      <c r="O179" s="21"/>
      <c r="P179" s="35">
        <v>44986.0</v>
      </c>
      <c r="Q179" s="36">
        <f t="shared" si="7"/>
        <v>36</v>
      </c>
      <c r="R179" s="37">
        <v>0.0</v>
      </c>
      <c r="S179" s="21"/>
      <c r="T179" s="41" t="str">
        <f>IFERROR(VLOOKUP(D179,BUSCARV!$A$1:$C$5524,2,0),"")</f>
        <v/>
      </c>
      <c r="U179" s="42"/>
      <c r="V179" s="42" t="str">
        <f t="shared" si="3"/>
        <v/>
      </c>
      <c r="W179" s="44" t="str">
        <f t="shared" si="4"/>
        <v/>
      </c>
      <c r="X179" s="44"/>
      <c r="Y179" s="45">
        <f t="shared" si="5"/>
        <v>0</v>
      </c>
      <c r="Z179" s="46" t="s">
        <v>1075</v>
      </c>
      <c r="AA179" s="46"/>
    </row>
    <row r="180">
      <c r="A180" s="91">
        <v>183.0</v>
      </c>
      <c r="B180" s="21"/>
      <c r="C180" s="29" t="s">
        <v>3</v>
      </c>
      <c r="D180" s="97" t="s">
        <v>639</v>
      </c>
      <c r="E180" s="21" t="s">
        <v>2292</v>
      </c>
      <c r="F180" s="29" t="s">
        <v>1795</v>
      </c>
      <c r="G180" s="29" t="s">
        <v>1797</v>
      </c>
      <c r="H180" s="31">
        <f t="shared" si="10"/>
        <v>417.3553719</v>
      </c>
      <c r="I180" s="21"/>
      <c r="J180" s="77">
        <f>J35/M35</f>
        <v>505</v>
      </c>
      <c r="K180" s="58">
        <v>0.43</v>
      </c>
      <c r="L180" s="33">
        <f>IF('Global Precios'!J180*(1-I180)*(1+'Global Precios'!K180)&gt;10000,MROUND('Global Precios'!J180*(1-I180)*(1+'Global Precios'!K180),1000),MROUND('Global Precios'!J180*(1-I180)*(1+'Global Precios'!K180),500))</f>
        <v>500</v>
      </c>
      <c r="M180" s="91">
        <v>1.0</v>
      </c>
      <c r="N180" s="29" t="s">
        <v>1823</v>
      </c>
      <c r="O180" s="21"/>
      <c r="P180" s="87">
        <v>44598.0</v>
      </c>
      <c r="Q180" s="36">
        <f t="shared" si="7"/>
        <v>30</v>
      </c>
      <c r="R180" s="37">
        <v>0.0</v>
      </c>
      <c r="S180" s="21"/>
      <c r="T180" s="41" t="str">
        <f>IFERROR(VLOOKUP(D180,BUSCARV!$A$1:$C$5524,2,0),"")</f>
        <v/>
      </c>
      <c r="U180" s="42"/>
      <c r="V180" s="42" t="str">
        <f t="shared" si="3"/>
        <v/>
      </c>
      <c r="W180" s="44" t="str">
        <f t="shared" si="4"/>
        <v/>
      </c>
      <c r="X180" s="44"/>
      <c r="Y180" s="45">
        <f t="shared" si="5"/>
        <v>0</v>
      </c>
      <c r="Z180" s="46" t="s">
        <v>449</v>
      </c>
      <c r="AA180" s="46"/>
    </row>
    <row r="181">
      <c r="A181" s="91">
        <v>184.0</v>
      </c>
      <c r="B181" s="21"/>
      <c r="C181" s="29" t="s">
        <v>3</v>
      </c>
      <c r="D181" s="97" t="s">
        <v>643</v>
      </c>
      <c r="E181" s="21" t="s">
        <v>2292</v>
      </c>
      <c r="F181" s="29" t="s">
        <v>1795</v>
      </c>
      <c r="G181" s="29" t="s">
        <v>1797</v>
      </c>
      <c r="H181" s="31">
        <f t="shared" si="10"/>
        <v>481.4049587</v>
      </c>
      <c r="I181" s="21"/>
      <c r="J181" s="77">
        <f t="shared" ref="J181:J183" si="13">J37/M37</f>
        <v>582.5</v>
      </c>
      <c r="K181" s="58">
        <v>0.43</v>
      </c>
      <c r="L181" s="33">
        <f>IF('Global Precios'!J181*(1-I181)*(1+'Global Precios'!K181)&gt;1000,MROUND('Global Precios'!J181*(1-I181)*(1+'Global Precios'!K181),100),MROUND('Global Precios'!J181*(1-I181)*(1+'Global Precios'!K181),10))</f>
        <v>830</v>
      </c>
      <c r="M181" s="91">
        <v>1.0</v>
      </c>
      <c r="N181" s="29" t="s">
        <v>1823</v>
      </c>
      <c r="O181" s="21"/>
      <c r="P181" s="35">
        <v>45292.0</v>
      </c>
      <c r="Q181" s="36">
        <f t="shared" si="7"/>
        <v>33</v>
      </c>
      <c r="R181" s="37">
        <v>0.0</v>
      </c>
      <c r="S181" s="21"/>
      <c r="T181" s="41" t="str">
        <f>IFERROR(VLOOKUP(D181,BUSCARV!$A$1:$C$5524,2,0),"")</f>
        <v/>
      </c>
      <c r="U181" s="42"/>
      <c r="V181" s="42" t="str">
        <f t="shared" si="3"/>
        <v/>
      </c>
      <c r="W181" s="44" t="str">
        <f t="shared" si="4"/>
        <v/>
      </c>
      <c r="X181" s="44"/>
      <c r="Y181" s="45">
        <f t="shared" si="5"/>
        <v>0</v>
      </c>
      <c r="Z181" s="46" t="s">
        <v>1075</v>
      </c>
      <c r="AA181" s="46"/>
    </row>
    <row r="182">
      <c r="A182" s="91">
        <v>185.0</v>
      </c>
      <c r="B182" s="21"/>
      <c r="C182" s="29" t="s">
        <v>3</v>
      </c>
      <c r="D182" s="97" t="s">
        <v>646</v>
      </c>
      <c r="E182" s="21" t="s">
        <v>2292</v>
      </c>
      <c r="F182" s="29" t="s">
        <v>1795</v>
      </c>
      <c r="G182" s="29" t="s">
        <v>1905</v>
      </c>
      <c r="H182" s="31">
        <f t="shared" si="10"/>
        <v>1950.413223</v>
      </c>
      <c r="I182" s="21"/>
      <c r="J182" s="77">
        <f t="shared" si="13"/>
        <v>2360</v>
      </c>
      <c r="K182" s="58">
        <v>0.43</v>
      </c>
      <c r="L182" s="33">
        <f>IF('Global Precios'!J182*(1-I182)*(1+'Global Precios'!K182)&gt;10000,MROUND('Global Precios'!J182*(1-I182)*(1+'Global Precios'!K182),1000),MROUND('Global Precios'!J182*(1-I182)*(1+'Global Precios'!K182),500))</f>
        <v>3500</v>
      </c>
      <c r="M182" s="91">
        <v>1.0</v>
      </c>
      <c r="N182" s="29" t="s">
        <v>1823</v>
      </c>
      <c r="O182" s="21"/>
      <c r="P182" s="87">
        <v>44598.0</v>
      </c>
      <c r="Q182" s="36">
        <f t="shared" si="7"/>
        <v>35</v>
      </c>
      <c r="R182" s="37">
        <v>0.0</v>
      </c>
      <c r="S182" s="21"/>
      <c r="T182" s="41" t="str">
        <f>IFERROR(VLOOKUP(D182,BUSCARV!$A$1:$C$5524,2,0),"")</f>
        <v/>
      </c>
      <c r="U182" s="42"/>
      <c r="V182" s="42" t="str">
        <f t="shared" si="3"/>
        <v/>
      </c>
      <c r="W182" s="44" t="str">
        <f t="shared" si="4"/>
        <v/>
      </c>
      <c r="X182" s="44"/>
      <c r="Y182" s="45">
        <f t="shared" si="5"/>
        <v>0</v>
      </c>
      <c r="Z182" s="46" t="s">
        <v>449</v>
      </c>
      <c r="AA182" s="46"/>
    </row>
    <row r="183">
      <c r="A183" s="91">
        <v>186.0</v>
      </c>
      <c r="B183" s="21"/>
      <c r="C183" s="29" t="s">
        <v>3</v>
      </c>
      <c r="D183" s="97" t="s">
        <v>650</v>
      </c>
      <c r="E183" s="21" t="s">
        <v>2292</v>
      </c>
      <c r="F183" s="29" t="s">
        <v>1795</v>
      </c>
      <c r="G183" s="29" t="s">
        <v>1905</v>
      </c>
      <c r="H183" s="31">
        <f t="shared" si="10"/>
        <v>852.9752066</v>
      </c>
      <c r="I183" s="21"/>
      <c r="J183" s="77">
        <f t="shared" si="13"/>
        <v>1032.1</v>
      </c>
      <c r="K183" s="58">
        <v>0.43</v>
      </c>
      <c r="L183" s="33">
        <f>IF('Global Precios'!J183*(1-I183)*(1+'Global Precios'!K183)&gt;1000,MROUND('Global Precios'!J183*(1-I183)*(1+'Global Precios'!K183),100),MROUND('Global Precios'!J183*(1-I183)*(1+'Global Precios'!K183),10))</f>
        <v>1500</v>
      </c>
      <c r="M183" s="91">
        <v>1.0</v>
      </c>
      <c r="N183" s="29" t="s">
        <v>1823</v>
      </c>
      <c r="O183" s="21"/>
      <c r="P183" s="35">
        <v>45292.0</v>
      </c>
      <c r="Q183" s="36">
        <f t="shared" si="7"/>
        <v>35</v>
      </c>
      <c r="R183" s="37">
        <v>0.0</v>
      </c>
      <c r="S183" s="21"/>
      <c r="T183" s="41" t="str">
        <f>IFERROR(VLOOKUP(D183,BUSCARV!$A$1:$C$5524,2,0),"")</f>
        <v/>
      </c>
      <c r="U183" s="42"/>
      <c r="V183" s="42" t="str">
        <f t="shared" si="3"/>
        <v/>
      </c>
      <c r="W183" s="44" t="str">
        <f t="shared" si="4"/>
        <v/>
      </c>
      <c r="X183" s="44"/>
      <c r="Y183" s="45">
        <f t="shared" si="5"/>
        <v>0</v>
      </c>
      <c r="Z183" s="46" t="s">
        <v>1075</v>
      </c>
      <c r="AA183" s="46"/>
    </row>
    <row r="184">
      <c r="A184" s="91">
        <v>187.0</v>
      </c>
      <c r="B184" s="21"/>
      <c r="C184" s="29" t="s">
        <v>182</v>
      </c>
      <c r="D184" s="29" t="s">
        <v>654</v>
      </c>
      <c r="E184" s="29" t="s">
        <v>189</v>
      </c>
      <c r="F184" s="19" t="s">
        <v>204</v>
      </c>
      <c r="G184" s="21"/>
      <c r="H184" s="31">
        <f t="shared" si="10"/>
        <v>88521.4876</v>
      </c>
      <c r="I184" s="21"/>
      <c r="J184" s="37">
        <v>107111.0</v>
      </c>
      <c r="K184" s="58">
        <v>0.5</v>
      </c>
      <c r="L184" s="33">
        <f>IF('Global Precios'!J184*(1-I184)*(1+'Global Precios'!K184)&gt;10000,MROUND('Global Precios'!J184*(1-I184)*(1+'Global Precios'!K184),1000),MROUND('Global Precios'!J184*(1-I184)*(1+'Global Precios'!K184),500))</f>
        <v>161000</v>
      </c>
      <c r="M184" s="21"/>
      <c r="N184" s="21"/>
      <c r="O184" s="21"/>
      <c r="P184" s="35">
        <v>45809.0</v>
      </c>
      <c r="Q184" s="36">
        <f t="shared" si="7"/>
        <v>7</v>
      </c>
      <c r="R184" s="37">
        <v>60.0</v>
      </c>
      <c r="S184" s="39"/>
      <c r="T184" s="41" t="str">
        <f>IFERROR(VLOOKUP(D184,BUSCARV!$A$1:$C$5524,2,0),"")</f>
        <v/>
      </c>
      <c r="U184" s="42"/>
      <c r="V184" s="42" t="str">
        <f t="shared" si="3"/>
        <v/>
      </c>
      <c r="W184" s="44" t="str">
        <f t="shared" si="4"/>
        <v/>
      </c>
      <c r="X184" s="44"/>
      <c r="Y184" s="45">
        <f t="shared" si="5"/>
        <v>0</v>
      </c>
      <c r="Z184" s="46" t="s">
        <v>449</v>
      </c>
      <c r="AA184" s="46"/>
    </row>
    <row r="185">
      <c r="A185" s="91">
        <v>188.0</v>
      </c>
      <c r="B185" s="21"/>
      <c r="C185" s="29" t="s">
        <v>3</v>
      </c>
      <c r="D185" s="29" t="s">
        <v>657</v>
      </c>
      <c r="E185" s="29" t="s">
        <v>2292</v>
      </c>
      <c r="F185" s="29" t="s">
        <v>1795</v>
      </c>
      <c r="G185" s="29" t="s">
        <v>1905</v>
      </c>
      <c r="H185" s="31">
        <f t="shared" si="10"/>
        <v>12252.89256</v>
      </c>
      <c r="I185" s="65"/>
      <c r="J185" s="37">
        <v>14826.0</v>
      </c>
      <c r="K185" s="58">
        <v>0.33</v>
      </c>
      <c r="L185" s="33">
        <f>IF('Global Precios'!J185*(1-I185)*(1+'Global Precios'!K185)&gt;1000,MROUND('Global Precios'!J185*(1-I185)*(1+'Global Precios'!K185),100),MROUND('Global Precios'!J185*(1-I185)*(1+'Global Precios'!K185),10))</f>
        <v>19700</v>
      </c>
      <c r="M185" s="91">
        <v>10.0</v>
      </c>
      <c r="N185" s="29" t="s">
        <v>1823</v>
      </c>
      <c r="O185" s="21"/>
      <c r="P185" s="35">
        <v>45170.0</v>
      </c>
      <c r="Q185" s="36">
        <f t="shared" si="7"/>
        <v>34</v>
      </c>
      <c r="R185" s="37">
        <v>30.0</v>
      </c>
      <c r="S185" s="21"/>
      <c r="T185" s="41" t="str">
        <f>IFERROR(VLOOKUP(D185,BUSCARV!$A$1:$C$5524,2,0),"")</f>
        <v/>
      </c>
      <c r="U185" s="42"/>
      <c r="V185" s="42" t="str">
        <f t="shared" si="3"/>
        <v/>
      </c>
      <c r="W185" s="44" t="str">
        <f t="shared" si="4"/>
        <v/>
      </c>
      <c r="X185" s="44"/>
      <c r="Y185" s="45">
        <f t="shared" si="5"/>
        <v>0</v>
      </c>
      <c r="Z185" s="46" t="s">
        <v>1075</v>
      </c>
      <c r="AA185" s="46"/>
    </row>
    <row r="186">
      <c r="A186" s="91">
        <v>189.0</v>
      </c>
      <c r="B186" s="21"/>
      <c r="C186" s="29" t="s">
        <v>3</v>
      </c>
      <c r="D186" s="19" t="s">
        <v>661</v>
      </c>
      <c r="E186" s="29"/>
      <c r="F186" s="29" t="s">
        <v>2308</v>
      </c>
      <c r="G186" s="50" t="s">
        <v>2344</v>
      </c>
      <c r="H186" s="31">
        <f t="shared" si="10"/>
        <v>12478.5124</v>
      </c>
      <c r="I186" s="73"/>
      <c r="J186" s="99">
        <v>15099.0</v>
      </c>
      <c r="K186" s="60">
        <v>0.8</v>
      </c>
      <c r="L186" s="33">
        <f>IF('Global Precios'!J186*(1-I186)*(1+'Global Precios'!K186)&gt;10000,MROUND('Global Precios'!J186*(1-I186)*(1+'Global Precios'!K186),1000),MROUND('Global Precios'!J186*(1-I186)*(1+'Global Precios'!K186),500))</f>
        <v>27000</v>
      </c>
      <c r="M186" s="91">
        <v>1.0</v>
      </c>
      <c r="N186" s="29" t="s">
        <v>313</v>
      </c>
      <c r="O186" s="21"/>
      <c r="P186" s="35">
        <v>45839.0</v>
      </c>
      <c r="Q186" s="36">
        <f t="shared" si="7"/>
        <v>27</v>
      </c>
      <c r="R186" s="37">
        <v>30.0</v>
      </c>
      <c r="S186" s="21"/>
      <c r="T186" s="41">
        <f>IFERROR(VLOOKUP(D186,BUSCARV!$A$1:$C$5524,2,0),"")</f>
        <v>13855</v>
      </c>
      <c r="U186" s="42"/>
      <c r="V186" s="42">
        <f t="shared" si="3"/>
        <v>13855</v>
      </c>
      <c r="W186" s="44">
        <f t="shared" si="4"/>
        <v>-0.08238956222</v>
      </c>
      <c r="X186" s="44"/>
      <c r="Y186" s="45">
        <f t="shared" si="5"/>
        <v>0</v>
      </c>
      <c r="Z186" s="46" t="s">
        <v>449</v>
      </c>
      <c r="AA186" s="46"/>
    </row>
    <row r="187">
      <c r="A187" s="91">
        <v>190.0</v>
      </c>
      <c r="B187" s="21"/>
      <c r="C187" s="29" t="s">
        <v>3</v>
      </c>
      <c r="D187" s="29" t="s">
        <v>664</v>
      </c>
      <c r="E187" s="29"/>
      <c r="F187" s="29" t="s">
        <v>2308</v>
      </c>
      <c r="G187" s="21"/>
      <c r="H187" s="31">
        <f t="shared" si="10"/>
        <v>6619.834711</v>
      </c>
      <c r="I187" s="73"/>
      <c r="J187" s="99">
        <v>8010.0</v>
      </c>
      <c r="K187" s="58">
        <v>1.0</v>
      </c>
      <c r="L187" s="33">
        <f>IF('Global Precios'!J187*(1-I187)*(1+'Global Precios'!K187)&gt;10000,MROUND('Global Precios'!J187*(1-I187)*(1+'Global Precios'!K187),1000),MROUND('Global Precios'!J187*(1-I187)*(1+'Global Precios'!K187),500))</f>
        <v>16000</v>
      </c>
      <c r="M187" s="91">
        <v>1.0</v>
      </c>
      <c r="N187" s="29" t="s">
        <v>313</v>
      </c>
      <c r="O187" s="21"/>
      <c r="P187" s="35">
        <v>45839.0</v>
      </c>
      <c r="Q187" s="36">
        <f t="shared" si="7"/>
        <v>26</v>
      </c>
      <c r="R187" s="37">
        <v>30.0</v>
      </c>
      <c r="S187" s="21"/>
      <c r="T187" s="41">
        <f>IFERROR(VLOOKUP(D187,BUSCARV!$A$1:$C$5524,2,0),"")</f>
        <v>8010</v>
      </c>
      <c r="U187" s="42"/>
      <c r="V187" s="42">
        <f t="shared" si="3"/>
        <v>8010</v>
      </c>
      <c r="W187" s="44">
        <f t="shared" si="4"/>
        <v>0</v>
      </c>
      <c r="X187" s="44"/>
      <c r="Y187" s="45">
        <f t="shared" si="5"/>
        <v>0</v>
      </c>
      <c r="Z187" s="46" t="s">
        <v>449</v>
      </c>
      <c r="AA187" s="46"/>
    </row>
    <row r="188">
      <c r="A188" s="91">
        <v>191.0</v>
      </c>
      <c r="B188" s="21"/>
      <c r="C188" s="29" t="s">
        <v>3</v>
      </c>
      <c r="D188" s="29" t="s">
        <v>667</v>
      </c>
      <c r="E188" s="29"/>
      <c r="F188" s="29" t="s">
        <v>2308</v>
      </c>
      <c r="G188" s="21"/>
      <c r="H188" s="31">
        <f t="shared" si="10"/>
        <v>2892.561983</v>
      </c>
      <c r="I188" s="73"/>
      <c r="J188" s="99">
        <v>3500.0</v>
      </c>
      <c r="K188" s="58">
        <v>1.0</v>
      </c>
      <c r="L188" s="33">
        <f>IF('Global Precios'!J188*(1-I188)*(1+'Global Precios'!K188)&gt;10000,MROUND('Global Precios'!J188*(1-I188)*(1+'Global Precios'!K188),1000),MROUND('Global Precios'!J188*(1-I188)*(1+'Global Precios'!K188),500))</f>
        <v>7000</v>
      </c>
      <c r="M188" s="91">
        <v>1.0</v>
      </c>
      <c r="N188" s="29" t="s">
        <v>313</v>
      </c>
      <c r="O188" s="21"/>
      <c r="P188" s="35">
        <v>45870.0</v>
      </c>
      <c r="Q188" s="36">
        <f t="shared" si="7"/>
        <v>28</v>
      </c>
      <c r="R188" s="37">
        <v>30.0</v>
      </c>
      <c r="S188" s="21"/>
      <c r="T188" s="41">
        <f>IFERROR(VLOOKUP(D188,BUSCARV!$A$1:$C$5524,2,0),"")</f>
        <v>5056</v>
      </c>
      <c r="U188" s="42"/>
      <c r="V188" s="42">
        <f t="shared" si="3"/>
        <v>5056</v>
      </c>
      <c r="W188" s="44">
        <f t="shared" si="4"/>
        <v>0.4445714286</v>
      </c>
      <c r="X188" s="44"/>
      <c r="Y188" s="45">
        <f t="shared" si="5"/>
        <v>0</v>
      </c>
      <c r="Z188" s="46" t="s">
        <v>449</v>
      </c>
      <c r="AA188" s="46"/>
    </row>
    <row r="189">
      <c r="A189" s="91">
        <v>192.0</v>
      </c>
      <c r="B189" s="21"/>
      <c r="C189" s="29" t="s">
        <v>3</v>
      </c>
      <c r="D189" s="29" t="s">
        <v>670</v>
      </c>
      <c r="E189" s="29"/>
      <c r="F189" s="29" t="s">
        <v>2308</v>
      </c>
      <c r="G189" s="21"/>
      <c r="H189" s="31">
        <f t="shared" si="10"/>
        <v>3753.719008</v>
      </c>
      <c r="I189" s="73"/>
      <c r="J189" s="99">
        <v>4542.0</v>
      </c>
      <c r="K189" s="58">
        <v>1.0</v>
      </c>
      <c r="L189" s="33">
        <f>IF('Global Precios'!J189*(1-I189)*(1+'Global Precios'!K189)&gt;10000,MROUND('Global Precios'!J189*(1-I189)*(1+'Global Precios'!K189),1000),MROUND('Global Precios'!J189*(1-I189)*(1+'Global Precios'!K189),500))</f>
        <v>9000</v>
      </c>
      <c r="M189" s="91">
        <v>1.0</v>
      </c>
      <c r="N189" s="29" t="s">
        <v>313</v>
      </c>
      <c r="O189" s="21"/>
      <c r="P189" s="35">
        <v>45839.0</v>
      </c>
      <c r="Q189" s="36">
        <f t="shared" si="7"/>
        <v>30</v>
      </c>
      <c r="R189" s="37">
        <v>30.0</v>
      </c>
      <c r="S189" s="21"/>
      <c r="T189" s="41">
        <f>IFERROR(VLOOKUP(D189,BUSCARV!$A$1:$C$5524,2,0),"")</f>
        <v>4542</v>
      </c>
      <c r="U189" s="42"/>
      <c r="V189" s="42">
        <f t="shared" si="3"/>
        <v>4542</v>
      </c>
      <c r="W189" s="44">
        <f t="shared" si="4"/>
        <v>0</v>
      </c>
      <c r="X189" s="44"/>
      <c r="Y189" s="45">
        <f t="shared" si="5"/>
        <v>0</v>
      </c>
      <c r="Z189" s="46" t="s">
        <v>449</v>
      </c>
      <c r="AA189" s="46"/>
    </row>
    <row r="190">
      <c r="A190" s="91">
        <v>193.0</v>
      </c>
      <c r="B190" s="91">
        <v>1.2393467E7</v>
      </c>
      <c r="C190" s="29" t="s">
        <v>3</v>
      </c>
      <c r="D190" s="29" t="s">
        <v>674</v>
      </c>
      <c r="E190" s="29" t="s">
        <v>1793</v>
      </c>
      <c r="F190" s="29" t="s">
        <v>1795</v>
      </c>
      <c r="G190" s="29" t="s">
        <v>1797</v>
      </c>
      <c r="H190" s="31">
        <f t="shared" si="10"/>
        <v>45702.47934</v>
      </c>
      <c r="I190" s="56">
        <v>0.065</v>
      </c>
      <c r="J190" s="99">
        <v>55300.0</v>
      </c>
      <c r="K190" s="58">
        <v>0.33</v>
      </c>
      <c r="L190" s="33">
        <f>IF('Global Precios'!J190*(1-I190)*(1+'Global Precios'!K190)&gt;10000,MROUND('Global Precios'!J190*(1-I190)*(1+'Global Precios'!K190),1000),MROUND('Global Precios'!J190*(1-I190)*(1+'Global Precios'!K190),500))</f>
        <v>69000</v>
      </c>
      <c r="M190" s="91">
        <v>15.0</v>
      </c>
      <c r="N190" s="29" t="s">
        <v>1823</v>
      </c>
      <c r="O190" s="59">
        <f>+MROUND(('Global Precios'!$J190/('Global Precios'!$M190))*(1+'Global Precios'!$K190+0.1),10)</f>
        <v>5270</v>
      </c>
      <c r="P190" s="35">
        <v>46174.0</v>
      </c>
      <c r="Q190" s="36">
        <f t="shared" si="7"/>
        <v>49</v>
      </c>
      <c r="R190" s="37">
        <v>30.0</v>
      </c>
      <c r="S190" s="21"/>
      <c r="T190" s="41" t="str">
        <f>IFERROR(VLOOKUP(D190,BUSCARV!$A$1:$C$5524,2,0),"")</f>
        <v/>
      </c>
      <c r="U190" s="42"/>
      <c r="V190" s="42" t="str">
        <f t="shared" si="3"/>
        <v/>
      </c>
      <c r="W190" s="44" t="str">
        <f t="shared" si="4"/>
        <v/>
      </c>
      <c r="X190" s="44"/>
      <c r="Y190" s="45">
        <f t="shared" si="5"/>
        <v>0</v>
      </c>
      <c r="Z190" s="46" t="s">
        <v>1075</v>
      </c>
      <c r="AA190" s="46"/>
    </row>
    <row r="191">
      <c r="A191" s="91">
        <v>194.0</v>
      </c>
      <c r="B191" s="21"/>
      <c r="C191" s="29" t="s">
        <v>3</v>
      </c>
      <c r="D191" s="97" t="s">
        <v>677</v>
      </c>
      <c r="E191" s="21" t="s">
        <v>1793</v>
      </c>
      <c r="F191" s="29" t="s">
        <v>1795</v>
      </c>
      <c r="G191" s="29" t="s">
        <v>1797</v>
      </c>
      <c r="H191" s="31">
        <f t="shared" si="10"/>
        <v>3046.831956</v>
      </c>
      <c r="I191" s="56">
        <v>0.065</v>
      </c>
      <c r="J191" s="65">
        <f>J190/M190</f>
        <v>3686.666667</v>
      </c>
      <c r="K191" s="58">
        <v>0.4</v>
      </c>
      <c r="L191" s="33">
        <f>IF('Global Precios'!J191*(1-I191)*(1+'Global Precios'!K191)&gt;10000,MROUND('Global Precios'!J191*(1-I191)*(1+'Global Precios'!K191),1000),MROUND('Global Precios'!J191*(1-I191)*(1+'Global Precios'!K191),500))</f>
        <v>5000</v>
      </c>
      <c r="M191" s="91">
        <v>1.0</v>
      </c>
      <c r="N191" s="29" t="s">
        <v>1823</v>
      </c>
      <c r="O191" s="21"/>
      <c r="P191" s="35">
        <v>46174.0</v>
      </c>
      <c r="Q191" s="36">
        <f t="shared" si="7"/>
        <v>46</v>
      </c>
      <c r="R191" s="37">
        <v>0.0</v>
      </c>
      <c r="S191" s="21"/>
      <c r="T191" s="41" t="str">
        <f>IFERROR(VLOOKUP(D191,BUSCARV!$A$1:$C$5524,2,0),"")</f>
        <v/>
      </c>
      <c r="U191" s="42"/>
      <c r="V191" s="42" t="str">
        <f t="shared" si="3"/>
        <v/>
      </c>
      <c r="W191" s="44" t="str">
        <f t="shared" si="4"/>
        <v/>
      </c>
      <c r="X191" s="44"/>
      <c r="Y191" s="45">
        <f t="shared" si="5"/>
        <v>0</v>
      </c>
      <c r="Z191" s="46" t="s">
        <v>1075</v>
      </c>
      <c r="AA191" s="46"/>
    </row>
    <row r="192">
      <c r="A192" s="91">
        <v>195.0</v>
      </c>
      <c r="B192" s="91">
        <v>1.2453105E7</v>
      </c>
      <c r="C192" s="29" t="s">
        <v>3</v>
      </c>
      <c r="D192" s="100" t="s">
        <v>680</v>
      </c>
      <c r="E192" s="100" t="s">
        <v>4334</v>
      </c>
      <c r="F192" s="29" t="s">
        <v>1795</v>
      </c>
      <c r="G192" s="29" t="s">
        <v>1797</v>
      </c>
      <c r="H192" s="31">
        <f t="shared" si="10"/>
        <v>7347.933884</v>
      </c>
      <c r="I192" s="60">
        <v>0.08</v>
      </c>
      <c r="J192" s="66">
        <v>8891.0</v>
      </c>
      <c r="K192" s="60">
        <v>0.43</v>
      </c>
      <c r="L192" s="33">
        <f>IF('Global Precios'!J192*(1-I192)*(1+'Global Precios'!K192)&gt;1000,MROUND('Global Precios'!J192*(1-I192)*(1+'Global Precios'!K192),100),MROUND('Global Precios'!J192*(1-I192)*(1+'Global Precios'!K192),10))</f>
        <v>11700</v>
      </c>
      <c r="M192" s="37">
        <v>7.0</v>
      </c>
      <c r="N192" s="29" t="s">
        <v>1823</v>
      </c>
      <c r="O192" s="59">
        <f>+MROUND(('Global Precios'!$J192/('Global Precios'!$M192))*(1+'Global Precios'!$K192+0.1),10)</f>
        <v>1940</v>
      </c>
      <c r="P192" s="35">
        <v>45017.0</v>
      </c>
      <c r="Q192" s="36">
        <f t="shared" si="7"/>
        <v>46</v>
      </c>
      <c r="R192" s="37">
        <v>30.0</v>
      </c>
      <c r="S192" s="21"/>
      <c r="T192" s="41" t="str">
        <f>IFERROR(VLOOKUP(D192,BUSCARV!$A$1:$C$5524,2,0),"")</f>
        <v/>
      </c>
      <c r="U192" s="42"/>
      <c r="V192" s="42" t="str">
        <f t="shared" si="3"/>
        <v/>
      </c>
      <c r="W192" s="44" t="str">
        <f t="shared" si="4"/>
        <v/>
      </c>
      <c r="X192" s="44"/>
      <c r="Y192" s="45">
        <f t="shared" si="5"/>
        <v>0</v>
      </c>
      <c r="Z192" s="46" t="s">
        <v>1075</v>
      </c>
      <c r="AA192" s="46"/>
    </row>
    <row r="193">
      <c r="A193" s="91">
        <v>196.0</v>
      </c>
      <c r="B193" s="91">
        <v>1.2453294E7</v>
      </c>
      <c r="C193" s="29" t="s">
        <v>3</v>
      </c>
      <c r="D193" s="100" t="s">
        <v>684</v>
      </c>
      <c r="E193" s="100" t="s">
        <v>4334</v>
      </c>
      <c r="F193" s="29" t="s">
        <v>1795</v>
      </c>
      <c r="G193" s="29" t="s">
        <v>1797</v>
      </c>
      <c r="H193" s="31">
        <f t="shared" si="10"/>
        <v>12128.09917</v>
      </c>
      <c r="I193" s="60">
        <v>0.08</v>
      </c>
      <c r="J193" s="99">
        <v>14675.0</v>
      </c>
      <c r="K193" s="60">
        <v>0.43</v>
      </c>
      <c r="L193" s="33">
        <f>IF('Global Precios'!J193*(1-I193)*(1+'Global Precios'!K193)&gt;1000,MROUND('Global Precios'!J193*(1-I193)*(1+'Global Precios'!K193),100),MROUND('Global Precios'!J193*(1-I193)*(1+'Global Precios'!K193),10))</f>
        <v>19300</v>
      </c>
      <c r="M193" s="91">
        <v>15.0</v>
      </c>
      <c r="N193" s="29" t="s">
        <v>1823</v>
      </c>
      <c r="O193" s="59">
        <f>+MROUND(('Global Precios'!$J193/('Global Precios'!$M193))*(1+'Global Precios'!$K193+0.1),10)</f>
        <v>1500</v>
      </c>
      <c r="P193" s="35">
        <v>45017.0</v>
      </c>
      <c r="Q193" s="36">
        <f t="shared" si="7"/>
        <v>45</v>
      </c>
      <c r="R193" s="37">
        <v>30.0</v>
      </c>
      <c r="S193" s="21"/>
      <c r="T193" s="41" t="str">
        <f>IFERROR(VLOOKUP(D193,BUSCARV!$A$1:$C$5524,2,0),"")</f>
        <v/>
      </c>
      <c r="U193" s="42"/>
      <c r="V193" s="42" t="str">
        <f t="shared" si="3"/>
        <v/>
      </c>
      <c r="W193" s="44" t="str">
        <f t="shared" si="4"/>
        <v/>
      </c>
      <c r="X193" s="44"/>
      <c r="Y193" s="45">
        <f t="shared" si="5"/>
        <v>0</v>
      </c>
      <c r="Z193" s="46" t="s">
        <v>1075</v>
      </c>
      <c r="AA193" s="46"/>
    </row>
    <row r="194">
      <c r="A194" s="91">
        <v>197.0</v>
      </c>
      <c r="B194" s="21"/>
      <c r="C194" s="29" t="s">
        <v>3</v>
      </c>
      <c r="D194" s="100" t="s">
        <v>686</v>
      </c>
      <c r="E194" s="100" t="s">
        <v>4335</v>
      </c>
      <c r="F194" s="29" t="s">
        <v>1795</v>
      </c>
      <c r="G194" s="29" t="s">
        <v>1797</v>
      </c>
      <c r="H194" s="31">
        <f t="shared" si="10"/>
        <v>11855.3719</v>
      </c>
      <c r="I194" s="65"/>
      <c r="J194" s="66">
        <v>14345.0</v>
      </c>
      <c r="K194" s="58">
        <v>0.3</v>
      </c>
      <c r="L194" s="33">
        <f>IF('Global Precios'!J194*(1-I194)*(1+'Global Precios'!K194)&gt;1000,MROUND('Global Precios'!J194*(1-I194)*(1+'Global Precios'!K194),100),MROUND('Global Precios'!J194*(1-I194)*(1+'Global Precios'!K194),10))</f>
        <v>18600</v>
      </c>
      <c r="M194" s="91">
        <v>7.5</v>
      </c>
      <c r="N194" s="29" t="s">
        <v>1823</v>
      </c>
      <c r="O194" s="59">
        <f>+MROUND(('Global Precios'!$J194/('Global Precios'!$M194))*(1+'Global Precios'!$K194+0.1),10)</f>
        <v>2680</v>
      </c>
      <c r="P194" s="35">
        <v>45231.0</v>
      </c>
      <c r="Q194" s="36">
        <f t="shared" si="7"/>
        <v>49</v>
      </c>
      <c r="R194" s="37">
        <v>30.0</v>
      </c>
      <c r="S194" s="21"/>
      <c r="T194" s="41" t="str">
        <f>IFERROR(VLOOKUP(D194,BUSCARV!$A$1:$C$5524,2,0),"")</f>
        <v/>
      </c>
      <c r="U194" s="42"/>
      <c r="V194" s="42" t="str">
        <f t="shared" si="3"/>
        <v/>
      </c>
      <c r="W194" s="44" t="str">
        <f t="shared" si="4"/>
        <v/>
      </c>
      <c r="X194" s="44"/>
      <c r="Y194" s="45">
        <f t="shared" si="5"/>
        <v>0</v>
      </c>
      <c r="Z194" s="46" t="s">
        <v>1075</v>
      </c>
      <c r="AA194" s="46"/>
    </row>
    <row r="195">
      <c r="A195" s="91">
        <v>198.0</v>
      </c>
      <c r="B195" s="21"/>
      <c r="C195" s="29" t="s">
        <v>3</v>
      </c>
      <c r="D195" s="100" t="s">
        <v>689</v>
      </c>
      <c r="E195" s="100" t="s">
        <v>4335</v>
      </c>
      <c r="F195" s="29" t="s">
        <v>1795</v>
      </c>
      <c r="G195" s="29" t="s">
        <v>1797</v>
      </c>
      <c r="H195" s="31">
        <f t="shared" si="10"/>
        <v>11906.61157</v>
      </c>
      <c r="I195" s="91"/>
      <c r="J195" s="101">
        <v>14407.0</v>
      </c>
      <c r="K195" s="58">
        <v>0.3</v>
      </c>
      <c r="L195" s="33">
        <f>IF('Global Precios'!J195*(1-I195)*(1+'Global Precios'!K195)&gt;1000,MROUND('Global Precios'!J195*(1-I195)*(1+'Global Precios'!K195),100),MROUND('Global Precios'!J195*(1-I195)*(1+'Global Precios'!K195),10))</f>
        <v>18700</v>
      </c>
      <c r="M195" s="91">
        <v>7.5</v>
      </c>
      <c r="N195" s="29" t="s">
        <v>1823</v>
      </c>
      <c r="O195" s="59">
        <f>+MROUND(('Global Precios'!$J195/('Global Precios'!$M195))*(1+'Global Precios'!$K195+0.1),10)</f>
        <v>2690</v>
      </c>
      <c r="P195" s="35">
        <v>45231.0</v>
      </c>
      <c r="Q195" s="36">
        <f t="shared" si="7"/>
        <v>47</v>
      </c>
      <c r="R195" s="37">
        <v>30.0</v>
      </c>
      <c r="S195" s="21"/>
      <c r="T195" s="41" t="str">
        <f>IFERROR(VLOOKUP(D195,BUSCARV!$A$1:$C$5524,2,0),"")</f>
        <v/>
      </c>
      <c r="U195" s="42"/>
      <c r="V195" s="42" t="str">
        <f t="shared" si="3"/>
        <v/>
      </c>
      <c r="W195" s="44" t="str">
        <f t="shared" si="4"/>
        <v/>
      </c>
      <c r="X195" s="44"/>
      <c r="Y195" s="45">
        <f t="shared" si="5"/>
        <v>0</v>
      </c>
      <c r="Z195" s="46" t="s">
        <v>1075</v>
      </c>
      <c r="AA195" s="46"/>
    </row>
    <row r="196">
      <c r="A196" s="91">
        <v>199.0</v>
      </c>
      <c r="B196" s="21"/>
      <c r="C196" s="29" t="s">
        <v>3</v>
      </c>
      <c r="D196" s="100" t="s">
        <v>692</v>
      </c>
      <c r="E196" s="100" t="s">
        <v>4336</v>
      </c>
      <c r="F196" s="29" t="s">
        <v>2308</v>
      </c>
      <c r="G196" s="29" t="s">
        <v>2325</v>
      </c>
      <c r="H196" s="31">
        <f t="shared" si="10"/>
        <v>4089.256198</v>
      </c>
      <c r="I196" s="73"/>
      <c r="J196" s="99">
        <v>4948.0</v>
      </c>
      <c r="K196" s="58">
        <v>0.8</v>
      </c>
      <c r="L196" s="33">
        <f>IF('Global Precios'!J196*(1-I196)*(1+'Global Precios'!K196)&gt;10000,MROUND('Global Precios'!J196*(1-I196)*(1+'Global Precios'!K196),1000),MROUND('Global Precios'!J196*(1-I196)*(1+'Global Precios'!K196),500))</f>
        <v>9000</v>
      </c>
      <c r="M196" s="91">
        <v>1.0</v>
      </c>
      <c r="N196" s="29" t="s">
        <v>313</v>
      </c>
      <c r="O196" s="21"/>
      <c r="P196" s="35">
        <v>45839.0</v>
      </c>
      <c r="Q196" s="36">
        <f t="shared" si="7"/>
        <v>22</v>
      </c>
      <c r="R196" s="37">
        <v>30.0</v>
      </c>
      <c r="S196" s="21"/>
      <c r="T196" s="41">
        <f>IFERROR(VLOOKUP(D196,BUSCARV!$A$1:$C$5524,2,0),"")</f>
        <v>4639</v>
      </c>
      <c r="U196" s="42"/>
      <c r="V196" s="42">
        <f t="shared" si="3"/>
        <v>4639</v>
      </c>
      <c r="W196" s="44">
        <f t="shared" si="4"/>
        <v>-0.06244947454</v>
      </c>
      <c r="X196" s="44"/>
      <c r="Y196" s="45">
        <f t="shared" si="5"/>
        <v>0</v>
      </c>
      <c r="Z196" s="46" t="s">
        <v>449</v>
      </c>
      <c r="AA196" s="46"/>
    </row>
    <row r="197">
      <c r="A197" s="91">
        <v>200.0</v>
      </c>
      <c r="B197" s="21"/>
      <c r="C197" s="29" t="s">
        <v>3</v>
      </c>
      <c r="D197" s="100" t="s">
        <v>4337</v>
      </c>
      <c r="E197" s="100" t="s">
        <v>4338</v>
      </c>
      <c r="F197" s="29" t="s">
        <v>2308</v>
      </c>
      <c r="G197" s="29" t="s">
        <v>2339</v>
      </c>
      <c r="H197" s="31">
        <f t="shared" si="10"/>
        <v>4958.677686</v>
      </c>
      <c r="I197" s="73"/>
      <c r="J197" s="66">
        <v>6000.0</v>
      </c>
      <c r="K197" s="58">
        <v>0.9</v>
      </c>
      <c r="L197" s="33">
        <f>IF('Global Precios'!J197*(1-I197)*(1+'Global Precios'!K197)&gt;10000,MROUND('Global Precios'!J197*(1-I197)*(1+'Global Precios'!K197),1000),MROUND('Global Precios'!J197*(1-I197)*(1+'Global Precios'!K197),500))</f>
        <v>11000</v>
      </c>
      <c r="M197" s="91">
        <v>1.0</v>
      </c>
      <c r="N197" s="29" t="s">
        <v>313</v>
      </c>
      <c r="O197" s="21"/>
      <c r="P197" s="35">
        <v>46082.0</v>
      </c>
      <c r="Q197" s="36">
        <f t="shared" si="7"/>
        <v>31</v>
      </c>
      <c r="R197" s="37">
        <v>30.0</v>
      </c>
      <c r="S197" s="21"/>
      <c r="T197" s="41" t="str">
        <f>IFERROR(VLOOKUP(D197,BUSCARV!$A$1:$C$5524,2,0),"")</f>
        <v/>
      </c>
      <c r="U197" s="42"/>
      <c r="V197" s="42" t="str">
        <f t="shared" si="3"/>
        <v/>
      </c>
      <c r="W197" s="44" t="str">
        <f t="shared" si="4"/>
        <v/>
      </c>
      <c r="X197" s="44"/>
      <c r="Y197" s="45">
        <f t="shared" si="5"/>
        <v>0</v>
      </c>
      <c r="Z197" s="46" t="s">
        <v>449</v>
      </c>
      <c r="AA197" s="46"/>
    </row>
    <row r="198">
      <c r="A198" s="91">
        <v>201.0</v>
      </c>
      <c r="B198" s="27">
        <v>7.797453972789E12</v>
      </c>
      <c r="C198" s="29" t="s">
        <v>3</v>
      </c>
      <c r="D198" s="29" t="s">
        <v>698</v>
      </c>
      <c r="E198" s="21" t="s">
        <v>4339</v>
      </c>
      <c r="F198" s="29" t="s">
        <v>1795</v>
      </c>
      <c r="G198" s="21"/>
      <c r="H198" s="31">
        <f t="shared" si="10"/>
        <v>123.9669421</v>
      </c>
      <c r="I198" s="65"/>
      <c r="J198" s="99">
        <v>150.0</v>
      </c>
      <c r="K198" s="58">
        <v>0.4</v>
      </c>
      <c r="L198" s="33">
        <f>IF('Global Precios'!J198*(1-I198)*(1+'Global Precios'!K198)&gt;1000,MROUND('Global Precios'!J198*(1-I198)*(1+'Global Precios'!K198),100),MROUND('Global Precios'!J198*(1-I198)*(1+'Global Precios'!K198),10))</f>
        <v>210</v>
      </c>
      <c r="M198" s="91">
        <v>1.0</v>
      </c>
      <c r="N198" s="29" t="s">
        <v>313</v>
      </c>
      <c r="O198" s="21"/>
      <c r="P198" s="35">
        <v>44986.0</v>
      </c>
      <c r="Q198" s="36">
        <f t="shared" si="7"/>
        <v>35</v>
      </c>
      <c r="R198" s="37">
        <v>30.0</v>
      </c>
      <c r="S198" s="21"/>
      <c r="T198" s="41" t="str">
        <f>IFERROR(VLOOKUP(D198,BUSCARV!$A$1:$C$5524,2,0),"")</f>
        <v/>
      </c>
      <c r="U198" s="42"/>
      <c r="V198" s="42" t="str">
        <f t="shared" si="3"/>
        <v/>
      </c>
      <c r="W198" s="44" t="str">
        <f t="shared" si="4"/>
        <v/>
      </c>
      <c r="X198" s="44"/>
      <c r="Y198" s="45">
        <f t="shared" si="5"/>
        <v>0</v>
      </c>
      <c r="Z198" s="46" t="s">
        <v>1075</v>
      </c>
      <c r="AA198" s="46"/>
    </row>
    <row r="199">
      <c r="A199" s="91">
        <v>202.0</v>
      </c>
      <c r="B199" s="27">
        <v>7.797453972796E12</v>
      </c>
      <c r="C199" s="29" t="s">
        <v>3</v>
      </c>
      <c r="D199" s="29" t="s">
        <v>700</v>
      </c>
      <c r="E199" s="21" t="s">
        <v>4339</v>
      </c>
      <c r="F199" s="29" t="s">
        <v>1795</v>
      </c>
      <c r="G199" s="21"/>
      <c r="H199" s="31">
        <f t="shared" si="10"/>
        <v>119.0082645</v>
      </c>
      <c r="I199" s="65"/>
      <c r="J199" s="99">
        <v>144.0</v>
      </c>
      <c r="K199" s="58">
        <v>0.4</v>
      </c>
      <c r="L199" s="33">
        <f>IF('Global Precios'!J199*(1-I199)*(1+'Global Precios'!K199)&gt;1000,MROUND('Global Precios'!J199*(1-I199)*(1+'Global Precios'!K199),100),MROUND('Global Precios'!J199*(1-I199)*(1+'Global Precios'!K199),10))</f>
        <v>200</v>
      </c>
      <c r="M199" s="91">
        <v>1.0</v>
      </c>
      <c r="N199" s="29" t="s">
        <v>313</v>
      </c>
      <c r="O199" s="21"/>
      <c r="P199" s="35">
        <v>44986.0</v>
      </c>
      <c r="Q199" s="36">
        <f t="shared" si="7"/>
        <v>48</v>
      </c>
      <c r="R199" s="37">
        <v>30.0</v>
      </c>
      <c r="S199" s="21"/>
      <c r="T199" s="41" t="str">
        <f>IFERROR(VLOOKUP(D199,BUSCARV!$A$1:$C$5524,2,0),"")</f>
        <v/>
      </c>
      <c r="U199" s="42"/>
      <c r="V199" s="42" t="str">
        <f t="shared" si="3"/>
        <v/>
      </c>
      <c r="W199" s="44" t="str">
        <f t="shared" si="4"/>
        <v/>
      </c>
      <c r="X199" s="44"/>
      <c r="Y199" s="45">
        <f t="shared" si="5"/>
        <v>0</v>
      </c>
      <c r="Z199" s="46" t="s">
        <v>1075</v>
      </c>
      <c r="AA199" s="46"/>
    </row>
    <row r="200">
      <c r="A200" s="91">
        <v>203.0</v>
      </c>
      <c r="B200" s="27">
        <v>7.797453972802E12</v>
      </c>
      <c r="C200" s="29" t="s">
        <v>3</v>
      </c>
      <c r="D200" s="29" t="s">
        <v>704</v>
      </c>
      <c r="E200" s="21" t="s">
        <v>4339</v>
      </c>
      <c r="F200" s="29" t="s">
        <v>1795</v>
      </c>
      <c r="G200" s="21"/>
      <c r="H200" s="31">
        <f t="shared" si="10"/>
        <v>119.0082645</v>
      </c>
      <c r="I200" s="65"/>
      <c r="J200" s="99">
        <v>144.0</v>
      </c>
      <c r="K200" s="58">
        <v>0.4</v>
      </c>
      <c r="L200" s="33">
        <f>IF('Global Precios'!J200*(1-I200)*(1+'Global Precios'!K200)&gt;1000,MROUND('Global Precios'!J200*(1-I200)*(1+'Global Precios'!K200),100),MROUND('Global Precios'!J200*(1-I200)*(1+'Global Precios'!K200),10))</f>
        <v>200</v>
      </c>
      <c r="M200" s="91">
        <v>1.0</v>
      </c>
      <c r="N200" s="29" t="s">
        <v>313</v>
      </c>
      <c r="O200" s="21"/>
      <c r="P200" s="35">
        <v>44986.0</v>
      </c>
      <c r="Q200" s="36">
        <f t="shared" si="7"/>
        <v>49</v>
      </c>
      <c r="R200" s="37">
        <v>30.0</v>
      </c>
      <c r="S200" s="21"/>
      <c r="T200" s="41" t="str">
        <f>IFERROR(VLOOKUP(D200,BUSCARV!$A$1:$C$5524,2,0),"")</f>
        <v/>
      </c>
      <c r="U200" s="42"/>
      <c r="V200" s="42" t="str">
        <f t="shared" si="3"/>
        <v/>
      </c>
      <c r="W200" s="44" t="str">
        <f t="shared" si="4"/>
        <v/>
      </c>
      <c r="X200" s="44"/>
      <c r="Y200" s="45">
        <f t="shared" si="5"/>
        <v>0</v>
      </c>
      <c r="Z200" s="46" t="s">
        <v>1075</v>
      </c>
      <c r="AA200" s="46"/>
    </row>
    <row r="201">
      <c r="A201" s="91">
        <v>204.0</v>
      </c>
      <c r="B201" s="27">
        <v>7.797453972819E12</v>
      </c>
      <c r="C201" s="29" t="s">
        <v>3</v>
      </c>
      <c r="D201" s="29" t="s">
        <v>707</v>
      </c>
      <c r="E201" s="21" t="s">
        <v>4339</v>
      </c>
      <c r="F201" s="29" t="s">
        <v>1795</v>
      </c>
      <c r="G201" s="21"/>
      <c r="H201" s="31">
        <f t="shared" si="10"/>
        <v>119.0082645</v>
      </c>
      <c r="I201" s="65"/>
      <c r="J201" s="99">
        <v>144.0</v>
      </c>
      <c r="K201" s="58">
        <v>0.4</v>
      </c>
      <c r="L201" s="33">
        <f>IF('Global Precios'!J201*(1-I201)*(1+'Global Precios'!K201)&gt;1000,MROUND('Global Precios'!J201*(1-I201)*(1+'Global Precios'!K201),100),MROUND('Global Precios'!J201*(1-I201)*(1+'Global Precios'!K201),10))</f>
        <v>200</v>
      </c>
      <c r="M201" s="91">
        <v>1.0</v>
      </c>
      <c r="N201" s="29" t="s">
        <v>313</v>
      </c>
      <c r="O201" s="21"/>
      <c r="P201" s="35">
        <v>44986.0</v>
      </c>
      <c r="Q201" s="36">
        <f t="shared" si="7"/>
        <v>32</v>
      </c>
      <c r="R201" s="37">
        <v>30.0</v>
      </c>
      <c r="S201" s="21"/>
      <c r="T201" s="41" t="str">
        <f>IFERROR(VLOOKUP(D201,BUSCARV!$A$1:$C$5524,2,0),"")</f>
        <v/>
      </c>
      <c r="U201" s="42"/>
      <c r="V201" s="42" t="str">
        <f t="shared" si="3"/>
        <v/>
      </c>
      <c r="W201" s="44" t="str">
        <f t="shared" si="4"/>
        <v/>
      </c>
      <c r="X201" s="44"/>
      <c r="Y201" s="45">
        <f t="shared" si="5"/>
        <v>0</v>
      </c>
      <c r="Z201" s="46" t="s">
        <v>1075</v>
      </c>
      <c r="AA201" s="46"/>
    </row>
    <row r="202">
      <c r="A202" s="91">
        <v>205.0</v>
      </c>
      <c r="B202" s="27">
        <v>7.797453972826E12</v>
      </c>
      <c r="C202" s="29" t="s">
        <v>3</v>
      </c>
      <c r="D202" s="29" t="s">
        <v>710</v>
      </c>
      <c r="E202" s="21" t="s">
        <v>4339</v>
      </c>
      <c r="F202" s="29" t="s">
        <v>1795</v>
      </c>
      <c r="G202" s="21"/>
      <c r="H202" s="31">
        <f t="shared" si="10"/>
        <v>119.0082645</v>
      </c>
      <c r="I202" s="65"/>
      <c r="J202" s="99">
        <v>144.0</v>
      </c>
      <c r="K202" s="58">
        <v>0.4</v>
      </c>
      <c r="L202" s="33">
        <f>IF('Global Precios'!J202*(1-I202)*(1+'Global Precios'!K202)&gt;1000,MROUND('Global Precios'!J202*(1-I202)*(1+'Global Precios'!K202),100),MROUND('Global Precios'!J202*(1-I202)*(1+'Global Precios'!K202),10))</f>
        <v>200</v>
      </c>
      <c r="M202" s="91">
        <v>1.0</v>
      </c>
      <c r="N202" s="29" t="s">
        <v>313</v>
      </c>
      <c r="O202" s="21"/>
      <c r="P202" s="35">
        <v>44986.0</v>
      </c>
      <c r="Q202" s="36">
        <f t="shared" si="7"/>
        <v>36</v>
      </c>
      <c r="R202" s="37">
        <v>30.0</v>
      </c>
      <c r="S202" s="21"/>
      <c r="T202" s="41" t="str">
        <f>IFERROR(VLOOKUP(D202,BUSCARV!$A$1:$C$5524,2,0),"")</f>
        <v/>
      </c>
      <c r="U202" s="42"/>
      <c r="V202" s="42" t="str">
        <f t="shared" si="3"/>
        <v/>
      </c>
      <c r="W202" s="44" t="str">
        <f t="shared" si="4"/>
        <v/>
      </c>
      <c r="X202" s="44"/>
      <c r="Y202" s="45">
        <f t="shared" si="5"/>
        <v>0</v>
      </c>
      <c r="Z202" s="46" t="s">
        <v>1075</v>
      </c>
      <c r="AA202" s="46"/>
    </row>
    <row r="203">
      <c r="A203" s="91">
        <v>206.0</v>
      </c>
      <c r="B203" s="27">
        <v>7.797453972833E12</v>
      </c>
      <c r="C203" s="29" t="s">
        <v>3</v>
      </c>
      <c r="D203" s="29" t="s">
        <v>712</v>
      </c>
      <c r="E203" s="21" t="s">
        <v>4339</v>
      </c>
      <c r="F203" s="29" t="s">
        <v>1795</v>
      </c>
      <c r="G203" s="21"/>
      <c r="H203" s="31">
        <f t="shared" si="10"/>
        <v>119.0082645</v>
      </c>
      <c r="I203" s="65"/>
      <c r="J203" s="99">
        <v>144.0</v>
      </c>
      <c r="K203" s="58">
        <v>0.4</v>
      </c>
      <c r="L203" s="33">
        <f>IF('Global Precios'!J203*(1-I203)*(1+'Global Precios'!K203)&gt;1000,MROUND('Global Precios'!J203*(1-I203)*(1+'Global Precios'!K203),100),MROUND('Global Precios'!J203*(1-I203)*(1+'Global Precios'!K203),10))</f>
        <v>200</v>
      </c>
      <c r="M203" s="91">
        <v>1.0</v>
      </c>
      <c r="N203" s="29" t="s">
        <v>313</v>
      </c>
      <c r="O203" s="21"/>
      <c r="P203" s="35">
        <v>44986.0</v>
      </c>
      <c r="Q203" s="36">
        <f t="shared" si="7"/>
        <v>41</v>
      </c>
      <c r="R203" s="37">
        <v>30.0</v>
      </c>
      <c r="S203" s="21"/>
      <c r="T203" s="41" t="str">
        <f>IFERROR(VLOOKUP(D203,BUSCARV!$A$1:$C$5524,2,0),"")</f>
        <v/>
      </c>
      <c r="U203" s="42"/>
      <c r="V203" s="42" t="str">
        <f t="shared" si="3"/>
        <v/>
      </c>
      <c r="W203" s="44" t="str">
        <f t="shared" si="4"/>
        <v/>
      </c>
      <c r="X203" s="44"/>
      <c r="Y203" s="45">
        <f t="shared" si="5"/>
        <v>0</v>
      </c>
      <c r="Z203" s="46" t="s">
        <v>1075</v>
      </c>
      <c r="AA203" s="46"/>
    </row>
    <row r="204">
      <c r="A204" s="91">
        <v>207.0</v>
      </c>
      <c r="B204" s="27">
        <v>7.797453972604E12</v>
      </c>
      <c r="C204" s="29" t="s">
        <v>3</v>
      </c>
      <c r="D204" s="29" t="s">
        <v>715</v>
      </c>
      <c r="E204" s="21" t="s">
        <v>4339</v>
      </c>
      <c r="F204" s="29" t="s">
        <v>1795</v>
      </c>
      <c r="G204" s="21"/>
      <c r="H204" s="31">
        <f t="shared" si="10"/>
        <v>1305.785124</v>
      </c>
      <c r="I204" s="65"/>
      <c r="J204" s="99">
        <v>1580.0</v>
      </c>
      <c r="K204" s="58">
        <v>0.45</v>
      </c>
      <c r="L204" s="33">
        <f>IF('Global Precios'!J204*(1-I204)*(1+'Global Precios'!K204)&gt;1000,MROUND('Global Precios'!J204*(1-I204)*(1+'Global Precios'!K204),100),MROUND('Global Precios'!J204*(1-I204)*(1+'Global Precios'!K204),10))</f>
        <v>2300</v>
      </c>
      <c r="M204" s="91">
        <v>3.0</v>
      </c>
      <c r="N204" s="29" t="s">
        <v>1823</v>
      </c>
      <c r="O204" s="21"/>
      <c r="P204" s="35">
        <v>44986.0</v>
      </c>
      <c r="Q204" s="36">
        <f t="shared" si="7"/>
        <v>50</v>
      </c>
      <c r="R204" s="37">
        <v>30.0</v>
      </c>
      <c r="S204" s="21"/>
      <c r="T204" s="41" t="str">
        <f>IFERROR(VLOOKUP(D204,BUSCARV!$A$1:$C$5524,2,0),"")</f>
        <v/>
      </c>
      <c r="U204" s="42"/>
      <c r="V204" s="42" t="str">
        <f t="shared" si="3"/>
        <v/>
      </c>
      <c r="W204" s="44" t="str">
        <f t="shared" si="4"/>
        <v/>
      </c>
      <c r="X204" s="44"/>
      <c r="Y204" s="45">
        <f t="shared" si="5"/>
        <v>0</v>
      </c>
      <c r="Z204" s="46" t="s">
        <v>1075</v>
      </c>
      <c r="AA204" s="46"/>
    </row>
    <row r="205">
      <c r="A205" s="91">
        <v>208.0</v>
      </c>
      <c r="B205" s="27">
        <v>7.797453972635E12</v>
      </c>
      <c r="C205" s="29" t="s">
        <v>3</v>
      </c>
      <c r="D205" s="29" t="s">
        <v>718</v>
      </c>
      <c r="E205" s="21" t="s">
        <v>4339</v>
      </c>
      <c r="F205" s="29" t="s">
        <v>1795</v>
      </c>
      <c r="G205" s="21"/>
      <c r="H205" s="31">
        <f t="shared" si="10"/>
        <v>1305.785124</v>
      </c>
      <c r="I205" s="65"/>
      <c r="J205" s="99">
        <v>1580.0</v>
      </c>
      <c r="K205" s="58">
        <v>0.45</v>
      </c>
      <c r="L205" s="33">
        <f>IF('Global Precios'!J205*(1-I205)*(1+'Global Precios'!K205)&gt;1000,MROUND('Global Precios'!J205*(1-I205)*(1+'Global Precios'!K205),100),MROUND('Global Precios'!J205*(1-I205)*(1+'Global Precios'!K205),10))</f>
        <v>2300</v>
      </c>
      <c r="M205" s="91">
        <v>3.0</v>
      </c>
      <c r="N205" s="29" t="s">
        <v>1823</v>
      </c>
      <c r="O205" s="21"/>
      <c r="P205" s="35">
        <v>44986.0</v>
      </c>
      <c r="Q205" s="36">
        <f t="shared" si="7"/>
        <v>50</v>
      </c>
      <c r="R205" s="37">
        <v>30.0</v>
      </c>
      <c r="S205" s="21"/>
      <c r="T205" s="41" t="str">
        <f>IFERROR(VLOOKUP(D205,BUSCARV!$A$1:$C$5524,2,0),"")</f>
        <v/>
      </c>
      <c r="U205" s="42"/>
      <c r="V205" s="42" t="str">
        <f t="shared" si="3"/>
        <v/>
      </c>
      <c r="W205" s="44" t="str">
        <f t="shared" si="4"/>
        <v/>
      </c>
      <c r="X205" s="44"/>
      <c r="Y205" s="45">
        <f t="shared" si="5"/>
        <v>0</v>
      </c>
      <c r="Z205" s="46" t="s">
        <v>1075</v>
      </c>
      <c r="AA205" s="46"/>
    </row>
    <row r="206">
      <c r="A206" s="91">
        <v>209.0</v>
      </c>
      <c r="B206" s="27">
        <v>7.797453972666E12</v>
      </c>
      <c r="C206" s="29" t="s">
        <v>3</v>
      </c>
      <c r="D206" s="29" t="s">
        <v>720</v>
      </c>
      <c r="E206" s="21" t="s">
        <v>4339</v>
      </c>
      <c r="F206" s="29" t="s">
        <v>1795</v>
      </c>
      <c r="G206" s="21"/>
      <c r="H206" s="31">
        <f t="shared" si="10"/>
        <v>1239.669421</v>
      </c>
      <c r="I206" s="65"/>
      <c r="J206" s="99">
        <v>1500.0</v>
      </c>
      <c r="K206" s="58">
        <v>0.45</v>
      </c>
      <c r="L206" s="33">
        <f>IF('Global Precios'!J206*(1-I206)*(1+'Global Precios'!K206)&gt;1000,MROUND('Global Precios'!J206*(1-I206)*(1+'Global Precios'!K206),100),MROUND('Global Precios'!J206*(1-I206)*(1+'Global Precios'!K206),10))</f>
        <v>2200</v>
      </c>
      <c r="M206" s="91">
        <v>3.0</v>
      </c>
      <c r="N206" s="29" t="s">
        <v>1823</v>
      </c>
      <c r="O206" s="21"/>
      <c r="P206" s="35">
        <v>44986.0</v>
      </c>
      <c r="Q206" s="36">
        <f t="shared" si="7"/>
        <v>47</v>
      </c>
      <c r="R206" s="37">
        <v>30.0</v>
      </c>
      <c r="S206" s="21"/>
      <c r="T206" s="41" t="str">
        <f>IFERROR(VLOOKUP(D206,BUSCARV!$A$1:$C$5524,2,0),"")</f>
        <v/>
      </c>
      <c r="U206" s="42"/>
      <c r="V206" s="42" t="str">
        <f t="shared" si="3"/>
        <v/>
      </c>
      <c r="W206" s="44" t="str">
        <f t="shared" si="4"/>
        <v/>
      </c>
      <c r="X206" s="44"/>
      <c r="Y206" s="45">
        <f t="shared" si="5"/>
        <v>0</v>
      </c>
      <c r="Z206" s="46" t="s">
        <v>1075</v>
      </c>
      <c r="AA206" s="46"/>
    </row>
    <row r="207">
      <c r="A207" s="91">
        <v>210.0</v>
      </c>
      <c r="B207" s="27">
        <v>7.79745397268E12</v>
      </c>
      <c r="C207" s="29" t="s">
        <v>3</v>
      </c>
      <c r="D207" s="29" t="s">
        <v>724</v>
      </c>
      <c r="E207" s="21" t="s">
        <v>4339</v>
      </c>
      <c r="F207" s="29" t="s">
        <v>1795</v>
      </c>
      <c r="G207" s="21"/>
      <c r="H207" s="31">
        <f t="shared" si="10"/>
        <v>1239.669421</v>
      </c>
      <c r="I207" s="65"/>
      <c r="J207" s="99">
        <v>1500.0</v>
      </c>
      <c r="K207" s="58">
        <v>0.45</v>
      </c>
      <c r="L207" s="33">
        <f>IF('Global Precios'!J207*(1-I207)*(1+'Global Precios'!K207)&gt;1000,MROUND('Global Precios'!J207*(1-I207)*(1+'Global Precios'!K207),100),MROUND('Global Precios'!J207*(1-I207)*(1+'Global Precios'!K207),10))</f>
        <v>2200</v>
      </c>
      <c r="M207" s="91">
        <v>3.0</v>
      </c>
      <c r="N207" s="29" t="s">
        <v>1823</v>
      </c>
      <c r="O207" s="21"/>
      <c r="P207" s="35">
        <v>44986.0</v>
      </c>
      <c r="Q207" s="36">
        <f t="shared" si="7"/>
        <v>50</v>
      </c>
      <c r="R207" s="37">
        <v>30.0</v>
      </c>
      <c r="S207" s="21"/>
      <c r="T207" s="41" t="str">
        <f>IFERROR(VLOOKUP(D207,BUSCARV!$A$1:$C$5524,2,0),"")</f>
        <v/>
      </c>
      <c r="U207" s="42"/>
      <c r="V207" s="42" t="str">
        <f t="shared" si="3"/>
        <v/>
      </c>
      <c r="W207" s="44" t="str">
        <f t="shared" si="4"/>
        <v/>
      </c>
      <c r="X207" s="44"/>
      <c r="Y207" s="45">
        <f t="shared" si="5"/>
        <v>0</v>
      </c>
      <c r="Z207" s="46" t="s">
        <v>1075</v>
      </c>
      <c r="AA207" s="46"/>
    </row>
    <row r="208">
      <c r="A208" s="91">
        <v>211.0</v>
      </c>
      <c r="B208" s="27">
        <v>7.797453972703E12</v>
      </c>
      <c r="C208" s="29" t="s">
        <v>3</v>
      </c>
      <c r="D208" s="29" t="s">
        <v>726</v>
      </c>
      <c r="E208" s="21" t="s">
        <v>4339</v>
      </c>
      <c r="F208" s="29" t="s">
        <v>1795</v>
      </c>
      <c r="G208" s="21"/>
      <c r="H208" s="31">
        <f t="shared" si="10"/>
        <v>793.3884298</v>
      </c>
      <c r="I208" s="65"/>
      <c r="J208" s="99">
        <v>960.0</v>
      </c>
      <c r="K208" s="58">
        <v>0.45</v>
      </c>
      <c r="L208" s="33">
        <f>IF('Global Precios'!J208*(1-I208)*(1+'Global Precios'!K208)&gt;1000,MROUND('Global Precios'!J208*(1-I208)*(1+'Global Precios'!K208),100),MROUND('Global Precios'!J208*(1-I208)*(1+'Global Precios'!K208),10))</f>
        <v>1400</v>
      </c>
      <c r="M208" s="91">
        <v>1.0</v>
      </c>
      <c r="N208" s="29" t="s">
        <v>1823</v>
      </c>
      <c r="O208" s="21"/>
      <c r="P208" s="35">
        <v>44986.0</v>
      </c>
      <c r="Q208" s="36">
        <f t="shared" si="7"/>
        <v>25</v>
      </c>
      <c r="R208" s="37">
        <v>30.0</v>
      </c>
      <c r="S208" s="21"/>
      <c r="T208" s="41" t="str">
        <f>IFERROR(VLOOKUP(D208,BUSCARV!$A$1:$C$5524,2,0),"")</f>
        <v/>
      </c>
      <c r="U208" s="42"/>
      <c r="V208" s="42" t="str">
        <f t="shared" si="3"/>
        <v/>
      </c>
      <c r="W208" s="44" t="str">
        <f t="shared" si="4"/>
        <v/>
      </c>
      <c r="X208" s="44"/>
      <c r="Y208" s="45">
        <f t="shared" si="5"/>
        <v>0</v>
      </c>
      <c r="Z208" s="46" t="s">
        <v>1075</v>
      </c>
      <c r="AA208" s="46"/>
    </row>
    <row r="209">
      <c r="A209" s="91">
        <v>212.0</v>
      </c>
      <c r="B209" s="27">
        <v>7.797453972758E12</v>
      </c>
      <c r="C209" s="29" t="s">
        <v>3</v>
      </c>
      <c r="D209" s="29" t="s">
        <v>729</v>
      </c>
      <c r="E209" s="21" t="s">
        <v>4339</v>
      </c>
      <c r="F209" s="29" t="s">
        <v>1795</v>
      </c>
      <c r="G209" s="21"/>
      <c r="H209" s="31">
        <f t="shared" si="10"/>
        <v>723.1404959</v>
      </c>
      <c r="I209" s="65"/>
      <c r="J209" s="99">
        <v>875.0</v>
      </c>
      <c r="K209" s="58">
        <v>0.45</v>
      </c>
      <c r="L209" s="33">
        <f>IF('Global Precios'!J209*(1-I209)*(1+'Global Precios'!K209)&gt;1000,MROUND('Global Precios'!J209*(1-I209)*(1+'Global Precios'!K209),100),MROUND('Global Precios'!J209*(1-I209)*(1+'Global Precios'!K209),10))</f>
        <v>1300</v>
      </c>
      <c r="M209" s="91">
        <v>1.0</v>
      </c>
      <c r="N209" s="29" t="s">
        <v>1823</v>
      </c>
      <c r="O209" s="21"/>
      <c r="P209" s="35">
        <v>44986.0</v>
      </c>
      <c r="Q209" s="36">
        <f t="shared" si="7"/>
        <v>31</v>
      </c>
      <c r="R209" s="37">
        <v>30.0</v>
      </c>
      <c r="S209" s="21"/>
      <c r="T209" s="41" t="str">
        <f>IFERROR(VLOOKUP(D209,BUSCARV!$A$1:$C$5524,2,0),"")</f>
        <v/>
      </c>
      <c r="U209" s="42"/>
      <c r="V209" s="42" t="str">
        <f t="shared" si="3"/>
        <v/>
      </c>
      <c r="W209" s="44" t="str">
        <f t="shared" si="4"/>
        <v/>
      </c>
      <c r="X209" s="44"/>
      <c r="Y209" s="45">
        <f t="shared" si="5"/>
        <v>0</v>
      </c>
      <c r="Z209" s="46" t="s">
        <v>1075</v>
      </c>
      <c r="AA209" s="46"/>
    </row>
    <row r="210">
      <c r="A210" s="91">
        <v>213.0</v>
      </c>
      <c r="B210" s="27">
        <v>7.797453972765E12</v>
      </c>
      <c r="C210" s="29" t="s">
        <v>3</v>
      </c>
      <c r="D210" s="29" t="s">
        <v>732</v>
      </c>
      <c r="E210" s="21" t="s">
        <v>4339</v>
      </c>
      <c r="F210" s="29" t="s">
        <v>1795</v>
      </c>
      <c r="G210" s="21"/>
      <c r="H210" s="31">
        <f t="shared" si="10"/>
        <v>1871.900826</v>
      </c>
      <c r="I210" s="65"/>
      <c r="J210" s="99">
        <v>2265.0</v>
      </c>
      <c r="K210" s="58">
        <v>0.45</v>
      </c>
      <c r="L210" s="33">
        <f>IF('Global Precios'!J210*(1-I210)*(1+'Global Precios'!K210)&gt;1000,MROUND('Global Precios'!J210*(1-I210)*(1+'Global Precios'!K210),100),MROUND('Global Precios'!J210*(1-I210)*(1+'Global Precios'!K210),10))</f>
        <v>3300</v>
      </c>
      <c r="M210" s="91">
        <v>3.0</v>
      </c>
      <c r="N210" s="29" t="s">
        <v>1823</v>
      </c>
      <c r="O210" s="21"/>
      <c r="P210" s="35">
        <v>44986.0</v>
      </c>
      <c r="Q210" s="36">
        <f t="shared" si="7"/>
        <v>31</v>
      </c>
      <c r="R210" s="37">
        <v>30.0</v>
      </c>
      <c r="S210" s="21"/>
      <c r="T210" s="41" t="str">
        <f>IFERROR(VLOOKUP(D210,BUSCARV!$A$1:$C$5524,2,0),"")</f>
        <v/>
      </c>
      <c r="U210" s="42"/>
      <c r="V210" s="42" t="str">
        <f t="shared" si="3"/>
        <v/>
      </c>
      <c r="W210" s="44" t="str">
        <f t="shared" si="4"/>
        <v/>
      </c>
      <c r="X210" s="44"/>
      <c r="Y210" s="45">
        <f t="shared" si="5"/>
        <v>0</v>
      </c>
      <c r="Z210" s="46" t="s">
        <v>1075</v>
      </c>
      <c r="AA210" s="46"/>
    </row>
    <row r="211">
      <c r="A211" s="91">
        <v>214.0</v>
      </c>
      <c r="B211" s="27">
        <v>7.797453972734E12</v>
      </c>
      <c r="C211" s="29" t="s">
        <v>3</v>
      </c>
      <c r="D211" s="29" t="s">
        <v>735</v>
      </c>
      <c r="E211" s="21" t="s">
        <v>4339</v>
      </c>
      <c r="F211" s="29" t="s">
        <v>1795</v>
      </c>
      <c r="G211" s="21"/>
      <c r="H211" s="31">
        <f t="shared" si="10"/>
        <v>752.0661157</v>
      </c>
      <c r="I211" s="65"/>
      <c r="J211" s="99">
        <v>910.0</v>
      </c>
      <c r="K211" s="58">
        <v>0.45</v>
      </c>
      <c r="L211" s="33">
        <f>IF('Global Precios'!J211*(1-I211)*(1+'Global Precios'!K211)&gt;1000,MROUND('Global Precios'!J211*(1-I211)*(1+'Global Precios'!K211),100),MROUND('Global Precios'!J211*(1-I211)*(1+'Global Precios'!K211),10))</f>
        <v>1300</v>
      </c>
      <c r="M211" s="91">
        <v>1.0</v>
      </c>
      <c r="N211" s="29" t="s">
        <v>1823</v>
      </c>
      <c r="O211" s="21"/>
      <c r="P211" s="35">
        <v>44986.0</v>
      </c>
      <c r="Q211" s="36">
        <f t="shared" si="7"/>
        <v>33</v>
      </c>
      <c r="R211" s="37">
        <v>30.0</v>
      </c>
      <c r="S211" s="21"/>
      <c r="T211" s="41" t="str">
        <f>IFERROR(VLOOKUP(D211,BUSCARV!$A$1:$C$5524,2,0),"")</f>
        <v/>
      </c>
      <c r="U211" s="42"/>
      <c r="V211" s="42" t="str">
        <f t="shared" si="3"/>
        <v/>
      </c>
      <c r="W211" s="44" t="str">
        <f t="shared" si="4"/>
        <v/>
      </c>
      <c r="X211" s="44"/>
      <c r="Y211" s="45">
        <f t="shared" si="5"/>
        <v>0</v>
      </c>
      <c r="Z211" s="46" t="s">
        <v>1075</v>
      </c>
      <c r="AA211" s="46"/>
    </row>
    <row r="212">
      <c r="A212" s="91">
        <v>215.0</v>
      </c>
      <c r="B212" s="27">
        <v>7.797453972741E12</v>
      </c>
      <c r="C212" s="29" t="s">
        <v>3</v>
      </c>
      <c r="D212" s="29" t="s">
        <v>739</v>
      </c>
      <c r="E212" s="21" t="s">
        <v>4339</v>
      </c>
      <c r="F212" s="29" t="s">
        <v>1795</v>
      </c>
      <c r="G212" s="21"/>
      <c r="H212" s="31">
        <f t="shared" si="10"/>
        <v>1955.371901</v>
      </c>
      <c r="I212" s="65"/>
      <c r="J212" s="99">
        <v>2366.0</v>
      </c>
      <c r="K212" s="58">
        <v>0.45</v>
      </c>
      <c r="L212" s="33">
        <f>IF('Global Precios'!J212*(1-I212)*(1+'Global Precios'!K212)&gt;1000,MROUND('Global Precios'!J212*(1-I212)*(1+'Global Precios'!K212),100),MROUND('Global Precios'!J212*(1-I212)*(1+'Global Precios'!K212),10))</f>
        <v>3400</v>
      </c>
      <c r="M212" s="91">
        <v>3.0</v>
      </c>
      <c r="N212" s="29" t="s">
        <v>1823</v>
      </c>
      <c r="O212" s="21"/>
      <c r="P212" s="35">
        <v>44986.0</v>
      </c>
      <c r="Q212" s="36">
        <f t="shared" si="7"/>
        <v>33</v>
      </c>
      <c r="R212" s="37">
        <v>30.0</v>
      </c>
      <c r="S212" s="21"/>
      <c r="T212" s="41" t="str">
        <f>IFERROR(VLOOKUP(D212,BUSCARV!$A$1:$C$5524,2,0),"")</f>
        <v/>
      </c>
      <c r="U212" s="42"/>
      <c r="V212" s="42" t="str">
        <f t="shared" si="3"/>
        <v/>
      </c>
      <c r="W212" s="44" t="str">
        <f t="shared" si="4"/>
        <v/>
      </c>
      <c r="X212" s="44"/>
      <c r="Y212" s="45">
        <f t="shared" si="5"/>
        <v>0</v>
      </c>
      <c r="Z212" s="46" t="s">
        <v>1075</v>
      </c>
      <c r="AA212" s="46"/>
    </row>
    <row r="213">
      <c r="A213" s="91">
        <v>216.0</v>
      </c>
      <c r="B213" s="27">
        <v>7.797453972611E12</v>
      </c>
      <c r="C213" s="29" t="s">
        <v>3</v>
      </c>
      <c r="D213" s="29" t="s">
        <v>742</v>
      </c>
      <c r="E213" s="21" t="s">
        <v>4339</v>
      </c>
      <c r="F213" s="29" t="s">
        <v>1795</v>
      </c>
      <c r="G213" s="21"/>
      <c r="H213" s="31">
        <f t="shared" si="10"/>
        <v>4789.256198</v>
      </c>
      <c r="I213" s="65"/>
      <c r="J213" s="99">
        <v>5795.0</v>
      </c>
      <c r="K213" s="58">
        <v>0.45</v>
      </c>
      <c r="L213" s="33">
        <f>IF('Global Precios'!J213*(1-I213)*(1+'Global Precios'!K213)&gt;1000,MROUND('Global Precios'!J213*(1-I213)*(1+'Global Precios'!K213),100),MROUND('Global Precios'!J213*(1-I213)*(1+'Global Precios'!K213),10))</f>
        <v>8400</v>
      </c>
      <c r="M213" s="91">
        <v>15.0</v>
      </c>
      <c r="N213" s="29" t="s">
        <v>1823</v>
      </c>
      <c r="O213" s="21"/>
      <c r="P213" s="35">
        <v>44986.0</v>
      </c>
      <c r="Q213" s="36">
        <f t="shared" si="7"/>
        <v>50</v>
      </c>
      <c r="R213" s="37">
        <v>30.0</v>
      </c>
      <c r="S213" s="21"/>
      <c r="T213" s="41" t="str">
        <f>IFERROR(VLOOKUP(D213,BUSCARV!$A$1:$C$5524,2,0),"")</f>
        <v/>
      </c>
      <c r="U213" s="42"/>
      <c r="V213" s="42" t="str">
        <f t="shared" si="3"/>
        <v/>
      </c>
      <c r="W213" s="44" t="str">
        <f t="shared" si="4"/>
        <v/>
      </c>
      <c r="X213" s="44"/>
      <c r="Y213" s="45">
        <f t="shared" si="5"/>
        <v>0</v>
      </c>
      <c r="Z213" s="46" t="s">
        <v>1075</v>
      </c>
      <c r="AA213" s="46"/>
    </row>
    <row r="214">
      <c r="A214" s="91">
        <v>217.0</v>
      </c>
      <c r="B214" s="27">
        <v>7.797453972642E12</v>
      </c>
      <c r="C214" s="29" t="s">
        <v>3</v>
      </c>
      <c r="D214" s="29" t="s">
        <v>745</v>
      </c>
      <c r="E214" s="21" t="s">
        <v>4339</v>
      </c>
      <c r="F214" s="29" t="s">
        <v>1795</v>
      </c>
      <c r="G214" s="21"/>
      <c r="H214" s="31">
        <f t="shared" si="10"/>
        <v>4628.099174</v>
      </c>
      <c r="I214" s="65"/>
      <c r="J214" s="99">
        <v>5600.0</v>
      </c>
      <c r="K214" s="58">
        <v>0.45</v>
      </c>
      <c r="L214" s="33">
        <f>IF('Global Precios'!J214*(1-I214)*(1+'Global Precios'!K214)&gt;1000,MROUND('Global Precios'!J214*(1-I214)*(1+'Global Precios'!K214),100),MROUND('Global Precios'!J214*(1-I214)*(1+'Global Precios'!K214),10))</f>
        <v>8100</v>
      </c>
      <c r="M214" s="91">
        <v>15.0</v>
      </c>
      <c r="N214" s="29" t="s">
        <v>1823</v>
      </c>
      <c r="O214" s="21"/>
      <c r="P214" s="35">
        <v>44986.0</v>
      </c>
      <c r="Q214" s="36">
        <f t="shared" si="7"/>
        <v>50</v>
      </c>
      <c r="R214" s="37">
        <v>30.0</v>
      </c>
      <c r="S214" s="21"/>
      <c r="T214" s="41" t="str">
        <f>IFERROR(VLOOKUP(D214,BUSCARV!$A$1:$C$5524,2,0),"")</f>
        <v/>
      </c>
      <c r="U214" s="42"/>
      <c r="V214" s="42" t="str">
        <f t="shared" si="3"/>
        <v/>
      </c>
      <c r="W214" s="44" t="str">
        <f t="shared" si="4"/>
        <v/>
      </c>
      <c r="X214" s="44"/>
      <c r="Y214" s="45">
        <f t="shared" si="5"/>
        <v>0</v>
      </c>
      <c r="Z214" s="46" t="s">
        <v>1075</v>
      </c>
      <c r="AA214" s="46"/>
    </row>
    <row r="215">
      <c r="A215" s="91">
        <v>218.0</v>
      </c>
      <c r="B215" s="27">
        <v>7.797453972673E12</v>
      </c>
      <c r="C215" s="29" t="s">
        <v>3</v>
      </c>
      <c r="D215" s="29" t="s">
        <v>748</v>
      </c>
      <c r="E215" s="21" t="s">
        <v>4339</v>
      </c>
      <c r="F215" s="29" t="s">
        <v>1795</v>
      </c>
      <c r="G215" s="21"/>
      <c r="H215" s="31">
        <f t="shared" si="10"/>
        <v>4352.892562</v>
      </c>
      <c r="I215" s="65"/>
      <c r="J215" s="99">
        <v>5267.0</v>
      </c>
      <c r="K215" s="58">
        <v>0.45</v>
      </c>
      <c r="L215" s="33">
        <f>IF('Global Precios'!J215*(1-I215)*(1+'Global Precios'!K215)&gt;1000,MROUND('Global Precios'!J215*(1-I215)*(1+'Global Precios'!K215),100),MROUND('Global Precios'!J215*(1-I215)*(1+'Global Precios'!K215),10))</f>
        <v>7600</v>
      </c>
      <c r="M215" s="91">
        <v>15.0</v>
      </c>
      <c r="N215" s="29" t="s">
        <v>1823</v>
      </c>
      <c r="O215" s="21"/>
      <c r="P215" s="35">
        <v>44986.0</v>
      </c>
      <c r="Q215" s="36">
        <f t="shared" si="7"/>
        <v>48</v>
      </c>
      <c r="R215" s="37">
        <v>30.0</v>
      </c>
      <c r="S215" s="21"/>
      <c r="T215" s="41" t="str">
        <f>IFERROR(VLOOKUP(D215,BUSCARV!$A$1:$C$5524,2,0),"")</f>
        <v/>
      </c>
      <c r="U215" s="42"/>
      <c r="V215" s="42" t="str">
        <f t="shared" si="3"/>
        <v/>
      </c>
      <c r="W215" s="44" t="str">
        <f t="shared" si="4"/>
        <v/>
      </c>
      <c r="X215" s="44"/>
      <c r="Y215" s="45">
        <f t="shared" si="5"/>
        <v>0</v>
      </c>
      <c r="Z215" s="46" t="s">
        <v>1075</v>
      </c>
      <c r="AA215" s="46"/>
    </row>
    <row r="216">
      <c r="A216" s="91">
        <v>219.0</v>
      </c>
      <c r="B216" s="27">
        <v>7.797453972697E12</v>
      </c>
      <c r="C216" s="29" t="s">
        <v>3</v>
      </c>
      <c r="D216" s="29" t="s">
        <v>751</v>
      </c>
      <c r="E216" s="21" t="s">
        <v>4339</v>
      </c>
      <c r="F216" s="29" t="s">
        <v>1795</v>
      </c>
      <c r="G216" s="21"/>
      <c r="H216" s="31">
        <f t="shared" si="10"/>
        <v>4352.892562</v>
      </c>
      <c r="I216" s="65"/>
      <c r="J216" s="99">
        <v>5267.0</v>
      </c>
      <c r="K216" s="58">
        <v>0.45</v>
      </c>
      <c r="L216" s="33">
        <f>IF('Global Precios'!J216*(1-I216)*(1+'Global Precios'!K216)&gt;1000,MROUND('Global Precios'!J216*(1-I216)*(1+'Global Precios'!K216),100),MROUND('Global Precios'!J216*(1-I216)*(1+'Global Precios'!K216),10))</f>
        <v>7600</v>
      </c>
      <c r="M216" s="91">
        <v>15.0</v>
      </c>
      <c r="N216" s="29" t="s">
        <v>1823</v>
      </c>
      <c r="O216" s="21"/>
      <c r="P216" s="35">
        <v>44986.0</v>
      </c>
      <c r="Q216" s="36">
        <f t="shared" si="7"/>
        <v>48</v>
      </c>
      <c r="R216" s="37">
        <v>30.0</v>
      </c>
      <c r="S216" s="21"/>
      <c r="T216" s="41" t="str">
        <f>IFERROR(VLOOKUP(D216,BUSCARV!$A$1:$C$5524,2,0),"")</f>
        <v/>
      </c>
      <c r="U216" s="42"/>
      <c r="V216" s="42" t="str">
        <f t="shared" si="3"/>
        <v/>
      </c>
      <c r="W216" s="44" t="str">
        <f t="shared" si="4"/>
        <v/>
      </c>
      <c r="X216" s="44"/>
      <c r="Y216" s="45">
        <f t="shared" si="5"/>
        <v>0</v>
      </c>
      <c r="Z216" s="46" t="s">
        <v>1075</v>
      </c>
      <c r="AA216" s="46"/>
    </row>
    <row r="217">
      <c r="A217" s="91">
        <v>220.0</v>
      </c>
      <c r="B217" s="27">
        <v>7.797453972772E12</v>
      </c>
      <c r="C217" s="29" t="s">
        <v>3</v>
      </c>
      <c r="D217" s="29" t="s">
        <v>754</v>
      </c>
      <c r="E217" s="21" t="s">
        <v>4339</v>
      </c>
      <c r="F217" s="29" t="s">
        <v>1795</v>
      </c>
      <c r="G217" s="21"/>
      <c r="H217" s="31">
        <f t="shared" si="10"/>
        <v>5322.31405</v>
      </c>
      <c r="I217" s="65"/>
      <c r="J217" s="99">
        <v>6440.0</v>
      </c>
      <c r="K217" s="58">
        <v>0.45</v>
      </c>
      <c r="L217" s="33">
        <f>IF('Global Precios'!J217*(1-I217)*(1+'Global Precios'!K217)&gt;1000,MROUND('Global Precios'!J217*(1-I217)*(1+'Global Precios'!K217),100),MROUND('Global Precios'!J217*(1-I217)*(1+'Global Precios'!K217),10))</f>
        <v>9300</v>
      </c>
      <c r="M217" s="91">
        <v>10.0</v>
      </c>
      <c r="N217" s="29" t="s">
        <v>1823</v>
      </c>
      <c r="O217" s="21"/>
      <c r="P217" s="35">
        <v>44986.0</v>
      </c>
      <c r="Q217" s="36">
        <f t="shared" si="7"/>
        <v>32</v>
      </c>
      <c r="R217" s="37">
        <v>30.0</v>
      </c>
      <c r="S217" s="21"/>
      <c r="T217" s="41" t="str">
        <f>IFERROR(VLOOKUP(D217,BUSCARV!$A$1:$C$5524,2,0),"")</f>
        <v/>
      </c>
      <c r="U217" s="42"/>
      <c r="V217" s="42" t="str">
        <f t="shared" si="3"/>
        <v/>
      </c>
      <c r="W217" s="44" t="str">
        <f t="shared" si="4"/>
        <v/>
      </c>
      <c r="X217" s="44"/>
      <c r="Y217" s="45">
        <f t="shared" si="5"/>
        <v>0</v>
      </c>
      <c r="Z217" s="46" t="s">
        <v>1075</v>
      </c>
      <c r="AA217" s="46"/>
    </row>
    <row r="218">
      <c r="A218" s="91">
        <v>221.0</v>
      </c>
      <c r="B218" s="21"/>
      <c r="C218" s="29" t="s">
        <v>3</v>
      </c>
      <c r="D218" s="100" t="s">
        <v>756</v>
      </c>
      <c r="E218" s="100" t="s">
        <v>4340</v>
      </c>
      <c r="F218" s="29" t="s">
        <v>2308</v>
      </c>
      <c r="G218" s="29" t="s">
        <v>2325</v>
      </c>
      <c r="H218" s="31">
        <f t="shared" si="10"/>
        <v>6099.173554</v>
      </c>
      <c r="I218" s="73"/>
      <c r="J218" s="99">
        <v>7380.0</v>
      </c>
      <c r="K218" s="58">
        <v>0.8</v>
      </c>
      <c r="L218" s="33">
        <f>IF('Global Precios'!J218*(1-I218)*(1+'Global Precios'!K218)&gt;10000,MROUND('Global Precios'!J218*(1-I218)*(1+'Global Precios'!K218),1000),MROUND('Global Precios'!J218*(1-I218)*(1+'Global Precios'!K218),500))</f>
        <v>13000</v>
      </c>
      <c r="M218" s="91">
        <v>1.0</v>
      </c>
      <c r="N218" s="29" t="s">
        <v>313</v>
      </c>
      <c r="O218" s="21"/>
      <c r="P218" s="35">
        <v>45839.0</v>
      </c>
      <c r="Q218" s="36">
        <f t="shared" si="7"/>
        <v>21</v>
      </c>
      <c r="R218" s="37">
        <v>30.0</v>
      </c>
      <c r="S218" s="21"/>
      <c r="T218" s="41">
        <f>IFERROR(VLOOKUP(D218,BUSCARV!$A$1:$C$5524,2,0),"")</f>
        <v>7380</v>
      </c>
      <c r="U218" s="42"/>
      <c r="V218" s="42">
        <f t="shared" si="3"/>
        <v>7380</v>
      </c>
      <c r="W218" s="44">
        <f t="shared" si="4"/>
        <v>0</v>
      </c>
      <c r="X218" s="44"/>
      <c r="Y218" s="45">
        <f t="shared" si="5"/>
        <v>0</v>
      </c>
      <c r="Z218" s="46" t="s">
        <v>449</v>
      </c>
      <c r="AA218" s="46"/>
    </row>
    <row r="219">
      <c r="A219" s="91">
        <v>222.0</v>
      </c>
      <c r="B219" s="21"/>
      <c r="C219" s="29" t="s">
        <v>3</v>
      </c>
      <c r="D219" s="19" t="s">
        <v>4341</v>
      </c>
      <c r="E219" s="29" t="s">
        <v>2292</v>
      </c>
      <c r="F219" s="29" t="s">
        <v>1795</v>
      </c>
      <c r="G219" s="29" t="s">
        <v>1797</v>
      </c>
      <c r="H219" s="31">
        <f t="shared" si="10"/>
        <v>9314.876033</v>
      </c>
      <c r="I219" s="65"/>
      <c r="J219" s="99">
        <v>11271.0</v>
      </c>
      <c r="K219" s="60">
        <v>0.35</v>
      </c>
      <c r="L219" s="33">
        <f>IF('Global Precios'!J219*(1-I219)*(1+'Global Precios'!K219)&gt;10000,MROUND('Global Precios'!J219*(1-I219)*(1+'Global Precios'!K219),1000),MROUND('Global Precios'!J219*(1-I219)*(1+'Global Precios'!K219),500))</f>
        <v>15000</v>
      </c>
      <c r="M219" s="91">
        <v>3.0</v>
      </c>
      <c r="N219" s="29" t="s">
        <v>1823</v>
      </c>
      <c r="O219" s="21"/>
      <c r="P219" s="35">
        <v>45839.0</v>
      </c>
      <c r="Q219" s="36">
        <f t="shared" si="7"/>
        <v>35</v>
      </c>
      <c r="R219" s="37">
        <v>30.0</v>
      </c>
      <c r="S219" s="21"/>
      <c r="T219" s="41" t="str">
        <f>IFERROR(VLOOKUP(D219,BUSCARV!$A$1:$C$5524,2,0),"")</f>
        <v/>
      </c>
      <c r="U219" s="42"/>
      <c r="V219" s="42" t="str">
        <f t="shared" si="3"/>
        <v/>
      </c>
      <c r="W219" s="44" t="str">
        <f t="shared" si="4"/>
        <v/>
      </c>
      <c r="X219" s="44"/>
      <c r="Y219" s="45">
        <f t="shared" si="5"/>
        <v>0</v>
      </c>
      <c r="Z219" s="46" t="s">
        <v>1075</v>
      </c>
      <c r="AA219" s="46"/>
    </row>
    <row r="220">
      <c r="A220" s="91">
        <v>223.0</v>
      </c>
      <c r="B220" s="21"/>
      <c r="C220" s="29" t="s">
        <v>3</v>
      </c>
      <c r="D220" s="29" t="s">
        <v>762</v>
      </c>
      <c r="E220" s="29" t="s">
        <v>4272</v>
      </c>
      <c r="F220" s="29" t="s">
        <v>2308</v>
      </c>
      <c r="G220" s="29" t="s">
        <v>2333</v>
      </c>
      <c r="H220" s="31">
        <f t="shared" si="10"/>
        <v>4364.46281</v>
      </c>
      <c r="I220" s="73"/>
      <c r="J220" s="99">
        <v>5281.0</v>
      </c>
      <c r="K220" s="60">
        <v>0.8</v>
      </c>
      <c r="L220" s="33">
        <f>IF('Global Precios'!J220*(1-I220)*(1+'Global Precios'!K220)&gt;10000,MROUND('Global Precios'!J220*(1-I220)*(1+'Global Precios'!K220),1000),MROUND('Global Precios'!J220*(1-I220)*(1+'Global Precios'!K220),500))</f>
        <v>9500</v>
      </c>
      <c r="M220" s="91">
        <v>1.0</v>
      </c>
      <c r="N220" s="29" t="s">
        <v>313</v>
      </c>
      <c r="O220" s="21"/>
      <c r="P220" s="35">
        <v>45839.0</v>
      </c>
      <c r="Q220" s="36">
        <f t="shared" si="7"/>
        <v>28</v>
      </c>
      <c r="R220" s="37">
        <v>30.0</v>
      </c>
      <c r="S220" s="21"/>
      <c r="T220" s="41">
        <f>IFERROR(VLOOKUP(D220,BUSCARV!$A$1:$C$5524,2,0),"")</f>
        <v>5281</v>
      </c>
      <c r="U220" s="42"/>
      <c r="V220" s="42">
        <f t="shared" si="3"/>
        <v>5281</v>
      </c>
      <c r="W220" s="44">
        <f t="shared" si="4"/>
        <v>0</v>
      </c>
      <c r="X220" s="44"/>
      <c r="Y220" s="45">
        <f t="shared" si="5"/>
        <v>0</v>
      </c>
      <c r="Z220" s="46" t="s">
        <v>449</v>
      </c>
      <c r="AA220" s="46"/>
    </row>
    <row r="221">
      <c r="A221" s="91">
        <v>224.0</v>
      </c>
      <c r="B221" s="21"/>
      <c r="C221" s="29" t="s">
        <v>3</v>
      </c>
      <c r="D221" s="29" t="s">
        <v>765</v>
      </c>
      <c r="E221" s="21"/>
      <c r="F221" s="29" t="s">
        <v>2308</v>
      </c>
      <c r="G221" s="21"/>
      <c r="H221" s="31">
        <f t="shared" si="10"/>
        <v>2892.561983</v>
      </c>
      <c r="I221" s="73"/>
      <c r="J221" s="99">
        <v>3500.0</v>
      </c>
      <c r="K221" s="58">
        <v>5.0</v>
      </c>
      <c r="L221" s="33">
        <f>IF('Global Precios'!J221*(1-I221)*(1+'Global Precios'!K221)&gt;10000,MROUND('Global Precios'!J221*(1-I221)*(1+'Global Precios'!K221),1000),MROUND('Global Precios'!J221*(1-I221)*(1+'Global Precios'!K221),500))</f>
        <v>21000</v>
      </c>
      <c r="M221" s="91">
        <v>1.0</v>
      </c>
      <c r="N221" s="29" t="s">
        <v>313</v>
      </c>
      <c r="O221" s="21"/>
      <c r="P221" s="35">
        <v>45839.0</v>
      </c>
      <c r="Q221" s="36">
        <f t="shared" si="7"/>
        <v>19</v>
      </c>
      <c r="R221" s="37">
        <v>30.0</v>
      </c>
      <c r="S221" s="21"/>
      <c r="T221" s="41" t="str">
        <f>IFERROR(VLOOKUP(D221,BUSCARV!$A$1:$C$5524,2,0),"")</f>
        <v/>
      </c>
      <c r="U221" s="42"/>
      <c r="V221" s="42" t="str">
        <f t="shared" si="3"/>
        <v/>
      </c>
      <c r="W221" s="44" t="str">
        <f t="shared" si="4"/>
        <v/>
      </c>
      <c r="X221" s="44"/>
      <c r="Y221" s="45">
        <f t="shared" si="5"/>
        <v>0</v>
      </c>
      <c r="Z221" s="46" t="s">
        <v>449</v>
      </c>
      <c r="AA221" s="46"/>
    </row>
    <row r="222">
      <c r="A222" s="91">
        <v>225.0</v>
      </c>
      <c r="B222" s="21"/>
      <c r="C222" s="29" t="s">
        <v>3</v>
      </c>
      <c r="D222" s="29" t="s">
        <v>768</v>
      </c>
      <c r="E222" s="29" t="s">
        <v>4272</v>
      </c>
      <c r="F222" s="29" t="s">
        <v>2308</v>
      </c>
      <c r="G222" s="29" t="s">
        <v>2333</v>
      </c>
      <c r="H222" s="31">
        <f t="shared" si="10"/>
        <v>7200</v>
      </c>
      <c r="I222" s="73"/>
      <c r="J222" s="99">
        <v>8712.0</v>
      </c>
      <c r="K222" s="60">
        <v>0.8</v>
      </c>
      <c r="L222" s="33">
        <f>IF('Global Precios'!J222*(1-I222)*(1+'Global Precios'!K222)&gt;10000,MROUND('Global Precios'!J222*(1-I222)*(1+'Global Precios'!K222),1000),MROUND('Global Precios'!J222*(1-I222)*(1+'Global Precios'!K222),500))</f>
        <v>16000</v>
      </c>
      <c r="M222" s="91">
        <v>1.0</v>
      </c>
      <c r="N222" s="29" t="s">
        <v>313</v>
      </c>
      <c r="O222" s="21"/>
      <c r="P222" s="35">
        <v>45839.0</v>
      </c>
      <c r="Q222" s="36">
        <f t="shared" si="7"/>
        <v>20</v>
      </c>
      <c r="R222" s="37">
        <v>30.0</v>
      </c>
      <c r="S222" s="21"/>
      <c r="T222" s="41">
        <f>IFERROR(VLOOKUP(D222,BUSCARV!$A$1:$C$5524,2,0),"")</f>
        <v>8712</v>
      </c>
      <c r="U222" s="42"/>
      <c r="V222" s="42">
        <f t="shared" si="3"/>
        <v>8712</v>
      </c>
      <c r="W222" s="44">
        <f t="shared" si="4"/>
        <v>0</v>
      </c>
      <c r="X222" s="44"/>
      <c r="Y222" s="45">
        <f t="shared" si="5"/>
        <v>0</v>
      </c>
      <c r="Z222" s="46" t="s">
        <v>449</v>
      </c>
      <c r="AA222" s="46"/>
    </row>
    <row r="223">
      <c r="A223" s="91">
        <v>226.0</v>
      </c>
      <c r="B223" s="21"/>
      <c r="C223" s="29" t="s">
        <v>3</v>
      </c>
      <c r="D223" s="19" t="s">
        <v>769</v>
      </c>
      <c r="E223" s="29" t="s">
        <v>4342</v>
      </c>
      <c r="F223" s="29" t="s">
        <v>2308</v>
      </c>
      <c r="G223" s="29" t="s">
        <v>2350</v>
      </c>
      <c r="H223" s="31">
        <f t="shared" si="10"/>
        <v>13823.96694</v>
      </c>
      <c r="I223" s="73"/>
      <c r="J223" s="99">
        <v>16727.0</v>
      </c>
      <c r="K223" s="60">
        <v>0.8</v>
      </c>
      <c r="L223" s="33">
        <f>IF('Global Precios'!J223*(1-I223)*(1+'Global Precios'!K223)&gt;10000,MROUND('Global Precios'!J223*(1-I223)*(1+'Global Precios'!K223),1000),MROUND('Global Precios'!J223*(1-I223)*(1+'Global Precios'!K223),500))</f>
        <v>30000</v>
      </c>
      <c r="M223" s="91">
        <v>1.0</v>
      </c>
      <c r="N223" s="29" t="s">
        <v>313</v>
      </c>
      <c r="O223" s="21"/>
      <c r="P223" s="35">
        <v>46054.0</v>
      </c>
      <c r="Q223" s="36">
        <f t="shared" si="7"/>
        <v>26</v>
      </c>
      <c r="R223" s="37">
        <v>30.0</v>
      </c>
      <c r="S223" s="21"/>
      <c r="T223" s="41">
        <f>IFERROR(VLOOKUP(D223,BUSCARV!$A$1:$C$5524,2,0),"")</f>
        <v>11712</v>
      </c>
      <c r="U223" s="42"/>
      <c r="V223" s="42">
        <f t="shared" si="3"/>
        <v>11712</v>
      </c>
      <c r="W223" s="44">
        <f t="shared" si="4"/>
        <v>-0.2998146709</v>
      </c>
      <c r="X223" s="44"/>
      <c r="Y223" s="45">
        <f t="shared" si="5"/>
        <v>0</v>
      </c>
      <c r="Z223" s="46" t="s">
        <v>449</v>
      </c>
      <c r="AA223" s="46"/>
    </row>
    <row r="224">
      <c r="A224" s="91">
        <v>227.0</v>
      </c>
      <c r="B224" s="91">
        <v>1.2395791E7</v>
      </c>
      <c r="C224" s="29" t="s">
        <v>3</v>
      </c>
      <c r="D224" s="29" t="s">
        <v>772</v>
      </c>
      <c r="E224" s="21" t="s">
        <v>1793</v>
      </c>
      <c r="F224" s="29" t="s">
        <v>1795</v>
      </c>
      <c r="G224" s="29" t="s">
        <v>1797</v>
      </c>
      <c r="H224" s="31">
        <f t="shared" si="10"/>
        <v>41735.53719</v>
      </c>
      <c r="I224" s="56">
        <v>0.065</v>
      </c>
      <c r="J224" s="66">
        <v>50500.0</v>
      </c>
      <c r="K224" s="58">
        <v>0.33</v>
      </c>
      <c r="L224" s="33">
        <f>IF('Global Precios'!J224*(1-I224)*(1+'Global Precios'!K224)&gt;10000,MROUND('Global Precios'!J224*(1-I224)*(1+'Global Precios'!K224),1000),MROUND('Global Precios'!J224*(1-I224)*(1+'Global Precios'!K224),500))</f>
        <v>63000</v>
      </c>
      <c r="M224" s="91">
        <v>20.0</v>
      </c>
      <c r="N224" s="29" t="s">
        <v>1823</v>
      </c>
      <c r="O224" s="59">
        <f>+MROUND(('Global Precios'!$J224/('Global Precios'!$M224))*(1+'Global Precios'!$K224+0.1),10)</f>
        <v>3610</v>
      </c>
      <c r="P224" s="35">
        <v>46174.0</v>
      </c>
      <c r="Q224" s="36">
        <f t="shared" si="7"/>
        <v>50</v>
      </c>
      <c r="R224" s="37">
        <v>30.0</v>
      </c>
      <c r="S224" s="21"/>
      <c r="T224" s="41" t="str">
        <f>IFERROR(VLOOKUP(D224,BUSCARV!$A$1:$C$5524,2,0),"")</f>
        <v/>
      </c>
      <c r="U224" s="42"/>
      <c r="V224" s="42" t="str">
        <f t="shared" si="3"/>
        <v/>
      </c>
      <c r="W224" s="44" t="str">
        <f t="shared" si="4"/>
        <v/>
      </c>
      <c r="X224" s="44"/>
      <c r="Y224" s="45">
        <f t="shared" si="5"/>
        <v>0</v>
      </c>
      <c r="Z224" s="46" t="s">
        <v>1075</v>
      </c>
      <c r="AA224" s="46"/>
    </row>
    <row r="225">
      <c r="A225" s="91">
        <v>228.0</v>
      </c>
      <c r="B225" s="21"/>
      <c r="C225" s="29" t="s">
        <v>3</v>
      </c>
      <c r="D225" s="97" t="s">
        <v>776</v>
      </c>
      <c r="E225" s="21" t="s">
        <v>1793</v>
      </c>
      <c r="F225" s="29" t="s">
        <v>1795</v>
      </c>
      <c r="G225" s="29" t="s">
        <v>1797</v>
      </c>
      <c r="H225" s="31">
        <f t="shared" si="10"/>
        <v>2086.77686</v>
      </c>
      <c r="I225" s="56">
        <v>0.065</v>
      </c>
      <c r="J225" s="102">
        <f>J224/M224</f>
        <v>2525</v>
      </c>
      <c r="K225" s="103">
        <v>0.4</v>
      </c>
      <c r="L225" s="33">
        <f>IF('Global Precios'!J225*(1-I225)*(1+'Global Precios'!K225)&gt;10000,MROUND('Global Precios'!J225*(1-I225)*(1+'Global Precios'!K225),1000),MROUND('Global Precios'!J225*(1-I225)*(1+'Global Precios'!K225),500))</f>
        <v>3500</v>
      </c>
      <c r="M225" s="91">
        <v>1.0</v>
      </c>
      <c r="N225" s="29" t="s">
        <v>1823</v>
      </c>
      <c r="O225" s="21"/>
      <c r="P225" s="35">
        <v>46174.0</v>
      </c>
      <c r="Q225" s="36">
        <f t="shared" si="7"/>
        <v>50</v>
      </c>
      <c r="R225" s="37">
        <v>0.0</v>
      </c>
      <c r="S225" s="21"/>
      <c r="T225" s="41" t="str">
        <f>IFERROR(VLOOKUP(D225,BUSCARV!$A$1:$C$5524,2,0),"")</f>
        <v/>
      </c>
      <c r="U225" s="42"/>
      <c r="V225" s="42" t="str">
        <f t="shared" si="3"/>
        <v/>
      </c>
      <c r="W225" s="44" t="str">
        <f t="shared" si="4"/>
        <v/>
      </c>
      <c r="X225" s="44"/>
      <c r="Y225" s="45">
        <f t="shared" si="5"/>
        <v>0</v>
      </c>
      <c r="Z225" s="46" t="s">
        <v>1075</v>
      </c>
      <c r="AA225" s="46"/>
    </row>
    <row r="226">
      <c r="A226" s="91">
        <v>229.0</v>
      </c>
      <c r="B226" s="21"/>
      <c r="C226" s="29" t="s">
        <v>3</v>
      </c>
      <c r="D226" s="29" t="s">
        <v>779</v>
      </c>
      <c r="E226" s="21" t="s">
        <v>2787</v>
      </c>
      <c r="F226" s="21" t="s">
        <v>2308</v>
      </c>
      <c r="G226" s="21" t="s">
        <v>2341</v>
      </c>
      <c r="H226" s="31">
        <f t="shared" si="10"/>
        <v>3900.826446</v>
      </c>
      <c r="I226" s="73"/>
      <c r="J226" s="99">
        <v>4720.0</v>
      </c>
      <c r="K226" s="58">
        <v>0.8</v>
      </c>
      <c r="L226" s="33">
        <f>IF('Global Precios'!J226*(1-I226)*(1+'Global Precios'!K226)&gt;1000,MROUND('Global Precios'!J226*(1-I226)*(1+'Global Precios'!K226),100),MROUND('Global Precios'!J226*(1-I226)*(1+'Global Precios'!K226),10))</f>
        <v>8500</v>
      </c>
      <c r="M226" s="91">
        <v>20.0</v>
      </c>
      <c r="N226" s="29" t="s">
        <v>2496</v>
      </c>
      <c r="O226" s="21"/>
      <c r="P226" s="35">
        <v>45505.0</v>
      </c>
      <c r="Q226" s="36">
        <f t="shared" si="7"/>
        <v>14</v>
      </c>
      <c r="R226" s="37">
        <v>30.0</v>
      </c>
      <c r="S226" s="21"/>
      <c r="T226" s="41" t="str">
        <f>IFERROR(VLOOKUP(D226,BUSCARV!$A$1:$C$5524,2,0),"")</f>
        <v/>
      </c>
      <c r="U226" s="42"/>
      <c r="V226" s="42" t="str">
        <f t="shared" si="3"/>
        <v/>
      </c>
      <c r="W226" s="44" t="str">
        <f t="shared" si="4"/>
        <v/>
      </c>
      <c r="X226" s="44"/>
      <c r="Y226" s="45">
        <f t="shared" si="5"/>
        <v>0</v>
      </c>
      <c r="Z226" s="46" t="s">
        <v>1075</v>
      </c>
      <c r="AA226" s="46"/>
    </row>
    <row r="227">
      <c r="A227" s="91">
        <v>230.0</v>
      </c>
      <c r="B227" s="21"/>
      <c r="C227" s="29" t="s">
        <v>3</v>
      </c>
      <c r="D227" s="29" t="s">
        <v>781</v>
      </c>
      <c r="E227" s="29" t="s">
        <v>4335</v>
      </c>
      <c r="F227" s="29" t="s">
        <v>1795</v>
      </c>
      <c r="G227" s="29" t="s">
        <v>1797</v>
      </c>
      <c r="H227" s="31">
        <f t="shared" si="10"/>
        <v>5548.760331</v>
      </c>
      <c r="I227" s="73"/>
      <c r="J227" s="99">
        <v>6714.0</v>
      </c>
      <c r="K227" s="58">
        <v>0.3</v>
      </c>
      <c r="L227" s="33">
        <f>IF('Global Precios'!J227*(1-I227)*(1+'Global Precios'!K227)&gt;1000,MROUND('Global Precios'!J227*(1-I227)*(1+'Global Precios'!K227),100),MROUND('Global Precios'!J227*(1-I227)*(1+'Global Precios'!K227),10))</f>
        <v>8700</v>
      </c>
      <c r="M227" s="91">
        <v>3.0</v>
      </c>
      <c r="N227" s="29" t="s">
        <v>1823</v>
      </c>
      <c r="O227" s="21"/>
      <c r="P227" s="35">
        <v>45231.0</v>
      </c>
      <c r="Q227" s="36">
        <f t="shared" si="7"/>
        <v>36</v>
      </c>
      <c r="R227" s="37">
        <v>30.0</v>
      </c>
      <c r="S227" s="21"/>
      <c r="T227" s="41" t="str">
        <f>IFERROR(VLOOKUP(D227,BUSCARV!$A$1:$C$5524,2,0),"")</f>
        <v/>
      </c>
      <c r="U227" s="42"/>
      <c r="V227" s="42" t="str">
        <f t="shared" si="3"/>
        <v/>
      </c>
      <c r="W227" s="44" t="str">
        <f t="shared" si="4"/>
        <v/>
      </c>
      <c r="X227" s="44"/>
      <c r="Y227" s="45">
        <f t="shared" si="5"/>
        <v>0</v>
      </c>
      <c r="Z227" s="46" t="s">
        <v>1075</v>
      </c>
      <c r="AA227" s="46"/>
    </row>
    <row r="228">
      <c r="A228" s="91">
        <v>231.0</v>
      </c>
      <c r="B228" s="21"/>
      <c r="C228" s="29" t="s">
        <v>3</v>
      </c>
      <c r="D228" s="29" t="s">
        <v>784</v>
      </c>
      <c r="E228" s="29" t="s">
        <v>4335</v>
      </c>
      <c r="F228" s="29" t="s">
        <v>1795</v>
      </c>
      <c r="G228" s="29" t="s">
        <v>1797</v>
      </c>
      <c r="H228" s="31">
        <f t="shared" si="10"/>
        <v>6139.669421</v>
      </c>
      <c r="I228" s="73"/>
      <c r="J228" s="99">
        <v>7429.0</v>
      </c>
      <c r="K228" s="58">
        <v>0.3</v>
      </c>
      <c r="L228" s="33">
        <f>IF('Global Precios'!J228*(1-I228)*(1+'Global Precios'!K228)&gt;1000,MROUND('Global Precios'!J228*(1-I228)*(1+'Global Precios'!K228),100),MROUND('Global Precios'!J228*(1-I228)*(1+'Global Precios'!K228),10))</f>
        <v>9700</v>
      </c>
      <c r="M228" s="91">
        <v>3.0</v>
      </c>
      <c r="N228" s="29" t="s">
        <v>1823</v>
      </c>
      <c r="O228" s="21"/>
      <c r="P228" s="35">
        <v>45231.0</v>
      </c>
      <c r="Q228" s="36">
        <f t="shared" si="7"/>
        <v>36</v>
      </c>
      <c r="R228" s="37">
        <v>30.0</v>
      </c>
      <c r="S228" s="21"/>
      <c r="T228" s="41" t="str">
        <f>IFERROR(VLOOKUP(D228,BUSCARV!$A$1:$C$5524,2,0),"")</f>
        <v/>
      </c>
      <c r="U228" s="42"/>
      <c r="V228" s="42" t="str">
        <f t="shared" si="3"/>
        <v/>
      </c>
      <c r="W228" s="44" t="str">
        <f t="shared" si="4"/>
        <v/>
      </c>
      <c r="X228" s="44"/>
      <c r="Y228" s="45">
        <f t="shared" si="5"/>
        <v>0</v>
      </c>
      <c r="Z228" s="46" t="s">
        <v>1075</v>
      </c>
      <c r="AA228" s="46"/>
    </row>
    <row r="229">
      <c r="A229" s="91">
        <v>232.0</v>
      </c>
      <c r="B229" s="21"/>
      <c r="C229" s="29" t="s">
        <v>3</v>
      </c>
      <c r="D229" s="29" t="s">
        <v>786</v>
      </c>
      <c r="E229" s="29" t="s">
        <v>4335</v>
      </c>
      <c r="F229" s="29" t="s">
        <v>1795</v>
      </c>
      <c r="G229" s="29" t="s">
        <v>1905</v>
      </c>
      <c r="H229" s="31">
        <f t="shared" si="10"/>
        <v>4008.264463</v>
      </c>
      <c r="I229" s="73"/>
      <c r="J229" s="99">
        <v>4850.0</v>
      </c>
      <c r="K229" s="58">
        <v>0.3</v>
      </c>
      <c r="L229" s="33">
        <f>IF('Global Precios'!J229*(1-I229)*(1+'Global Precios'!K229)&gt;1000,MROUND('Global Precios'!J229*(1-I229)*(1+'Global Precios'!K229),100),MROUND('Global Precios'!J229*(1-I229)*(1+'Global Precios'!K229),10))</f>
        <v>6300</v>
      </c>
      <c r="M229" s="91">
        <v>3.0</v>
      </c>
      <c r="N229" s="29" t="s">
        <v>1823</v>
      </c>
      <c r="O229" s="21"/>
      <c r="P229" s="35">
        <v>44986.0</v>
      </c>
      <c r="Q229" s="36">
        <f t="shared" si="7"/>
        <v>48</v>
      </c>
      <c r="R229" s="37">
        <v>30.0</v>
      </c>
      <c r="S229" s="21"/>
      <c r="T229" s="41" t="str">
        <f>IFERROR(VLOOKUP(D229,BUSCARV!$A$1:$C$5524,2,0),"")</f>
        <v/>
      </c>
      <c r="U229" s="42"/>
      <c r="V229" s="42" t="str">
        <f t="shared" si="3"/>
        <v/>
      </c>
      <c r="W229" s="44" t="str">
        <f t="shared" si="4"/>
        <v/>
      </c>
      <c r="X229" s="44"/>
      <c r="Y229" s="45">
        <f t="shared" si="5"/>
        <v>0</v>
      </c>
      <c r="Z229" s="46" t="s">
        <v>1075</v>
      </c>
      <c r="AA229" s="46"/>
    </row>
    <row r="230">
      <c r="A230" s="91">
        <v>233.0</v>
      </c>
      <c r="B230" s="21"/>
      <c r="C230" s="29" t="s">
        <v>3</v>
      </c>
      <c r="D230" s="29" t="s">
        <v>789</v>
      </c>
      <c r="E230" s="21"/>
      <c r="F230" s="29" t="s">
        <v>2338</v>
      </c>
      <c r="G230" s="21"/>
      <c r="H230" s="31" t="str">
        <f t="shared" si="10"/>
        <v/>
      </c>
      <c r="I230" s="31"/>
      <c r="J230" s="31"/>
      <c r="K230" s="21"/>
      <c r="L230" s="33">
        <f>IF('Global Precios'!J230*(1-I230)*(1+'Global Precios'!K230)&gt;10000,MROUND('Global Precios'!J230*(1-I230)*(1+'Global Precios'!K230),1000),MROUND('Global Precios'!J230*(1-I230)*(1+'Global Precios'!K230),500))</f>
        <v>0</v>
      </c>
      <c r="M230" s="91">
        <v>1.0</v>
      </c>
      <c r="N230" s="34" t="s">
        <v>313</v>
      </c>
      <c r="O230" s="21"/>
      <c r="P230" s="87">
        <v>44598.0</v>
      </c>
      <c r="Q230" s="36">
        <f t="shared" si="7"/>
        <v>17</v>
      </c>
      <c r="R230" s="37">
        <v>0.0</v>
      </c>
      <c r="S230" s="21"/>
      <c r="T230" s="41" t="str">
        <f>IFERROR(VLOOKUP(D230,BUSCARV!$A$1:$C$5524,2,0),"")</f>
        <v/>
      </c>
      <c r="U230" s="42"/>
      <c r="V230" s="42" t="str">
        <f t="shared" si="3"/>
        <v/>
      </c>
      <c r="W230" s="44" t="str">
        <f t="shared" si="4"/>
        <v/>
      </c>
      <c r="X230" s="44"/>
      <c r="Y230" s="45">
        <f t="shared" si="5"/>
        <v>0</v>
      </c>
      <c r="Z230" s="46" t="s">
        <v>449</v>
      </c>
      <c r="AA230" s="46"/>
    </row>
    <row r="231">
      <c r="A231" s="91">
        <v>234.0</v>
      </c>
      <c r="B231" s="21"/>
      <c r="C231" s="29" t="s">
        <v>3</v>
      </c>
      <c r="D231" s="29" t="s">
        <v>793</v>
      </c>
      <c r="E231" s="21"/>
      <c r="F231" s="29" t="s">
        <v>1982</v>
      </c>
      <c r="G231" s="29" t="s">
        <v>1905</v>
      </c>
      <c r="H231" s="48">
        <v>289.0</v>
      </c>
      <c r="I231" s="73"/>
      <c r="J231" s="99">
        <v>1237.0</v>
      </c>
      <c r="K231" s="60">
        <v>1.0</v>
      </c>
      <c r="L231" s="33">
        <f>IF('Global Precios'!J231*(1-I231)*(1+'Global Precios'!K231)&gt;1000,MROUND('Global Precios'!J231*(1-I231)*(1+'Global Precios'!K231),100),MROUND('Global Precios'!J231*(1-I231)*(1+'Global Precios'!K231),10))</f>
        <v>2500</v>
      </c>
      <c r="M231" s="91">
        <v>1.0</v>
      </c>
      <c r="N231" s="29" t="s">
        <v>313</v>
      </c>
      <c r="O231" s="21"/>
      <c r="P231" s="35">
        <v>45474.0</v>
      </c>
      <c r="Q231" s="36">
        <f t="shared" si="7"/>
        <v>12</v>
      </c>
      <c r="R231" s="37">
        <v>30.0</v>
      </c>
      <c r="S231" s="21"/>
      <c r="T231" s="41" t="str">
        <f>IFERROR(VLOOKUP(D231,BUSCARV!$A$1:$C$5524,2,0),"")</f>
        <v/>
      </c>
      <c r="U231" s="42"/>
      <c r="V231" s="42" t="str">
        <f t="shared" si="3"/>
        <v/>
      </c>
      <c r="W231" s="44" t="str">
        <f t="shared" si="4"/>
        <v/>
      </c>
      <c r="X231" s="44"/>
      <c r="Y231" s="45">
        <f t="shared" si="5"/>
        <v>0</v>
      </c>
      <c r="Z231" s="46" t="s">
        <v>1075</v>
      </c>
      <c r="AA231" s="96" t="s">
        <v>4343</v>
      </c>
    </row>
    <row r="232">
      <c r="A232" s="91">
        <v>235.0</v>
      </c>
      <c r="B232" s="21"/>
      <c r="C232" s="29" t="s">
        <v>3</v>
      </c>
      <c r="D232" s="104" t="s">
        <v>798</v>
      </c>
      <c r="E232" s="21"/>
      <c r="F232" s="29" t="s">
        <v>2308</v>
      </c>
      <c r="G232" s="29" t="s">
        <v>1905</v>
      </c>
      <c r="H232" s="31">
        <f t="shared" ref="H232:H239" si="14">IF(J232="","",J232/1.21)</f>
        <v>7272.727273</v>
      </c>
      <c r="I232" s="73"/>
      <c r="J232" s="99">
        <v>8800.0</v>
      </c>
      <c r="K232" s="60">
        <v>1.6</v>
      </c>
      <c r="L232" s="33">
        <f>IF('Global Precios'!J232*(1-I232)*(1+'Global Precios'!K232)&gt;10000,MROUND('Global Precios'!J232*(1-I232)*(1+'Global Precios'!K232),1000),MROUND('Global Precios'!J232*(1-I232)*(1+'Global Precios'!K232),500))</f>
        <v>23000</v>
      </c>
      <c r="M232" s="91">
        <v>1.0</v>
      </c>
      <c r="N232" s="29" t="s">
        <v>313</v>
      </c>
      <c r="O232" s="21"/>
      <c r="P232" s="35">
        <v>45839.0</v>
      </c>
      <c r="Q232" s="36">
        <f t="shared" si="7"/>
        <v>20</v>
      </c>
      <c r="R232" s="37">
        <v>30.0</v>
      </c>
      <c r="S232" s="21"/>
      <c r="T232" s="41" t="str">
        <f>IFERROR(VLOOKUP(D232,BUSCARV!$A$1:$C$5524,2,0),"")</f>
        <v/>
      </c>
      <c r="U232" s="42"/>
      <c r="V232" s="42" t="str">
        <f t="shared" si="3"/>
        <v/>
      </c>
      <c r="W232" s="44" t="str">
        <f t="shared" si="4"/>
        <v/>
      </c>
      <c r="X232" s="44"/>
      <c r="Y232" s="45">
        <f t="shared" si="5"/>
        <v>0</v>
      </c>
      <c r="Z232" s="46" t="s">
        <v>449</v>
      </c>
      <c r="AA232" s="46"/>
    </row>
    <row r="233">
      <c r="A233" s="91">
        <v>236.0</v>
      </c>
      <c r="B233" s="21"/>
      <c r="C233" s="21" t="s">
        <v>3</v>
      </c>
      <c r="D233" s="29" t="s">
        <v>801</v>
      </c>
      <c r="E233" s="21" t="s">
        <v>4282</v>
      </c>
      <c r="F233" s="21" t="s">
        <v>2308</v>
      </c>
      <c r="G233" s="21" t="s">
        <v>2350</v>
      </c>
      <c r="H233" s="31">
        <f t="shared" si="14"/>
        <v>15804.95868</v>
      </c>
      <c r="I233" s="73"/>
      <c r="J233" s="99">
        <v>19124.0</v>
      </c>
      <c r="K233" s="60">
        <v>0.8</v>
      </c>
      <c r="L233" s="33">
        <f>IF('Global Precios'!J233*(1-I233)*(1+'Global Precios'!K233)&gt;10000,MROUND('Global Precios'!J233*(1-I233)*(1+'Global Precios'!K233),1000),MROUND('Global Precios'!J233*(1-I233)*(1+'Global Precios'!K233),500))</f>
        <v>34000</v>
      </c>
      <c r="M233" s="91">
        <v>120.0</v>
      </c>
      <c r="N233" s="29" t="s">
        <v>4283</v>
      </c>
      <c r="O233" s="21"/>
      <c r="P233" s="35">
        <v>45839.0</v>
      </c>
      <c r="Q233" s="36">
        <f t="shared" si="7"/>
        <v>29</v>
      </c>
      <c r="R233" s="37">
        <v>30.0</v>
      </c>
      <c r="S233" s="21"/>
      <c r="T233" s="41">
        <f>IFERROR(VLOOKUP(D233,BUSCARV!$A$1:$C$5524,2,0),"")</f>
        <v>16114</v>
      </c>
      <c r="U233" s="42"/>
      <c r="V233" s="42">
        <f t="shared" si="3"/>
        <v>16114</v>
      </c>
      <c r="W233" s="44">
        <f t="shared" si="4"/>
        <v>-0.1573938507</v>
      </c>
      <c r="X233" s="44"/>
      <c r="Y233" s="45">
        <f t="shared" si="5"/>
        <v>0</v>
      </c>
      <c r="Z233" s="46" t="s">
        <v>449</v>
      </c>
      <c r="AA233" s="46"/>
    </row>
    <row r="234">
      <c r="A234" s="91">
        <v>237.0</v>
      </c>
      <c r="B234" s="21"/>
      <c r="C234" s="29" t="s">
        <v>3</v>
      </c>
      <c r="D234" s="29" t="s">
        <v>4344</v>
      </c>
      <c r="E234" s="29" t="s">
        <v>4345</v>
      </c>
      <c r="F234" s="29" t="s">
        <v>1795</v>
      </c>
      <c r="G234" s="29" t="s">
        <v>1797</v>
      </c>
      <c r="H234" s="31">
        <f t="shared" si="14"/>
        <v>13347.10744</v>
      </c>
      <c r="I234" s="73"/>
      <c r="J234" s="99">
        <v>16150.0</v>
      </c>
      <c r="K234" s="58">
        <v>0.3</v>
      </c>
      <c r="L234" s="33">
        <f>IF('Global Precios'!J234*(1-I234)*(1+'Global Precios'!K234)&gt;10000,MROUND('Global Precios'!J234*(1-I234)*(1+'Global Precios'!K234),1000),MROUND('Global Precios'!J234*(1-I234)*(1+'Global Precios'!K234),500))</f>
        <v>21000</v>
      </c>
      <c r="M234" s="91">
        <v>3.0</v>
      </c>
      <c r="N234" s="29" t="s">
        <v>1823</v>
      </c>
      <c r="O234" s="21"/>
      <c r="P234" s="35">
        <v>45839.0</v>
      </c>
      <c r="Q234" s="36">
        <f t="shared" si="7"/>
        <v>45</v>
      </c>
      <c r="R234" s="37">
        <v>30.0</v>
      </c>
      <c r="S234" s="21"/>
      <c r="T234" s="41" t="str">
        <f>IFERROR(VLOOKUP(D234,BUSCARV!$A$1:$C$5524,2,0),"")</f>
        <v/>
      </c>
      <c r="U234" s="42"/>
      <c r="V234" s="42" t="str">
        <f t="shared" si="3"/>
        <v/>
      </c>
      <c r="W234" s="44" t="str">
        <f t="shared" si="4"/>
        <v/>
      </c>
      <c r="X234" s="44"/>
      <c r="Y234" s="45">
        <f t="shared" si="5"/>
        <v>0</v>
      </c>
      <c r="Z234" s="46" t="s">
        <v>449</v>
      </c>
      <c r="AA234" s="46"/>
    </row>
    <row r="235">
      <c r="A235" s="91">
        <v>238.0</v>
      </c>
      <c r="B235" s="21"/>
      <c r="C235" s="29" t="s">
        <v>3</v>
      </c>
      <c r="D235" s="29" t="s">
        <v>808</v>
      </c>
      <c r="E235" s="29" t="s">
        <v>4189</v>
      </c>
      <c r="F235" s="21" t="s">
        <v>2308</v>
      </c>
      <c r="G235" s="29" t="s">
        <v>2325</v>
      </c>
      <c r="H235" s="31">
        <f t="shared" si="14"/>
        <v>2887.603306</v>
      </c>
      <c r="I235" s="73"/>
      <c r="J235" s="99">
        <v>3494.0</v>
      </c>
      <c r="K235" s="58">
        <v>0.8</v>
      </c>
      <c r="L235" s="33">
        <f>IF('Global Precios'!J235*(1-I235)*(1+'Global Precios'!K235)&gt;1000,MROUND('Global Precios'!J235*(1-I235)*(1+'Global Precios'!K235),100),MROUND('Global Precios'!J235*(1-I235)*(1+'Global Precios'!K235),10))</f>
        <v>6300</v>
      </c>
      <c r="M235" s="91">
        <v>10.0</v>
      </c>
      <c r="N235" s="29" t="s">
        <v>4287</v>
      </c>
      <c r="O235" s="21"/>
      <c r="P235" s="35">
        <v>45505.0</v>
      </c>
      <c r="Q235" s="36">
        <f t="shared" si="7"/>
        <v>35</v>
      </c>
      <c r="R235" s="37">
        <v>30.0</v>
      </c>
      <c r="S235" s="21"/>
      <c r="T235" s="41" t="str">
        <f>IFERROR(VLOOKUP(D235,BUSCARV!$A$1:$C$5524,2,0),"")</f>
        <v/>
      </c>
      <c r="U235" s="42"/>
      <c r="V235" s="42" t="str">
        <f t="shared" si="3"/>
        <v/>
      </c>
      <c r="W235" s="44" t="str">
        <f t="shared" si="4"/>
        <v/>
      </c>
      <c r="X235" s="44"/>
      <c r="Y235" s="45">
        <f t="shared" si="5"/>
        <v>0</v>
      </c>
      <c r="Z235" s="46" t="s">
        <v>1075</v>
      </c>
      <c r="AA235" s="46"/>
    </row>
    <row r="236">
      <c r="A236" s="91">
        <v>239.0</v>
      </c>
      <c r="B236" s="21"/>
      <c r="C236" s="29" t="s">
        <v>3</v>
      </c>
      <c r="D236" s="21" t="s">
        <v>811</v>
      </c>
      <c r="E236" s="29" t="s">
        <v>4284</v>
      </c>
      <c r="F236" s="29" t="s">
        <v>2308</v>
      </c>
      <c r="G236" s="29" t="s">
        <v>2339</v>
      </c>
      <c r="H236" s="31">
        <f t="shared" si="14"/>
        <v>10504.13223</v>
      </c>
      <c r="I236" s="73"/>
      <c r="J236" s="99">
        <v>12710.0</v>
      </c>
      <c r="K236" s="60">
        <v>0.7</v>
      </c>
      <c r="L236" s="33">
        <f>IF('Global Precios'!J236*(1-I236)*(1+'Global Precios'!K236)&gt;10000,MROUND('Global Precios'!J236*(1-I236)*(1+'Global Precios'!K236),1000),MROUND('Global Precios'!J236*(1-I236)*(1+'Global Precios'!K236),500))</f>
        <v>22000</v>
      </c>
      <c r="M236" s="91">
        <v>10.0</v>
      </c>
      <c r="N236" s="29" t="s">
        <v>4287</v>
      </c>
      <c r="O236" s="21"/>
      <c r="P236" s="35">
        <v>45839.0</v>
      </c>
      <c r="Q236" s="36">
        <f t="shared" si="7"/>
        <v>36</v>
      </c>
      <c r="R236" s="37">
        <v>30.0</v>
      </c>
      <c r="S236" s="21"/>
      <c r="T236" s="41">
        <f>IFERROR(VLOOKUP(D236,BUSCARV!$A$1:$C$5524,2,0),"")</f>
        <v>12710</v>
      </c>
      <c r="U236" s="42"/>
      <c r="V236" s="42">
        <f t="shared" si="3"/>
        <v>12710</v>
      </c>
      <c r="W236" s="44">
        <f t="shared" si="4"/>
        <v>0</v>
      </c>
      <c r="X236" s="44"/>
      <c r="Y236" s="45">
        <f t="shared" si="5"/>
        <v>0</v>
      </c>
      <c r="Z236" s="46" t="s">
        <v>449</v>
      </c>
      <c r="AA236" s="46"/>
    </row>
    <row r="237">
      <c r="A237" s="91">
        <v>240.0</v>
      </c>
      <c r="B237" s="21"/>
      <c r="C237" s="29" t="s">
        <v>3</v>
      </c>
      <c r="D237" s="29" t="s">
        <v>4346</v>
      </c>
      <c r="E237" s="29" t="s">
        <v>2787</v>
      </c>
      <c r="F237" s="29" t="s">
        <v>2308</v>
      </c>
      <c r="G237" s="29" t="s">
        <v>2351</v>
      </c>
      <c r="H237" s="31">
        <f t="shared" si="14"/>
        <v>3600</v>
      </c>
      <c r="I237" s="73"/>
      <c r="J237" s="99">
        <v>4356.0</v>
      </c>
      <c r="K237" s="60">
        <v>0.7</v>
      </c>
      <c r="L237" s="33">
        <f>IF('Global Precios'!J237*(1-I237)*(1+'Global Precios'!K237)&gt;10000,MROUND('Global Precios'!J237*(1-I237)*(1+'Global Precios'!K237),1000),MROUND('Global Precios'!J237*(1-I237)*(1+'Global Precios'!K237),500))</f>
        <v>7500</v>
      </c>
      <c r="M237" s="91">
        <v>10.0</v>
      </c>
      <c r="N237" s="29" t="s">
        <v>4287</v>
      </c>
      <c r="O237" s="21"/>
      <c r="P237" s="35">
        <v>46023.0</v>
      </c>
      <c r="Q237" s="36">
        <f t="shared" si="7"/>
        <v>44</v>
      </c>
      <c r="R237" s="37">
        <v>30.0</v>
      </c>
      <c r="S237" s="21"/>
      <c r="T237" s="41" t="str">
        <f>IFERROR(VLOOKUP(D237,BUSCARV!$A$1:$C$5524,2,0),"")</f>
        <v/>
      </c>
      <c r="U237" s="42"/>
      <c r="V237" s="42" t="str">
        <f t="shared" si="3"/>
        <v/>
      </c>
      <c r="W237" s="44" t="str">
        <f t="shared" si="4"/>
        <v/>
      </c>
      <c r="X237" s="44"/>
      <c r="Y237" s="45">
        <f t="shared" si="5"/>
        <v>0</v>
      </c>
      <c r="Z237" s="46" t="s">
        <v>449</v>
      </c>
      <c r="AA237" s="46"/>
    </row>
    <row r="238">
      <c r="A238" s="91">
        <v>241.0</v>
      </c>
      <c r="B238" s="21"/>
      <c r="C238" s="29" t="s">
        <v>3</v>
      </c>
      <c r="D238" s="29" t="s">
        <v>818</v>
      </c>
      <c r="E238" s="29" t="s">
        <v>3589</v>
      </c>
      <c r="F238" s="29" t="s">
        <v>2308</v>
      </c>
      <c r="G238" s="29" t="s">
        <v>4347</v>
      </c>
      <c r="H238" s="31">
        <f t="shared" si="14"/>
        <v>796.6942149</v>
      </c>
      <c r="I238" s="73"/>
      <c r="J238" s="99">
        <v>964.0</v>
      </c>
      <c r="K238" s="58">
        <v>1.0</v>
      </c>
      <c r="L238" s="33">
        <f>IF('Global Precios'!J238*(1-I238)*(1+'Global Precios'!K238)&gt;10000,MROUND('Global Precios'!J238*(1-I238)*(1+'Global Precios'!K238),1000),MROUND('Global Precios'!J238*(1-I238)*(1+'Global Precios'!K238),500))</f>
        <v>2000</v>
      </c>
      <c r="M238" s="91">
        <v>10.0</v>
      </c>
      <c r="N238" s="29" t="s">
        <v>4287</v>
      </c>
      <c r="O238" s="21"/>
      <c r="P238" s="35">
        <v>45839.0</v>
      </c>
      <c r="Q238" s="36">
        <f t="shared" si="7"/>
        <v>31</v>
      </c>
      <c r="R238" s="37">
        <v>30.0</v>
      </c>
      <c r="S238" s="21"/>
      <c r="T238" s="41" t="str">
        <f>IFERROR(VLOOKUP(D238,BUSCARV!$A$1:$C$5524,2,0),"")</f>
        <v/>
      </c>
      <c r="U238" s="42"/>
      <c r="V238" s="42" t="str">
        <f t="shared" si="3"/>
        <v/>
      </c>
      <c r="W238" s="44" t="str">
        <f t="shared" si="4"/>
        <v/>
      </c>
      <c r="X238" s="44"/>
      <c r="Y238" s="45">
        <f t="shared" si="5"/>
        <v>0</v>
      </c>
      <c r="Z238" s="46" t="s">
        <v>449</v>
      </c>
      <c r="AA238" s="46"/>
    </row>
    <row r="239">
      <c r="A239" s="91">
        <v>242.0</v>
      </c>
      <c r="B239" s="21"/>
      <c r="C239" s="29" t="s">
        <v>3</v>
      </c>
      <c r="D239" s="29" t="s">
        <v>821</v>
      </c>
      <c r="E239" s="29" t="s">
        <v>2625</v>
      </c>
      <c r="F239" s="29" t="s">
        <v>2308</v>
      </c>
      <c r="G239" s="29" t="s">
        <v>4347</v>
      </c>
      <c r="H239" s="31">
        <f t="shared" si="14"/>
        <v>1074.380165</v>
      </c>
      <c r="I239" s="73"/>
      <c r="J239" s="99">
        <v>1300.0</v>
      </c>
      <c r="K239" s="58">
        <v>1.0</v>
      </c>
      <c r="L239" s="33">
        <f>IF('Global Precios'!J239*(1-I239)*(1+'Global Precios'!K239)&gt;10000,MROUND('Global Precios'!J239*(1-I239)*(1+'Global Precios'!K239),1000),MROUND('Global Precios'!J239*(1-I239)*(1+'Global Precios'!K239),500))</f>
        <v>2500</v>
      </c>
      <c r="M239" s="91">
        <v>1.0</v>
      </c>
      <c r="N239" s="29" t="s">
        <v>4287</v>
      </c>
      <c r="O239" s="21"/>
      <c r="P239" s="35">
        <v>45931.0</v>
      </c>
      <c r="Q239" s="36">
        <f t="shared" si="7"/>
        <v>24</v>
      </c>
      <c r="R239" s="37">
        <v>30.0</v>
      </c>
      <c r="S239" s="21"/>
      <c r="T239" s="41" t="str">
        <f>IFERROR(VLOOKUP(D239,BUSCARV!$A$1:$C$5524,2,0),"")</f>
        <v/>
      </c>
      <c r="U239" s="42"/>
      <c r="V239" s="42" t="str">
        <f t="shared" si="3"/>
        <v/>
      </c>
      <c r="W239" s="44" t="str">
        <f t="shared" si="4"/>
        <v/>
      </c>
      <c r="X239" s="44"/>
      <c r="Y239" s="45">
        <f t="shared" si="5"/>
        <v>0</v>
      </c>
      <c r="Z239" s="46" t="s">
        <v>449</v>
      </c>
      <c r="AA239" s="46"/>
    </row>
    <row r="240">
      <c r="A240" s="91">
        <v>243.0</v>
      </c>
      <c r="B240" s="21"/>
      <c r="C240" s="29" t="s">
        <v>3</v>
      </c>
      <c r="D240" s="29" t="s">
        <v>4348</v>
      </c>
      <c r="E240" s="21"/>
      <c r="F240" s="29" t="s">
        <v>1982</v>
      </c>
      <c r="G240" s="21"/>
      <c r="H240" s="48">
        <v>70.0</v>
      </c>
      <c r="I240" s="73"/>
      <c r="J240" s="99">
        <v>346.0</v>
      </c>
      <c r="K240" s="60">
        <v>1.0</v>
      </c>
      <c r="L240" s="33">
        <f>IF('Global Precios'!J240*(1-I240)*(1+'Global Precios'!K240)&gt;10000,MROUND('Global Precios'!J240*(1-I240)*(1+'Global Precios'!K240),1000),MROUND('Global Precios'!J240*(1-I240)*(1+'Global Precios'!K240),500))</f>
        <v>500</v>
      </c>
      <c r="M240" s="91">
        <v>1.0</v>
      </c>
      <c r="N240" s="29" t="s">
        <v>313</v>
      </c>
      <c r="O240" s="21"/>
      <c r="P240" s="35">
        <v>45839.0</v>
      </c>
      <c r="Q240" s="36">
        <f t="shared" si="7"/>
        <v>15</v>
      </c>
      <c r="R240" s="37">
        <v>30.0</v>
      </c>
      <c r="S240" s="21"/>
      <c r="T240" s="41" t="str">
        <f>IFERROR(VLOOKUP(D240,BUSCARV!$A$1:$C$5524,2,0),"")</f>
        <v/>
      </c>
      <c r="U240" s="42"/>
      <c r="V240" s="42" t="str">
        <f t="shared" si="3"/>
        <v/>
      </c>
      <c r="W240" s="44" t="str">
        <f t="shared" si="4"/>
        <v/>
      </c>
      <c r="X240" s="44"/>
      <c r="Y240" s="45">
        <f t="shared" si="5"/>
        <v>0</v>
      </c>
      <c r="Z240" s="46" t="s">
        <v>449</v>
      </c>
      <c r="AA240" s="46" t="s">
        <v>4349</v>
      </c>
    </row>
    <row r="241">
      <c r="A241" s="91">
        <v>244.0</v>
      </c>
      <c r="B241" s="21"/>
      <c r="C241" s="29" t="s">
        <v>3</v>
      </c>
      <c r="D241" s="29" t="s">
        <v>828</v>
      </c>
      <c r="E241" s="21"/>
      <c r="F241" s="29" t="s">
        <v>1982</v>
      </c>
      <c r="G241" s="21"/>
      <c r="H241" s="48">
        <v>642.0</v>
      </c>
      <c r="I241" s="73"/>
      <c r="J241" s="99">
        <v>3963.0</v>
      </c>
      <c r="K241" s="60">
        <v>1.0</v>
      </c>
      <c r="L241" s="33">
        <f>IF('Global Precios'!J241*(1-I241)*(1+'Global Precios'!K241)&gt;10000,MROUND('Global Precios'!J241*(1-I241)*(1+'Global Precios'!K241),1000),MROUND('Global Precios'!J241*(1-I241)*(1+'Global Precios'!K241),500))</f>
        <v>8000</v>
      </c>
      <c r="M241" s="91">
        <v>1.0</v>
      </c>
      <c r="N241" s="29" t="s">
        <v>313</v>
      </c>
      <c r="O241" s="21"/>
      <c r="P241" s="35">
        <v>45839.0</v>
      </c>
      <c r="Q241" s="36">
        <f t="shared" si="7"/>
        <v>25</v>
      </c>
      <c r="R241" s="37">
        <v>30.0</v>
      </c>
      <c r="S241" s="21"/>
      <c r="T241" s="41" t="str">
        <f>IFERROR(VLOOKUP(D241,BUSCARV!$A$1:$C$5524,2,0),"")</f>
        <v/>
      </c>
      <c r="U241" s="42"/>
      <c r="V241" s="42" t="str">
        <f t="shared" si="3"/>
        <v/>
      </c>
      <c r="W241" s="44" t="str">
        <f t="shared" si="4"/>
        <v/>
      </c>
      <c r="X241" s="44"/>
      <c r="Y241" s="45">
        <f t="shared" si="5"/>
        <v>0</v>
      </c>
      <c r="Z241" s="46" t="s">
        <v>449</v>
      </c>
      <c r="AA241" s="46" t="s">
        <v>4350</v>
      </c>
    </row>
    <row r="242">
      <c r="A242" s="91">
        <v>255.0</v>
      </c>
      <c r="B242" s="21"/>
      <c r="C242" s="29" t="s">
        <v>3</v>
      </c>
      <c r="D242" s="29" t="s">
        <v>831</v>
      </c>
      <c r="E242" s="21"/>
      <c r="F242" s="29" t="s">
        <v>1982</v>
      </c>
      <c r="G242" s="21"/>
      <c r="H242" s="48">
        <v>738.0</v>
      </c>
      <c r="I242" s="73"/>
      <c r="J242" s="99">
        <v>2999.0</v>
      </c>
      <c r="K242" s="60">
        <v>1.0</v>
      </c>
      <c r="L242" s="33">
        <f>IF('Global Precios'!J242*(1-I242)*(1+'Global Precios'!K242)&gt;10000,MROUND('Global Precios'!J242*(1-I242)*(1+'Global Precios'!K242),1000),MROUND('Global Precios'!J242*(1-I242)*(1+'Global Precios'!K242),500))</f>
        <v>6000</v>
      </c>
      <c r="M242" s="91">
        <v>1.0</v>
      </c>
      <c r="N242" s="29" t="s">
        <v>313</v>
      </c>
      <c r="O242" s="21"/>
      <c r="P242" s="35">
        <v>45839.0</v>
      </c>
      <c r="Q242" s="36">
        <f t="shared" si="7"/>
        <v>33</v>
      </c>
      <c r="R242" s="37">
        <v>30.0</v>
      </c>
      <c r="S242" s="21"/>
      <c r="T242" s="41" t="str">
        <f>IFERROR(VLOOKUP(D242,BUSCARV!$A$1:$C$5524,2,0),"")</f>
        <v/>
      </c>
      <c r="U242" s="42"/>
      <c r="V242" s="42" t="str">
        <f t="shared" si="3"/>
        <v/>
      </c>
      <c r="W242" s="44" t="str">
        <f t="shared" si="4"/>
        <v/>
      </c>
      <c r="X242" s="44"/>
      <c r="Y242" s="45">
        <f t="shared" si="5"/>
        <v>0</v>
      </c>
      <c r="Z242" s="46" t="s">
        <v>449</v>
      </c>
      <c r="AA242" s="46" t="s">
        <v>4351</v>
      </c>
    </row>
    <row r="243">
      <c r="A243" s="91">
        <v>256.0</v>
      </c>
      <c r="B243" s="21"/>
      <c r="C243" s="29" t="s">
        <v>3</v>
      </c>
      <c r="D243" s="29" t="s">
        <v>834</v>
      </c>
      <c r="E243" s="21"/>
      <c r="F243" s="29" t="s">
        <v>1982</v>
      </c>
      <c r="G243" s="21"/>
      <c r="H243" s="48">
        <v>952.0</v>
      </c>
      <c r="I243" s="73"/>
      <c r="J243" s="99">
        <v>4070.0</v>
      </c>
      <c r="K243" s="60">
        <v>1.0</v>
      </c>
      <c r="L243" s="33">
        <f>IF('Global Precios'!J243*(1-I243)*(1+'Global Precios'!K243)&gt;10000,MROUND('Global Precios'!J243*(1-I243)*(1+'Global Precios'!K243),1000),MROUND('Global Precios'!J243*(1-I243)*(1+'Global Precios'!K243),500))</f>
        <v>8000</v>
      </c>
      <c r="M243" s="91">
        <v>1.0</v>
      </c>
      <c r="N243" s="29" t="s">
        <v>313</v>
      </c>
      <c r="O243" s="21"/>
      <c r="P243" s="35">
        <v>45839.0</v>
      </c>
      <c r="Q243" s="36">
        <f t="shared" si="7"/>
        <v>33</v>
      </c>
      <c r="R243" s="37">
        <v>30.0</v>
      </c>
      <c r="S243" s="21"/>
      <c r="T243" s="41" t="str">
        <f>IFERROR(VLOOKUP(D243,BUSCARV!$A$1:$C$5524,2,0),"")</f>
        <v/>
      </c>
      <c r="U243" s="42"/>
      <c r="V243" s="42" t="str">
        <f t="shared" si="3"/>
        <v/>
      </c>
      <c r="W243" s="44" t="str">
        <f t="shared" si="4"/>
        <v/>
      </c>
      <c r="X243" s="44"/>
      <c r="Y243" s="45">
        <f t="shared" si="5"/>
        <v>0</v>
      </c>
      <c r="Z243" s="46" t="s">
        <v>449</v>
      </c>
      <c r="AA243" s="46" t="s">
        <v>4352</v>
      </c>
    </row>
    <row r="244">
      <c r="A244" s="91">
        <v>257.0</v>
      </c>
      <c r="B244" s="21"/>
      <c r="C244" s="29" t="s">
        <v>3</v>
      </c>
      <c r="D244" s="29" t="s">
        <v>837</v>
      </c>
      <c r="E244" s="21"/>
      <c r="F244" s="29" t="s">
        <v>1982</v>
      </c>
      <c r="G244" s="21"/>
      <c r="H244" s="48">
        <v>428.0</v>
      </c>
      <c r="I244" s="73"/>
      <c r="J244" s="99">
        <v>1441.0</v>
      </c>
      <c r="K244" s="60">
        <v>1.0</v>
      </c>
      <c r="L244" s="33">
        <f>IF('Global Precios'!J244*(1-I244)*(1+'Global Precios'!K244)&gt;1000,MROUND('Global Precios'!J244*(1-I244)*(1+'Global Precios'!K244),100),MROUND('Global Precios'!J244*(1-I244)*(1+'Global Precios'!K244),10))</f>
        <v>2900</v>
      </c>
      <c r="M244" s="91">
        <v>1.0</v>
      </c>
      <c r="N244" s="29" t="s">
        <v>313</v>
      </c>
      <c r="O244" s="21"/>
      <c r="P244" s="35">
        <v>45323.0</v>
      </c>
      <c r="Q244" s="36">
        <f t="shared" si="7"/>
        <v>18</v>
      </c>
      <c r="R244" s="37">
        <v>30.0</v>
      </c>
      <c r="S244" s="21"/>
      <c r="T244" s="41" t="str">
        <f>IFERROR(VLOOKUP(D244,BUSCARV!$A$1:$C$5524,2,0),"")</f>
        <v/>
      </c>
      <c r="U244" s="63"/>
      <c r="V244" s="42" t="str">
        <f t="shared" si="3"/>
        <v/>
      </c>
      <c r="W244" s="44" t="str">
        <f t="shared" si="4"/>
        <v/>
      </c>
      <c r="X244" s="44"/>
      <c r="Y244" s="45">
        <f t="shared" si="5"/>
        <v>0</v>
      </c>
      <c r="Z244" s="46" t="s">
        <v>1075</v>
      </c>
      <c r="AA244" s="46" t="s">
        <v>4353</v>
      </c>
    </row>
    <row r="245">
      <c r="A245" s="91">
        <v>258.0</v>
      </c>
      <c r="B245" s="21"/>
      <c r="C245" s="29" t="s">
        <v>3</v>
      </c>
      <c r="D245" s="29" t="s">
        <v>841</v>
      </c>
      <c r="E245" s="21"/>
      <c r="F245" s="29" t="s">
        <v>1982</v>
      </c>
      <c r="G245" s="50" t="s">
        <v>2316</v>
      </c>
      <c r="H245" s="48">
        <v>353.0</v>
      </c>
      <c r="I245" s="73"/>
      <c r="J245" s="99">
        <v>1967.0</v>
      </c>
      <c r="K245" s="60">
        <v>0.8</v>
      </c>
      <c r="L245" s="33">
        <f>IF('Global Precios'!J245*(1-I245)*(1+'Global Precios'!K245)&gt;10000,MROUND('Global Precios'!J245*(1-I245)*(1+'Global Precios'!K245),1000),MROUND('Global Precios'!J245*(1-I245)*(1+'Global Precios'!K245),500))</f>
        <v>3500</v>
      </c>
      <c r="M245" s="91">
        <v>1.0</v>
      </c>
      <c r="N245" s="29" t="s">
        <v>313</v>
      </c>
      <c r="O245" s="21"/>
      <c r="P245" s="35">
        <v>45839.0</v>
      </c>
      <c r="Q245" s="36">
        <f t="shared" si="7"/>
        <v>20</v>
      </c>
      <c r="R245" s="37">
        <v>30.0</v>
      </c>
      <c r="S245" s="21"/>
      <c r="T245" s="41" t="str">
        <f>IFERROR(VLOOKUP(D245,BUSCARV!$A$1:$C$5524,2,0),"")</f>
        <v/>
      </c>
      <c r="U245" s="42"/>
      <c r="V245" s="42" t="str">
        <f t="shared" si="3"/>
        <v/>
      </c>
      <c r="W245" s="44" t="str">
        <f t="shared" si="4"/>
        <v/>
      </c>
      <c r="X245" s="44"/>
      <c r="Y245" s="45">
        <f t="shared" si="5"/>
        <v>0</v>
      </c>
      <c r="Z245" s="46" t="s">
        <v>449</v>
      </c>
      <c r="AA245" s="46" t="s">
        <v>4354</v>
      </c>
    </row>
    <row r="246">
      <c r="A246" s="91">
        <v>259.0</v>
      </c>
      <c r="B246" s="21"/>
      <c r="C246" s="29" t="s">
        <v>3</v>
      </c>
      <c r="D246" s="29" t="s">
        <v>845</v>
      </c>
      <c r="E246" s="21"/>
      <c r="F246" s="29" t="s">
        <v>1982</v>
      </c>
      <c r="G246" s="21"/>
      <c r="H246" s="48">
        <v>268.0</v>
      </c>
      <c r="I246" s="73"/>
      <c r="J246" s="99">
        <v>1238.0</v>
      </c>
      <c r="K246" s="60">
        <v>1.0</v>
      </c>
      <c r="L246" s="33">
        <f>IF('Global Precios'!J246*(1-I246)*(1+'Global Precios'!K246)&gt;10000,MROUND('Global Precios'!J246*(1-I246)*(1+'Global Precios'!K246),1000),MROUND('Global Precios'!J246*(1-I246)*(1+'Global Precios'!K246),500))</f>
        <v>2500</v>
      </c>
      <c r="M246" s="91">
        <v>1.0</v>
      </c>
      <c r="N246" s="29" t="s">
        <v>313</v>
      </c>
      <c r="O246" s="21"/>
      <c r="P246" s="35">
        <v>45597.0</v>
      </c>
      <c r="Q246" s="36">
        <f t="shared" si="7"/>
        <v>15</v>
      </c>
      <c r="R246" s="37">
        <v>30.0</v>
      </c>
      <c r="S246" s="21"/>
      <c r="T246" s="41" t="str">
        <f>IFERROR(VLOOKUP(D246,BUSCARV!$A$1:$C$5524,2,0),"")</f>
        <v/>
      </c>
      <c r="U246" s="42"/>
      <c r="V246" s="42" t="str">
        <f t="shared" si="3"/>
        <v/>
      </c>
      <c r="W246" s="44" t="str">
        <f t="shared" si="4"/>
        <v/>
      </c>
      <c r="X246" s="44"/>
      <c r="Y246" s="45">
        <f t="shared" si="5"/>
        <v>0</v>
      </c>
      <c r="Z246" s="46" t="s">
        <v>1075</v>
      </c>
      <c r="AA246" s="46" t="s">
        <v>4355</v>
      </c>
    </row>
    <row r="247">
      <c r="A247" s="91">
        <v>260.0</v>
      </c>
      <c r="B247" s="21"/>
      <c r="C247" s="29" t="s">
        <v>3</v>
      </c>
      <c r="D247" s="19" t="s">
        <v>4356</v>
      </c>
      <c r="E247" s="21"/>
      <c r="F247" s="29" t="s">
        <v>1982</v>
      </c>
      <c r="G247" s="50" t="s">
        <v>2316</v>
      </c>
      <c r="H247" s="48">
        <v>1177.0</v>
      </c>
      <c r="I247" s="73"/>
      <c r="J247" s="99">
        <v>5719.0</v>
      </c>
      <c r="K247" s="60">
        <v>1.0</v>
      </c>
      <c r="L247" s="33">
        <f>IF('Global Precios'!J247*(1-I247)*(1+'Global Precios'!K247)&gt;10000,MROUND('Global Precios'!J247*(1-I247)*(1+'Global Precios'!K247),1000),MROUND('Global Precios'!J247*(1-I247)*(1+'Global Precios'!K247),500))</f>
        <v>11000</v>
      </c>
      <c r="M247" s="91">
        <v>1.0</v>
      </c>
      <c r="N247" s="29" t="s">
        <v>313</v>
      </c>
      <c r="O247" s="21"/>
      <c r="P247" s="35">
        <v>45839.0</v>
      </c>
      <c r="Q247" s="36">
        <f t="shared" si="7"/>
        <v>28</v>
      </c>
      <c r="R247" s="37">
        <v>30.0</v>
      </c>
      <c r="S247" s="21"/>
      <c r="T247" s="41" t="str">
        <f>IFERROR(VLOOKUP(D247,BUSCARV!$A$1:$C$5524,2,0),"")</f>
        <v/>
      </c>
      <c r="U247" s="42"/>
      <c r="V247" s="42" t="str">
        <f t="shared" si="3"/>
        <v/>
      </c>
      <c r="W247" s="44" t="str">
        <f t="shared" si="4"/>
        <v/>
      </c>
      <c r="X247" s="44"/>
      <c r="Y247" s="45">
        <f t="shared" si="5"/>
        <v>0</v>
      </c>
      <c r="Z247" s="46" t="s">
        <v>449</v>
      </c>
      <c r="AA247" s="46" t="s">
        <v>4357</v>
      </c>
    </row>
    <row r="248">
      <c r="A248" s="91">
        <v>261.0</v>
      </c>
      <c r="B248" s="21"/>
      <c r="C248" s="29" t="s">
        <v>3</v>
      </c>
      <c r="D248" s="29" t="s">
        <v>862</v>
      </c>
      <c r="E248" s="21"/>
      <c r="F248" s="29" t="s">
        <v>1982</v>
      </c>
      <c r="G248" s="21"/>
      <c r="H248" s="48">
        <v>492.0</v>
      </c>
      <c r="I248" s="73"/>
      <c r="J248" s="99">
        <v>1358.0</v>
      </c>
      <c r="K248" s="60">
        <v>1.0</v>
      </c>
      <c r="L248" s="33">
        <f>IF('Global Precios'!J248*(1-I248)*(1+'Global Precios'!K248)&gt;1000,MROUND('Global Precios'!J248*(1-I248)*(1+'Global Precios'!K248),100),MROUND('Global Precios'!J248*(1-I248)*(1+'Global Precios'!K248),10))</f>
        <v>2700</v>
      </c>
      <c r="M248" s="91">
        <v>1.0</v>
      </c>
      <c r="N248" s="29" t="s">
        <v>313</v>
      </c>
      <c r="O248" s="21"/>
      <c r="P248" s="35">
        <v>45323.0</v>
      </c>
      <c r="Q248" s="36">
        <f t="shared" si="7"/>
        <v>25</v>
      </c>
      <c r="R248" s="37">
        <v>30.0</v>
      </c>
      <c r="S248" s="21"/>
      <c r="T248" s="41" t="str">
        <f>IFERROR(VLOOKUP(D248,BUSCARV!$A$1:$C$5524,2,0),"")</f>
        <v/>
      </c>
      <c r="U248" s="63"/>
      <c r="V248" s="42" t="str">
        <f t="shared" si="3"/>
        <v/>
      </c>
      <c r="W248" s="44" t="str">
        <f t="shared" si="4"/>
        <v/>
      </c>
      <c r="X248" s="44"/>
      <c r="Y248" s="45">
        <f t="shared" si="5"/>
        <v>0</v>
      </c>
      <c r="Z248" s="46" t="s">
        <v>1075</v>
      </c>
      <c r="AA248" s="46" t="s">
        <v>4358</v>
      </c>
    </row>
    <row r="249">
      <c r="A249" s="91">
        <v>262.0</v>
      </c>
      <c r="B249" s="21"/>
      <c r="C249" s="29" t="s">
        <v>3</v>
      </c>
      <c r="D249" s="21" t="s">
        <v>865</v>
      </c>
      <c r="E249" s="29" t="s">
        <v>2625</v>
      </c>
      <c r="F249" s="29" t="s">
        <v>2308</v>
      </c>
      <c r="G249" s="21"/>
      <c r="H249" s="31">
        <f>IF(J249="","",J249/1.21)</f>
        <v>2093.38843</v>
      </c>
      <c r="I249" s="73"/>
      <c r="J249" s="99">
        <v>2533.0</v>
      </c>
      <c r="K249" s="58">
        <v>1.0</v>
      </c>
      <c r="L249" s="33">
        <f>IF('Global Precios'!J249*(1-I249)*(1+'Global Precios'!K249)&gt;10000,MROUND('Global Precios'!J249*(1-I249)*(1+'Global Precios'!K249),1000),MROUND('Global Precios'!J249*(1-I249)*(1+'Global Precios'!K249),500))</f>
        <v>5000</v>
      </c>
      <c r="M249" s="91">
        <v>1.0</v>
      </c>
      <c r="N249" s="29" t="s">
        <v>313</v>
      </c>
      <c r="O249" s="21"/>
      <c r="P249" s="35">
        <v>45839.0</v>
      </c>
      <c r="Q249" s="36">
        <f t="shared" si="7"/>
        <v>31</v>
      </c>
      <c r="R249" s="37">
        <v>30.0</v>
      </c>
      <c r="S249" s="21"/>
      <c r="T249" s="41">
        <f>IFERROR(VLOOKUP(D249,BUSCARV!$A$1:$C$5524,2,0),"")</f>
        <v>2533</v>
      </c>
      <c r="U249" s="42"/>
      <c r="V249" s="42">
        <f t="shared" si="3"/>
        <v>2533</v>
      </c>
      <c r="W249" s="44">
        <f t="shared" si="4"/>
        <v>0</v>
      </c>
      <c r="X249" s="44"/>
      <c r="Y249" s="45">
        <f t="shared" si="5"/>
        <v>0</v>
      </c>
      <c r="Z249" s="46" t="s">
        <v>449</v>
      </c>
      <c r="AA249" s="46"/>
    </row>
    <row r="250">
      <c r="A250" s="91">
        <v>263.0</v>
      </c>
      <c r="B250" s="21"/>
      <c r="C250" s="29" t="s">
        <v>3</v>
      </c>
      <c r="D250" s="29" t="s">
        <v>4359</v>
      </c>
      <c r="E250" s="21"/>
      <c r="F250" s="29" t="s">
        <v>1982</v>
      </c>
      <c r="G250" s="21"/>
      <c r="H250" s="48">
        <v>195.0</v>
      </c>
      <c r="I250" s="73"/>
      <c r="J250" s="99">
        <v>1095.0</v>
      </c>
      <c r="K250" s="60">
        <v>1.0</v>
      </c>
      <c r="L250" s="33">
        <f>IF('Global Precios'!J250*(1-I250)*(1+'Global Precios'!K250)&gt;10000,MROUND('Global Precios'!J250*(1-I250)*(1+'Global Precios'!K250),1000),MROUND('Global Precios'!J250*(1-I250)*(1+'Global Precios'!K250),500))</f>
        <v>2000</v>
      </c>
      <c r="M250" s="91">
        <v>1.0</v>
      </c>
      <c r="N250" s="29" t="s">
        <v>313</v>
      </c>
      <c r="O250" s="21"/>
      <c r="P250" s="35">
        <v>45839.0</v>
      </c>
      <c r="Q250" s="36">
        <f t="shared" si="7"/>
        <v>19</v>
      </c>
      <c r="R250" s="37">
        <v>30.0</v>
      </c>
      <c r="S250" s="21"/>
      <c r="T250" s="41" t="str">
        <f>IFERROR(VLOOKUP(D250,BUSCARV!$A$1:$C$5524,2,0),"")</f>
        <v/>
      </c>
      <c r="U250" s="42"/>
      <c r="V250" s="42" t="str">
        <f t="shared" si="3"/>
        <v/>
      </c>
      <c r="W250" s="44" t="str">
        <f t="shared" si="4"/>
        <v/>
      </c>
      <c r="X250" s="44"/>
      <c r="Y250" s="45">
        <f t="shared" si="5"/>
        <v>0</v>
      </c>
      <c r="Z250" s="46" t="s">
        <v>449</v>
      </c>
      <c r="AA250" s="96" t="s">
        <v>4360</v>
      </c>
    </row>
    <row r="251">
      <c r="A251" s="91">
        <v>264.0</v>
      </c>
      <c r="B251" s="21"/>
      <c r="C251" s="29" t="s">
        <v>3</v>
      </c>
      <c r="D251" s="29" t="s">
        <v>873</v>
      </c>
      <c r="E251" s="21"/>
      <c r="F251" s="29" t="s">
        <v>1982</v>
      </c>
      <c r="G251" s="21"/>
      <c r="H251" s="48">
        <v>80.0</v>
      </c>
      <c r="I251" s="73"/>
      <c r="J251" s="99">
        <v>1095.0</v>
      </c>
      <c r="K251" s="60">
        <v>1.0</v>
      </c>
      <c r="L251" s="33">
        <f>IF('Global Precios'!J251*(1-I251)*(1+'Global Precios'!K251)&gt;10000,MROUND('Global Precios'!J251*(1-I251)*(1+'Global Precios'!K251),1000),MROUND('Global Precios'!J251*(1-I251)*(1+'Global Precios'!K251),500))</f>
        <v>2000</v>
      </c>
      <c r="M251" s="91">
        <v>1.0</v>
      </c>
      <c r="N251" s="29" t="s">
        <v>313</v>
      </c>
      <c r="O251" s="21"/>
      <c r="P251" s="35">
        <v>45839.0</v>
      </c>
      <c r="Q251" s="36">
        <f t="shared" si="7"/>
        <v>30</v>
      </c>
      <c r="R251" s="37">
        <v>30.0</v>
      </c>
      <c r="S251" s="21"/>
      <c r="T251" s="41" t="str">
        <f>IFERROR(VLOOKUP(D251,BUSCARV!$A$1:$C$5524,2,0),"")</f>
        <v/>
      </c>
      <c r="U251" s="42"/>
      <c r="V251" s="42" t="str">
        <f t="shared" si="3"/>
        <v/>
      </c>
      <c r="W251" s="44" t="str">
        <f t="shared" si="4"/>
        <v/>
      </c>
      <c r="X251" s="44"/>
      <c r="Y251" s="45">
        <f t="shared" si="5"/>
        <v>0</v>
      </c>
      <c r="Z251" s="46" t="s">
        <v>449</v>
      </c>
      <c r="AA251" s="96" t="s">
        <v>4361</v>
      </c>
    </row>
    <row r="252">
      <c r="A252" s="91">
        <v>265.0</v>
      </c>
      <c r="B252" s="21"/>
      <c r="C252" s="29" t="s">
        <v>3</v>
      </c>
      <c r="D252" s="29" t="s">
        <v>876</v>
      </c>
      <c r="E252" s="21"/>
      <c r="F252" s="29" t="s">
        <v>1982</v>
      </c>
      <c r="G252" s="50" t="s">
        <v>2316</v>
      </c>
      <c r="H252" s="48">
        <v>482.0</v>
      </c>
      <c r="I252" s="105"/>
      <c r="J252" s="99">
        <v>1999.0</v>
      </c>
      <c r="K252" s="60">
        <v>0.8</v>
      </c>
      <c r="L252" s="33">
        <f>IF('Global Precios'!J252*(1-I252)*(1+'Global Precios'!K252)&gt;1000,MROUND('Global Precios'!J252*(1-I252)*(1+'Global Precios'!K252),100),MROUND('Global Precios'!J252*(1-I252)*(1+'Global Precios'!K252),10))</f>
        <v>3600</v>
      </c>
      <c r="M252" s="91">
        <v>1.0</v>
      </c>
      <c r="N252" s="29" t="s">
        <v>313</v>
      </c>
      <c r="O252" s="21"/>
      <c r="P252" s="35">
        <v>45383.0</v>
      </c>
      <c r="Q252" s="36">
        <f t="shared" si="7"/>
        <v>19</v>
      </c>
      <c r="R252" s="37">
        <v>30.0</v>
      </c>
      <c r="S252" s="21"/>
      <c r="T252" s="41" t="str">
        <f>IFERROR(VLOOKUP(D252,BUSCARV!$A$1:$C$5524,2,0),"")</f>
        <v/>
      </c>
      <c r="U252" s="63"/>
      <c r="V252" s="42" t="str">
        <f t="shared" si="3"/>
        <v/>
      </c>
      <c r="W252" s="44" t="str">
        <f t="shared" si="4"/>
        <v/>
      </c>
      <c r="X252" s="44"/>
      <c r="Y252" s="45">
        <f t="shared" si="5"/>
        <v>0</v>
      </c>
      <c r="Z252" s="46" t="s">
        <v>1075</v>
      </c>
      <c r="AA252" s="46"/>
    </row>
    <row r="253">
      <c r="A253" s="91">
        <v>266.0</v>
      </c>
      <c r="B253" s="21"/>
      <c r="C253" s="29" t="s">
        <v>3</v>
      </c>
      <c r="D253" s="29" t="s">
        <v>879</v>
      </c>
      <c r="E253" s="21"/>
      <c r="F253" s="29" t="s">
        <v>1982</v>
      </c>
      <c r="G253" s="50" t="s">
        <v>2316</v>
      </c>
      <c r="H253" s="48">
        <v>524.0</v>
      </c>
      <c r="I253" s="105"/>
      <c r="J253" s="99">
        <v>1582.0</v>
      </c>
      <c r="K253" s="60">
        <v>0.8</v>
      </c>
      <c r="L253" s="33">
        <f>IF('Global Precios'!J253*(1-I253)*(1+'Global Precios'!K253)&gt;1000,MROUND('Global Precios'!J253*(1-I253)*(1+'Global Precios'!K253),100),MROUND('Global Precios'!J253*(1-I253)*(1+'Global Precios'!K253),10))</f>
        <v>2800</v>
      </c>
      <c r="M253" s="91">
        <v>1.0</v>
      </c>
      <c r="N253" s="29" t="s">
        <v>313</v>
      </c>
      <c r="O253" s="21"/>
      <c r="P253" s="35">
        <v>45323.0</v>
      </c>
      <c r="Q253" s="36">
        <f t="shared" si="7"/>
        <v>19</v>
      </c>
      <c r="R253" s="37">
        <v>30.0</v>
      </c>
      <c r="S253" s="21"/>
      <c r="T253" s="41" t="str">
        <f>IFERROR(VLOOKUP(D253,BUSCARV!$A$1:$C$5524,2,0),"")</f>
        <v/>
      </c>
      <c r="U253" s="63"/>
      <c r="V253" s="42" t="str">
        <f t="shared" si="3"/>
        <v/>
      </c>
      <c r="W253" s="44" t="str">
        <f t="shared" si="4"/>
        <v/>
      </c>
      <c r="X253" s="44"/>
      <c r="Y253" s="45">
        <f t="shared" si="5"/>
        <v>0</v>
      </c>
      <c r="Z253" s="46" t="s">
        <v>1075</v>
      </c>
      <c r="AA253" s="46"/>
    </row>
    <row r="254">
      <c r="A254" s="91">
        <v>267.0</v>
      </c>
      <c r="B254" s="21"/>
      <c r="C254" s="29" t="s">
        <v>3</v>
      </c>
      <c r="D254" s="29" t="s">
        <v>882</v>
      </c>
      <c r="E254" s="21"/>
      <c r="F254" s="29" t="s">
        <v>1982</v>
      </c>
      <c r="G254" s="50" t="s">
        <v>2316</v>
      </c>
      <c r="H254" s="48">
        <v>578.0</v>
      </c>
      <c r="I254" s="105"/>
      <c r="J254" s="99">
        <v>1922.0</v>
      </c>
      <c r="K254" s="60">
        <v>0.8</v>
      </c>
      <c r="L254" s="33">
        <f>IF('Global Precios'!J254*(1-I254)*(1+'Global Precios'!K254)&gt;1000,MROUND('Global Precios'!J254*(1-I254)*(1+'Global Precios'!K254),100),MROUND('Global Precios'!J254*(1-I254)*(1+'Global Precios'!K254),10))</f>
        <v>3500</v>
      </c>
      <c r="M254" s="91">
        <v>1.0</v>
      </c>
      <c r="N254" s="29" t="s">
        <v>313</v>
      </c>
      <c r="O254" s="21"/>
      <c r="P254" s="35">
        <v>45323.0</v>
      </c>
      <c r="Q254" s="36">
        <f t="shared" si="7"/>
        <v>19</v>
      </c>
      <c r="R254" s="37">
        <v>30.0</v>
      </c>
      <c r="S254" s="21"/>
      <c r="T254" s="41" t="str">
        <f>IFERROR(VLOOKUP(D254,BUSCARV!$A$1:$C$5524,2,0),"")</f>
        <v/>
      </c>
      <c r="U254" s="63"/>
      <c r="V254" s="42" t="str">
        <f t="shared" si="3"/>
        <v/>
      </c>
      <c r="W254" s="44" t="str">
        <f t="shared" si="4"/>
        <v/>
      </c>
      <c r="X254" s="44"/>
      <c r="Y254" s="45">
        <f t="shared" si="5"/>
        <v>0</v>
      </c>
      <c r="Z254" s="46" t="s">
        <v>1075</v>
      </c>
      <c r="AA254" s="46"/>
    </row>
    <row r="255">
      <c r="A255" s="91">
        <v>268.0</v>
      </c>
      <c r="B255" s="21"/>
      <c r="C255" s="29" t="s">
        <v>3</v>
      </c>
      <c r="D255" s="29" t="s">
        <v>885</v>
      </c>
      <c r="E255" s="21"/>
      <c r="F255" s="29" t="s">
        <v>1982</v>
      </c>
      <c r="G255" s="50" t="s">
        <v>2316</v>
      </c>
      <c r="H255" s="48">
        <v>599.0</v>
      </c>
      <c r="I255" s="105"/>
      <c r="J255" s="99">
        <v>2034.0</v>
      </c>
      <c r="K255" s="60">
        <v>0.8</v>
      </c>
      <c r="L255" s="33">
        <f>IF('Global Precios'!J255*(1-I255)*(1+'Global Precios'!K255)&gt;1000,MROUND('Global Precios'!J255*(1-I255)*(1+'Global Precios'!K255),100),MROUND('Global Precios'!J255*(1-I255)*(1+'Global Precios'!K255),10))</f>
        <v>3700</v>
      </c>
      <c r="M255" s="91">
        <v>1.0</v>
      </c>
      <c r="N255" s="29" t="s">
        <v>313</v>
      </c>
      <c r="O255" s="21"/>
      <c r="P255" s="35">
        <v>45323.0</v>
      </c>
      <c r="Q255" s="36">
        <f t="shared" si="7"/>
        <v>19</v>
      </c>
      <c r="R255" s="37">
        <v>30.0</v>
      </c>
      <c r="S255" s="21"/>
      <c r="T255" s="41" t="str">
        <f>IFERROR(VLOOKUP(D255,BUSCARV!$A$1:$C$5524,2,0),"")</f>
        <v/>
      </c>
      <c r="U255" s="63"/>
      <c r="V255" s="42" t="str">
        <f t="shared" si="3"/>
        <v/>
      </c>
      <c r="W255" s="44" t="str">
        <f t="shared" si="4"/>
        <v/>
      </c>
      <c r="X255" s="44"/>
      <c r="Y255" s="45">
        <f t="shared" si="5"/>
        <v>0</v>
      </c>
      <c r="Z255" s="46" t="s">
        <v>1075</v>
      </c>
      <c r="AA255" s="46"/>
    </row>
    <row r="256">
      <c r="A256" s="91">
        <v>269.0</v>
      </c>
      <c r="B256" s="21"/>
      <c r="C256" s="29" t="s">
        <v>3</v>
      </c>
      <c r="D256" s="29" t="s">
        <v>887</v>
      </c>
      <c r="E256" s="21"/>
      <c r="F256" s="29" t="s">
        <v>2308</v>
      </c>
      <c r="G256" s="29" t="s">
        <v>2346</v>
      </c>
      <c r="H256" s="31">
        <f t="shared" ref="H256:H266" si="15">IF(J256="","",J256/1.21)</f>
        <v>1818.181818</v>
      </c>
      <c r="I256" s="73"/>
      <c r="J256" s="99">
        <v>2200.0</v>
      </c>
      <c r="K256" s="58">
        <v>1.0</v>
      </c>
      <c r="L256" s="33">
        <f>IF('Global Precios'!J256*(1-I256)*(1+'Global Precios'!K256)&gt;10000,MROUND('Global Precios'!J256*(1-I256)*(1+'Global Precios'!K256),1000),MROUND('Global Precios'!J256*(1-I256)*(1+'Global Precios'!K256),500))</f>
        <v>4500</v>
      </c>
      <c r="M256" s="91">
        <v>1.0</v>
      </c>
      <c r="N256" s="29" t="s">
        <v>313</v>
      </c>
      <c r="O256" s="21"/>
      <c r="P256" s="35">
        <v>45839.0</v>
      </c>
      <c r="Q256" s="36">
        <f t="shared" si="7"/>
        <v>19</v>
      </c>
      <c r="R256" s="37">
        <v>30.0</v>
      </c>
      <c r="S256" s="21"/>
      <c r="T256" s="41" t="str">
        <f>IFERROR(VLOOKUP(D256,BUSCARV!$A$1:$C$5524,2,0),"")</f>
        <v/>
      </c>
      <c r="U256" s="42"/>
      <c r="V256" s="42" t="str">
        <f t="shared" si="3"/>
        <v/>
      </c>
      <c r="W256" s="44" t="str">
        <f t="shared" si="4"/>
        <v/>
      </c>
      <c r="X256" s="44"/>
      <c r="Y256" s="45">
        <f t="shared" si="5"/>
        <v>0</v>
      </c>
      <c r="Z256" s="46" t="s">
        <v>449</v>
      </c>
      <c r="AA256" s="46"/>
    </row>
    <row r="257">
      <c r="A257" s="91">
        <v>270.0</v>
      </c>
      <c r="B257" s="21"/>
      <c r="C257" s="29" t="s">
        <v>3</v>
      </c>
      <c r="D257" s="29" t="s">
        <v>890</v>
      </c>
      <c r="E257" s="21"/>
      <c r="F257" s="29" t="s">
        <v>2308</v>
      </c>
      <c r="G257" s="29" t="s">
        <v>2339</v>
      </c>
      <c r="H257" s="31">
        <f t="shared" si="15"/>
        <v>1304.132231</v>
      </c>
      <c r="I257" s="73"/>
      <c r="J257" s="99">
        <v>1578.0</v>
      </c>
      <c r="K257" s="58">
        <v>1.0</v>
      </c>
      <c r="L257" s="33">
        <f>IF('Global Precios'!J257*(1-I257)*(1+'Global Precios'!K257)&gt;10000,MROUND('Global Precios'!J257*(1-I257)*(1+'Global Precios'!K257),1000),MROUND('Global Precios'!J257*(1-I257)*(1+'Global Precios'!K257),500))</f>
        <v>3000</v>
      </c>
      <c r="M257" s="91">
        <v>10.0</v>
      </c>
      <c r="N257" s="29" t="s">
        <v>4287</v>
      </c>
      <c r="O257" s="21"/>
      <c r="P257" s="35">
        <v>45839.0</v>
      </c>
      <c r="Q257" s="36">
        <f t="shared" si="7"/>
        <v>43</v>
      </c>
      <c r="R257" s="37">
        <v>30.0</v>
      </c>
      <c r="S257" s="21"/>
      <c r="T257" s="41" t="str">
        <f>IFERROR(VLOOKUP(D257,BUSCARV!$A$1:$C$5524,2,0),"")</f>
        <v/>
      </c>
      <c r="U257" s="42"/>
      <c r="V257" s="42" t="str">
        <f t="shared" si="3"/>
        <v/>
      </c>
      <c r="W257" s="44" t="str">
        <f t="shared" si="4"/>
        <v/>
      </c>
      <c r="X257" s="44"/>
      <c r="Y257" s="45">
        <f t="shared" si="5"/>
        <v>0</v>
      </c>
      <c r="Z257" s="46" t="s">
        <v>449</v>
      </c>
      <c r="AA257" s="46"/>
    </row>
    <row r="258">
      <c r="A258" s="91">
        <v>271.0</v>
      </c>
      <c r="B258" s="21"/>
      <c r="C258" s="29" t="s">
        <v>3</v>
      </c>
      <c r="D258" s="29" t="s">
        <v>893</v>
      </c>
      <c r="E258" s="29"/>
      <c r="F258" s="29" t="s">
        <v>2308</v>
      </c>
      <c r="G258" s="29" t="s">
        <v>2325</v>
      </c>
      <c r="H258" s="31">
        <f t="shared" si="15"/>
        <v>3414.876033</v>
      </c>
      <c r="I258" s="73"/>
      <c r="J258" s="99">
        <v>4132.0</v>
      </c>
      <c r="K258" s="58">
        <v>0.8</v>
      </c>
      <c r="L258" s="33">
        <f>IF('Global Precios'!J258*(1-I258)*(1+'Global Precios'!K258)&gt;10000,MROUND('Global Precios'!J258*(1-I258)*(1+'Global Precios'!K258),1000),MROUND('Global Precios'!J258*(1-I258)*(1+'Global Precios'!K258),500))</f>
        <v>7500</v>
      </c>
      <c r="M258" s="91">
        <v>1.0</v>
      </c>
      <c r="N258" s="29" t="s">
        <v>313</v>
      </c>
      <c r="O258" s="21"/>
      <c r="P258" s="35">
        <v>45839.0</v>
      </c>
      <c r="Q258" s="36">
        <f t="shared" si="7"/>
        <v>27</v>
      </c>
      <c r="R258" s="37">
        <v>30.0</v>
      </c>
      <c r="S258" s="21"/>
      <c r="T258" s="41">
        <f>IFERROR(VLOOKUP(D258,BUSCARV!$A$1:$C$5524,2,0),"")</f>
        <v>4132</v>
      </c>
      <c r="U258" s="42"/>
      <c r="V258" s="42">
        <f t="shared" si="3"/>
        <v>4132</v>
      </c>
      <c r="W258" s="44">
        <f t="shared" si="4"/>
        <v>0</v>
      </c>
      <c r="X258" s="44"/>
      <c r="Y258" s="45">
        <f t="shared" si="5"/>
        <v>0</v>
      </c>
      <c r="Z258" s="46" t="s">
        <v>1075</v>
      </c>
      <c r="AA258" s="46"/>
    </row>
    <row r="259">
      <c r="A259" s="91">
        <v>272.0</v>
      </c>
      <c r="B259" s="21"/>
      <c r="C259" s="29" t="s">
        <v>3</v>
      </c>
      <c r="D259" s="29" t="s">
        <v>896</v>
      </c>
      <c r="E259" s="21"/>
      <c r="F259" s="29" t="s">
        <v>1795</v>
      </c>
      <c r="G259" s="50" t="s">
        <v>2316</v>
      </c>
      <c r="H259" s="31">
        <f t="shared" si="15"/>
        <v>6280.991736</v>
      </c>
      <c r="I259" s="65"/>
      <c r="J259" s="66">
        <v>7600.0</v>
      </c>
      <c r="K259" s="58">
        <v>0.75</v>
      </c>
      <c r="L259" s="33">
        <f>IF('Global Precios'!J259*(1-I259)*(1+'Global Precios'!K259)&gt;10000,MROUND('Global Precios'!J259*(1-I259)*(1+'Global Precios'!K259),1000),MROUND('Global Precios'!J259*(1-I259)*(1+'Global Precios'!K259),500))</f>
        <v>13000</v>
      </c>
      <c r="M259" s="91">
        <v>1.0</v>
      </c>
      <c r="N259" s="29" t="s">
        <v>313</v>
      </c>
      <c r="O259" s="21"/>
      <c r="P259" s="35">
        <v>45839.0</v>
      </c>
      <c r="Q259" s="36">
        <f t="shared" si="7"/>
        <v>33</v>
      </c>
      <c r="R259" s="37">
        <v>30.0</v>
      </c>
      <c r="S259" s="21"/>
      <c r="T259" s="41" t="str">
        <f>IFERROR(VLOOKUP(D259,BUSCARV!$A$1:$C$5524,2,0),"")</f>
        <v/>
      </c>
      <c r="U259" s="42"/>
      <c r="V259" s="42" t="str">
        <f t="shared" si="3"/>
        <v/>
      </c>
      <c r="W259" s="44" t="str">
        <f t="shared" si="4"/>
        <v/>
      </c>
      <c r="X259" s="44"/>
      <c r="Y259" s="45">
        <f t="shared" si="5"/>
        <v>0</v>
      </c>
      <c r="Z259" s="46" t="s">
        <v>449</v>
      </c>
      <c r="AA259" s="46"/>
    </row>
    <row r="260">
      <c r="A260" s="91">
        <v>283.0</v>
      </c>
      <c r="B260" s="21"/>
      <c r="C260" s="29" t="s">
        <v>3</v>
      </c>
      <c r="D260" s="19" t="s">
        <v>4362</v>
      </c>
      <c r="E260" s="21"/>
      <c r="F260" s="29" t="s">
        <v>1795</v>
      </c>
      <c r="G260" s="50" t="s">
        <v>2321</v>
      </c>
      <c r="H260" s="31">
        <f t="shared" si="15"/>
        <v>4958.677686</v>
      </c>
      <c r="I260" s="65"/>
      <c r="J260" s="66">
        <v>6000.0</v>
      </c>
      <c r="K260" s="58">
        <v>0.75</v>
      </c>
      <c r="L260" s="33">
        <f>IF('Global Precios'!J260*(1-I260)*(1+'Global Precios'!K260)&gt;10000,MROUND('Global Precios'!J260*(1-I260)*(1+'Global Precios'!K260),1000),MROUND('Global Precios'!J260*(1-I260)*(1+'Global Precios'!K260),500))</f>
        <v>11000</v>
      </c>
      <c r="M260" s="91">
        <v>1.0</v>
      </c>
      <c r="N260" s="29" t="s">
        <v>313</v>
      </c>
      <c r="O260" s="21"/>
      <c r="P260" s="35">
        <v>45839.0</v>
      </c>
      <c r="Q260" s="36">
        <f t="shared" si="7"/>
        <v>31</v>
      </c>
      <c r="R260" s="37">
        <v>30.0</v>
      </c>
      <c r="S260" s="21"/>
      <c r="T260" s="41" t="str">
        <f>IFERROR(VLOOKUP(D260,BUSCARV!$A$1:$C$5524,2,0),"")</f>
        <v/>
      </c>
      <c r="U260" s="42"/>
      <c r="V260" s="42" t="str">
        <f t="shared" si="3"/>
        <v/>
      </c>
      <c r="W260" s="44" t="str">
        <f t="shared" si="4"/>
        <v/>
      </c>
      <c r="X260" s="44"/>
      <c r="Y260" s="45">
        <f t="shared" si="5"/>
        <v>0</v>
      </c>
      <c r="Z260" s="46" t="s">
        <v>449</v>
      </c>
      <c r="AA260" s="46"/>
    </row>
    <row r="261">
      <c r="A261" s="91">
        <v>284.0</v>
      </c>
      <c r="B261" s="21"/>
      <c r="C261" s="29" t="s">
        <v>3</v>
      </c>
      <c r="D261" s="29" t="s">
        <v>904</v>
      </c>
      <c r="E261" s="21"/>
      <c r="F261" s="29" t="s">
        <v>2308</v>
      </c>
      <c r="G261" s="29" t="s">
        <v>2375</v>
      </c>
      <c r="H261" s="31">
        <f t="shared" si="15"/>
        <v>2644.628099</v>
      </c>
      <c r="I261" s="73"/>
      <c r="J261" s="66">
        <v>3200.0</v>
      </c>
      <c r="K261" s="60">
        <v>0.7</v>
      </c>
      <c r="L261" s="33">
        <f>IF('Global Precios'!J261*(1-I261)*(1+'Global Precios'!K261)&gt;10000,MROUND('Global Precios'!J261*(1-I261)*(1+'Global Precios'!K261),1000),MROUND('Global Precios'!J261*(1-I261)*(1+'Global Precios'!K261),500))</f>
        <v>5500</v>
      </c>
      <c r="M261" s="91">
        <v>1.0</v>
      </c>
      <c r="N261" s="29" t="s">
        <v>313</v>
      </c>
      <c r="O261" s="21"/>
      <c r="P261" s="35">
        <v>46054.0</v>
      </c>
      <c r="Q261" s="36">
        <f t="shared" si="7"/>
        <v>23</v>
      </c>
      <c r="R261" s="37">
        <v>30.0</v>
      </c>
      <c r="S261" s="21"/>
      <c r="T261" s="41" t="str">
        <f>IFERROR(VLOOKUP(D261,BUSCARV!$A$1:$C$5524,2,0),"")</f>
        <v/>
      </c>
      <c r="U261" s="42"/>
      <c r="V261" s="42" t="str">
        <f t="shared" si="3"/>
        <v/>
      </c>
      <c r="W261" s="44" t="str">
        <f t="shared" si="4"/>
        <v/>
      </c>
      <c r="X261" s="44"/>
      <c r="Y261" s="45">
        <f t="shared" si="5"/>
        <v>0</v>
      </c>
      <c r="Z261" s="46" t="s">
        <v>449</v>
      </c>
      <c r="AA261" s="46"/>
    </row>
    <row r="262">
      <c r="A262" s="91">
        <v>285.0</v>
      </c>
      <c r="B262" s="21"/>
      <c r="C262" s="29" t="s">
        <v>3</v>
      </c>
      <c r="D262" s="29" t="s">
        <v>907</v>
      </c>
      <c r="E262" s="21"/>
      <c r="F262" s="29" t="s">
        <v>2308</v>
      </c>
      <c r="G262" s="29" t="s">
        <v>2344</v>
      </c>
      <c r="H262" s="31">
        <f t="shared" si="15"/>
        <v>8324.793388</v>
      </c>
      <c r="I262" s="73"/>
      <c r="J262" s="99">
        <v>10073.0</v>
      </c>
      <c r="K262" s="60">
        <v>0.8</v>
      </c>
      <c r="L262" s="33">
        <f>IF('Global Precios'!J262*(1-I262)*(1+'Global Precios'!K262)&gt;10000,MROUND('Global Precios'!J262*(1-I262)*(1+'Global Precios'!K262),1000),MROUND('Global Precios'!J262*(1-I262)*(1+'Global Precios'!K262),500))</f>
        <v>18000</v>
      </c>
      <c r="M262" s="91">
        <v>1.0</v>
      </c>
      <c r="N262" s="29" t="s">
        <v>313</v>
      </c>
      <c r="O262" s="21"/>
      <c r="P262" s="35">
        <v>45839.0</v>
      </c>
      <c r="Q262" s="36">
        <f t="shared" si="7"/>
        <v>28</v>
      </c>
      <c r="R262" s="37">
        <v>30.0</v>
      </c>
      <c r="S262" s="21"/>
      <c r="T262" s="41">
        <f>IFERROR(VLOOKUP(D262,BUSCARV!$A$1:$C$5524,2,0),"")</f>
        <v>10073</v>
      </c>
      <c r="U262" s="42"/>
      <c r="V262" s="42">
        <f t="shared" si="3"/>
        <v>10073</v>
      </c>
      <c r="W262" s="44">
        <f t="shared" si="4"/>
        <v>0</v>
      </c>
      <c r="X262" s="44"/>
      <c r="Y262" s="45">
        <f t="shared" si="5"/>
        <v>0</v>
      </c>
      <c r="Z262" s="46" t="s">
        <v>449</v>
      </c>
      <c r="AA262" s="46"/>
    </row>
    <row r="263">
      <c r="A263" s="91">
        <v>286.0</v>
      </c>
      <c r="B263" s="21"/>
      <c r="C263" s="29" t="s">
        <v>3</v>
      </c>
      <c r="D263" s="29" t="s">
        <v>911</v>
      </c>
      <c r="E263" s="21"/>
      <c r="F263" s="29" t="s">
        <v>2308</v>
      </c>
      <c r="G263" s="29" t="s">
        <v>2336</v>
      </c>
      <c r="H263" s="31">
        <f t="shared" si="15"/>
        <v>4793.38843</v>
      </c>
      <c r="I263" s="73"/>
      <c r="J263" s="66">
        <v>5800.0</v>
      </c>
      <c r="K263" s="58">
        <v>1.0</v>
      </c>
      <c r="L263" s="33">
        <f>IF('Global Precios'!J263*(1-I263)*(1+'Global Precios'!K263)&gt;10000,MROUND('Global Precios'!J263*(1-I263)*(1+'Global Precios'!K263),1000),MROUND('Global Precios'!J263*(1-I263)*(1+'Global Precios'!K263),500))</f>
        <v>12000</v>
      </c>
      <c r="M263" s="91">
        <v>1.0</v>
      </c>
      <c r="N263" s="29" t="s">
        <v>313</v>
      </c>
      <c r="O263" s="21"/>
      <c r="P263" s="35">
        <v>45839.0</v>
      </c>
      <c r="Q263" s="36">
        <f t="shared" si="7"/>
        <v>38</v>
      </c>
      <c r="R263" s="37">
        <v>30.0</v>
      </c>
      <c r="S263" s="21"/>
      <c r="T263" s="41" t="str">
        <f>IFERROR(VLOOKUP(D263,BUSCARV!$A$1:$C$5524,2,0),"")</f>
        <v/>
      </c>
      <c r="U263" s="42"/>
      <c r="V263" s="42" t="str">
        <f t="shared" si="3"/>
        <v/>
      </c>
      <c r="W263" s="44" t="str">
        <f t="shared" si="4"/>
        <v/>
      </c>
      <c r="X263" s="44"/>
      <c r="Y263" s="45">
        <f t="shared" si="5"/>
        <v>0</v>
      </c>
      <c r="Z263" s="46" t="s">
        <v>449</v>
      </c>
      <c r="AA263" s="46"/>
    </row>
    <row r="264">
      <c r="A264" s="91">
        <v>287.0</v>
      </c>
      <c r="B264" s="21"/>
      <c r="C264" s="29" t="s">
        <v>3</v>
      </c>
      <c r="D264" s="29" t="s">
        <v>914</v>
      </c>
      <c r="E264" s="21"/>
      <c r="F264" s="29" t="s">
        <v>2308</v>
      </c>
      <c r="G264" s="29" t="s">
        <v>2336</v>
      </c>
      <c r="H264" s="31">
        <f t="shared" si="15"/>
        <v>41511.57025</v>
      </c>
      <c r="I264" s="73"/>
      <c r="J264" s="99">
        <v>50229.0</v>
      </c>
      <c r="K264" s="60">
        <v>0.7</v>
      </c>
      <c r="L264" s="33">
        <f>IF('Global Precios'!J264*(1-I264)*(1+'Global Precios'!K264)&gt;10000,MROUND('Global Precios'!J264*(1-I264)*(1+'Global Precios'!K264),1000),MROUND('Global Precios'!J264*(1-I264)*(1+'Global Precios'!K264),500))</f>
        <v>85000</v>
      </c>
      <c r="M264" s="91">
        <v>1.0</v>
      </c>
      <c r="N264" s="29" t="s">
        <v>313</v>
      </c>
      <c r="O264" s="21"/>
      <c r="P264" s="35">
        <v>45839.0</v>
      </c>
      <c r="Q264" s="36">
        <f t="shared" si="7"/>
        <v>24</v>
      </c>
      <c r="R264" s="37">
        <v>30.0</v>
      </c>
      <c r="S264" s="21"/>
      <c r="T264" s="41">
        <f>IFERROR(VLOOKUP(D264,BUSCARV!$A$1:$C$5524,2,0),"")</f>
        <v>50229</v>
      </c>
      <c r="U264" s="42"/>
      <c r="V264" s="42">
        <f t="shared" si="3"/>
        <v>50229</v>
      </c>
      <c r="W264" s="44">
        <f t="shared" si="4"/>
        <v>0</v>
      </c>
      <c r="X264" s="44"/>
      <c r="Y264" s="45">
        <f t="shared" si="5"/>
        <v>0</v>
      </c>
      <c r="Z264" s="46" t="s">
        <v>449</v>
      </c>
      <c r="AA264" s="46"/>
    </row>
    <row r="265">
      <c r="A265" s="91">
        <v>288.0</v>
      </c>
      <c r="B265" s="21"/>
      <c r="C265" s="29" t="s">
        <v>3</v>
      </c>
      <c r="D265" s="29" t="s">
        <v>918</v>
      </c>
      <c r="E265" s="21"/>
      <c r="F265" s="29" t="s">
        <v>2308</v>
      </c>
      <c r="G265" s="29" t="s">
        <v>2378</v>
      </c>
      <c r="H265" s="31">
        <f t="shared" si="15"/>
        <v>1928.099174</v>
      </c>
      <c r="I265" s="73"/>
      <c r="J265" s="66">
        <v>2333.0</v>
      </c>
      <c r="K265" s="60">
        <v>0.8</v>
      </c>
      <c r="L265" s="33">
        <f>IF('Global Precios'!J265*(1-I265)*(1+'Global Precios'!K265)&gt;10000,MROUND('Global Precios'!J265*(1-I265)*(1+'Global Precios'!K265),1000),MROUND('Global Precios'!J265*(1-I265)*(1+'Global Precios'!K265),500))</f>
        <v>4000</v>
      </c>
      <c r="M265" s="91">
        <v>10.0</v>
      </c>
      <c r="N265" s="29" t="s">
        <v>4287</v>
      </c>
      <c r="O265" s="21"/>
      <c r="P265" s="35">
        <v>45839.0</v>
      </c>
      <c r="Q265" s="36">
        <f t="shared" si="7"/>
        <v>26</v>
      </c>
      <c r="R265" s="37">
        <v>30.0</v>
      </c>
      <c r="S265" s="21"/>
      <c r="T265" s="41" t="str">
        <f>IFERROR(VLOOKUP(D265,BUSCARV!$A$1:$C$5524,2,0),"")</f>
        <v/>
      </c>
      <c r="U265" s="42"/>
      <c r="V265" s="42" t="str">
        <f t="shared" si="3"/>
        <v/>
      </c>
      <c r="W265" s="44" t="str">
        <f t="shared" si="4"/>
        <v/>
      </c>
      <c r="X265" s="44"/>
      <c r="Y265" s="45">
        <f t="shared" si="5"/>
        <v>0</v>
      </c>
      <c r="Z265" s="46" t="s">
        <v>449</v>
      </c>
      <c r="AA265" s="46"/>
    </row>
    <row r="266">
      <c r="A266" s="91">
        <v>289.0</v>
      </c>
      <c r="B266" s="21"/>
      <c r="C266" s="29" t="s">
        <v>3</v>
      </c>
      <c r="D266" s="29" t="s">
        <v>921</v>
      </c>
      <c r="E266" s="21"/>
      <c r="F266" s="29" t="s">
        <v>2308</v>
      </c>
      <c r="G266" s="29" t="s">
        <v>2333</v>
      </c>
      <c r="H266" s="31">
        <f t="shared" si="15"/>
        <v>4696.694215</v>
      </c>
      <c r="I266" s="73"/>
      <c r="J266" s="99">
        <v>5683.0</v>
      </c>
      <c r="K266" s="60">
        <v>0.8</v>
      </c>
      <c r="L266" s="33">
        <f>IF('Global Precios'!J266*(1-I266)*(1+'Global Precios'!K266)&gt;10000,MROUND('Global Precios'!J266*(1-I266)*(1+'Global Precios'!K266),1000),MROUND('Global Precios'!J266*(1-I266)*(1+'Global Precios'!K266),500))</f>
        <v>10000</v>
      </c>
      <c r="M266" s="91">
        <v>1.0</v>
      </c>
      <c r="N266" s="29" t="s">
        <v>313</v>
      </c>
      <c r="O266" s="21"/>
      <c r="P266" s="35">
        <v>45839.0</v>
      </c>
      <c r="Q266" s="36">
        <f t="shared" si="7"/>
        <v>30</v>
      </c>
      <c r="R266" s="37">
        <v>30.0</v>
      </c>
      <c r="S266" s="21"/>
      <c r="T266" s="41">
        <f>IFERROR(VLOOKUP(D266,BUSCARV!$A$1:$C$5524,2,0),"")</f>
        <v>5683</v>
      </c>
      <c r="U266" s="42"/>
      <c r="V266" s="42">
        <f t="shared" si="3"/>
        <v>5683</v>
      </c>
      <c r="W266" s="44">
        <f t="shared" si="4"/>
        <v>0</v>
      </c>
      <c r="X266" s="44"/>
      <c r="Y266" s="45">
        <f t="shared" si="5"/>
        <v>0</v>
      </c>
      <c r="Z266" s="46" t="s">
        <v>449</v>
      </c>
      <c r="AA266" s="46"/>
    </row>
    <row r="267">
      <c r="A267" s="91">
        <v>290.0</v>
      </c>
      <c r="B267" s="21"/>
      <c r="C267" s="29" t="s">
        <v>3</v>
      </c>
      <c r="D267" s="97" t="s">
        <v>925</v>
      </c>
      <c r="E267" s="21"/>
      <c r="F267" s="29" t="s">
        <v>1982</v>
      </c>
      <c r="G267" s="21"/>
      <c r="H267" s="48">
        <v>193.0</v>
      </c>
      <c r="I267" s="73"/>
      <c r="J267" s="99">
        <v>1690.0</v>
      </c>
      <c r="K267" s="58">
        <v>1.0</v>
      </c>
      <c r="L267" s="33">
        <f>IF('Global Precios'!J267*(1-I267)*(1+'Global Precios'!K267)&gt;10000,MROUND('Global Precios'!J267*(1-I267)*(1+'Global Precios'!K267),1000),MROUND('Global Precios'!J267*(1-I267)*(1+'Global Precios'!K267),500))</f>
        <v>3500</v>
      </c>
      <c r="M267" s="91">
        <v>1.0</v>
      </c>
      <c r="N267" s="29" t="s">
        <v>313</v>
      </c>
      <c r="O267" s="21"/>
      <c r="P267" s="35">
        <v>45839.0</v>
      </c>
      <c r="Q267" s="36">
        <f t="shared" si="7"/>
        <v>21</v>
      </c>
      <c r="R267" s="37">
        <v>30.0</v>
      </c>
      <c r="S267" s="21"/>
      <c r="T267" s="41">
        <f>IFERROR(VLOOKUP(D267,BUSCARV!$A$1:$C$5524,2,0),"")</f>
        <v>1853</v>
      </c>
      <c r="U267" s="42"/>
      <c r="V267" s="42">
        <f t="shared" si="3"/>
        <v>1853</v>
      </c>
      <c r="W267" s="44">
        <f t="shared" si="4"/>
        <v>0.09644970414</v>
      </c>
      <c r="X267" s="44"/>
      <c r="Y267" s="45">
        <f t="shared" si="5"/>
        <v>0</v>
      </c>
      <c r="Z267" s="46" t="s">
        <v>449</v>
      </c>
      <c r="AA267" s="46"/>
    </row>
    <row r="268">
      <c r="A268" s="91">
        <v>291.0</v>
      </c>
      <c r="B268" s="21"/>
      <c r="C268" s="29" t="s">
        <v>3</v>
      </c>
      <c r="D268" s="29" t="s">
        <v>928</v>
      </c>
      <c r="E268" s="21"/>
      <c r="F268" s="29" t="s">
        <v>1982</v>
      </c>
      <c r="G268" s="21"/>
      <c r="H268" s="48">
        <v>235.0</v>
      </c>
      <c r="I268" s="73"/>
      <c r="J268" s="99">
        <v>2035.0</v>
      </c>
      <c r="K268" s="58">
        <v>1.0</v>
      </c>
      <c r="L268" s="33">
        <f>IF('Global Precios'!J268*(1-I268)*(1+'Global Precios'!K268)&gt;10000,MROUND('Global Precios'!J268*(1-I268)*(1+'Global Precios'!K268),1000),MROUND('Global Precios'!J268*(1-I268)*(1+'Global Precios'!K268),500))</f>
        <v>4000</v>
      </c>
      <c r="M268" s="91">
        <v>1.0</v>
      </c>
      <c r="N268" s="29" t="s">
        <v>313</v>
      </c>
      <c r="O268" s="21"/>
      <c r="P268" s="35">
        <v>45839.0</v>
      </c>
      <c r="Q268" s="36">
        <f t="shared" si="7"/>
        <v>21</v>
      </c>
      <c r="R268" s="37">
        <v>30.0</v>
      </c>
      <c r="S268" s="21"/>
      <c r="T268" s="41">
        <f>IFERROR(VLOOKUP(D268,BUSCARV!$A$1:$C$5524,2,0),"")</f>
        <v>1935</v>
      </c>
      <c r="U268" s="42"/>
      <c r="V268" s="42">
        <f t="shared" si="3"/>
        <v>1935</v>
      </c>
      <c r="W268" s="44">
        <f t="shared" si="4"/>
        <v>-0.04914004914</v>
      </c>
      <c r="X268" s="44"/>
      <c r="Y268" s="45">
        <f t="shared" si="5"/>
        <v>0</v>
      </c>
      <c r="Z268" s="46" t="s">
        <v>449</v>
      </c>
      <c r="AA268" s="46"/>
    </row>
    <row r="269">
      <c r="A269" s="91">
        <v>292.0</v>
      </c>
      <c r="B269" s="21"/>
      <c r="C269" s="29" t="s">
        <v>3</v>
      </c>
      <c r="D269" s="29" t="s">
        <v>932</v>
      </c>
      <c r="E269" s="21"/>
      <c r="F269" s="29" t="s">
        <v>1982</v>
      </c>
      <c r="G269" s="21"/>
      <c r="H269" s="48">
        <v>246.0</v>
      </c>
      <c r="I269" s="73"/>
      <c r="J269" s="99">
        <v>2678.0</v>
      </c>
      <c r="K269" s="58">
        <v>1.0</v>
      </c>
      <c r="L269" s="33">
        <f>IF('Global Precios'!J269*(1-I269)*(1+'Global Precios'!K269)&gt;10000,MROUND('Global Precios'!J269*(1-I269)*(1+'Global Precios'!K269),1000),MROUND('Global Precios'!J269*(1-I269)*(1+'Global Precios'!K269),500))</f>
        <v>5500</v>
      </c>
      <c r="M269" s="91">
        <v>1.0</v>
      </c>
      <c r="N269" s="29" t="s">
        <v>313</v>
      </c>
      <c r="O269" s="21"/>
      <c r="P269" s="35">
        <v>45839.0</v>
      </c>
      <c r="Q269" s="36">
        <f t="shared" si="7"/>
        <v>21</v>
      </c>
      <c r="R269" s="37">
        <v>30.0</v>
      </c>
      <c r="S269" s="21"/>
      <c r="T269" s="41">
        <f>IFERROR(VLOOKUP(D269,BUSCARV!$A$1:$C$5524,2,0),"")</f>
        <v>2940</v>
      </c>
      <c r="U269" s="42"/>
      <c r="V269" s="42">
        <f t="shared" si="3"/>
        <v>2940</v>
      </c>
      <c r="W269" s="44">
        <f t="shared" si="4"/>
        <v>0.09783420463</v>
      </c>
      <c r="X269" s="44"/>
      <c r="Y269" s="45">
        <f t="shared" si="5"/>
        <v>0</v>
      </c>
      <c r="Z269" s="46" t="s">
        <v>449</v>
      </c>
      <c r="AA269" s="46"/>
    </row>
    <row r="270">
      <c r="A270" s="91">
        <v>293.0</v>
      </c>
      <c r="B270" s="21"/>
      <c r="C270" s="29" t="s">
        <v>3</v>
      </c>
      <c r="D270" s="29" t="s">
        <v>935</v>
      </c>
      <c r="E270" s="21"/>
      <c r="F270" s="29" t="s">
        <v>1982</v>
      </c>
      <c r="G270" s="21"/>
      <c r="H270" s="48">
        <v>321.0</v>
      </c>
      <c r="I270" s="73"/>
      <c r="J270" s="99">
        <v>3749.0</v>
      </c>
      <c r="K270" s="58">
        <v>1.0</v>
      </c>
      <c r="L270" s="33">
        <f>IF('Global Precios'!J270*(1-I270)*(1+'Global Precios'!K270)&gt;10000,MROUND('Global Precios'!J270*(1-I270)*(1+'Global Precios'!K270),1000),MROUND('Global Precios'!J270*(1-I270)*(1+'Global Precios'!K270),500))</f>
        <v>7500</v>
      </c>
      <c r="M270" s="91">
        <v>1.0</v>
      </c>
      <c r="N270" s="29" t="s">
        <v>313</v>
      </c>
      <c r="O270" s="21"/>
      <c r="P270" s="35">
        <v>45839.0</v>
      </c>
      <c r="Q270" s="36">
        <f t="shared" si="7"/>
        <v>21</v>
      </c>
      <c r="R270" s="37">
        <v>30.0</v>
      </c>
      <c r="S270" s="21"/>
      <c r="T270" s="41">
        <f>IFERROR(VLOOKUP(D270,BUSCARV!$A$1:$C$5524,2,0),"")</f>
        <v>3714</v>
      </c>
      <c r="U270" s="42"/>
      <c r="V270" s="42">
        <f t="shared" si="3"/>
        <v>3714</v>
      </c>
      <c r="W270" s="44">
        <f t="shared" si="4"/>
        <v>-0.009335822886</v>
      </c>
      <c r="X270" s="44"/>
      <c r="Y270" s="45">
        <f t="shared" si="5"/>
        <v>0</v>
      </c>
      <c r="Z270" s="46" t="s">
        <v>449</v>
      </c>
      <c r="AA270" s="46"/>
    </row>
    <row r="271">
      <c r="A271" s="91">
        <v>294.0</v>
      </c>
      <c r="B271" s="21"/>
      <c r="C271" s="29" t="s">
        <v>3</v>
      </c>
      <c r="D271" s="29" t="s">
        <v>939</v>
      </c>
      <c r="E271" s="21"/>
      <c r="F271" s="29" t="s">
        <v>1982</v>
      </c>
      <c r="G271" s="21"/>
      <c r="H271" s="48">
        <v>449.0</v>
      </c>
      <c r="I271" s="73"/>
      <c r="J271" s="99">
        <v>4498.0</v>
      </c>
      <c r="K271" s="58">
        <v>1.0</v>
      </c>
      <c r="L271" s="33">
        <f>IF('Global Precios'!J271*(1-I271)*(1+'Global Precios'!K271)&gt;10000,MROUND('Global Precios'!J271*(1-I271)*(1+'Global Precios'!K271),1000),MROUND('Global Precios'!J271*(1-I271)*(1+'Global Precios'!K271),500))</f>
        <v>9000</v>
      </c>
      <c r="M271" s="91">
        <v>1.0</v>
      </c>
      <c r="N271" s="29" t="s">
        <v>313</v>
      </c>
      <c r="O271" s="21"/>
      <c r="P271" s="35">
        <v>45839.0</v>
      </c>
      <c r="Q271" s="36">
        <f t="shared" si="7"/>
        <v>21</v>
      </c>
      <c r="R271" s="37">
        <v>30.0</v>
      </c>
      <c r="S271" s="21"/>
      <c r="T271" s="41">
        <f>IFERROR(VLOOKUP(D271,BUSCARV!$A$1:$C$5524,2,0),"")</f>
        <v>4951</v>
      </c>
      <c r="U271" s="42"/>
      <c r="V271" s="42">
        <f t="shared" si="3"/>
        <v>4951</v>
      </c>
      <c r="W271" s="44">
        <f t="shared" si="4"/>
        <v>0.1007114273</v>
      </c>
      <c r="X271" s="44"/>
      <c r="Y271" s="45">
        <f t="shared" si="5"/>
        <v>0</v>
      </c>
      <c r="Z271" s="46" t="s">
        <v>449</v>
      </c>
      <c r="AA271" s="46"/>
    </row>
    <row r="272">
      <c r="A272" s="91">
        <v>295.0</v>
      </c>
      <c r="B272" s="70"/>
      <c r="C272" s="29" t="s">
        <v>3</v>
      </c>
      <c r="D272" s="29" t="s">
        <v>942</v>
      </c>
      <c r="E272" s="70"/>
      <c r="F272" s="29" t="s">
        <v>1982</v>
      </c>
      <c r="G272" s="21"/>
      <c r="H272" s="48">
        <v>621.0</v>
      </c>
      <c r="I272" s="73"/>
      <c r="J272" s="99">
        <v>6159.0</v>
      </c>
      <c r="K272" s="58">
        <v>1.0</v>
      </c>
      <c r="L272" s="33">
        <f>IF('Global Precios'!J272*(1-I272)*(1+'Global Precios'!K272)&gt;10000,MROUND('Global Precios'!J272*(1-I272)*(1+'Global Precios'!K272),1000),MROUND('Global Precios'!J272*(1-I272)*(1+'Global Precios'!K272),500))</f>
        <v>12000</v>
      </c>
      <c r="M272" s="91">
        <v>1.0</v>
      </c>
      <c r="N272" s="29" t="s">
        <v>313</v>
      </c>
      <c r="O272" s="21"/>
      <c r="P272" s="35">
        <v>45839.0</v>
      </c>
      <c r="Q272" s="36">
        <f t="shared" si="7"/>
        <v>21</v>
      </c>
      <c r="R272" s="37">
        <v>30.0</v>
      </c>
      <c r="S272" s="21"/>
      <c r="T272" s="41">
        <f>IFERROR(VLOOKUP(D272,BUSCARV!$A$1:$C$5524,2,0),"")</f>
        <v>6418</v>
      </c>
      <c r="U272" s="42"/>
      <c r="V272" s="42">
        <f t="shared" si="3"/>
        <v>6418</v>
      </c>
      <c r="W272" s="44">
        <f t="shared" si="4"/>
        <v>0.04205228121</v>
      </c>
      <c r="X272" s="44"/>
      <c r="Y272" s="45">
        <f t="shared" si="5"/>
        <v>0</v>
      </c>
      <c r="Z272" s="46" t="s">
        <v>449</v>
      </c>
      <c r="AA272" s="46"/>
    </row>
    <row r="273">
      <c r="A273" s="91">
        <v>296.0</v>
      </c>
      <c r="B273" s="21"/>
      <c r="C273" s="29" t="s">
        <v>3</v>
      </c>
      <c r="D273" s="29" t="s">
        <v>946</v>
      </c>
      <c r="E273" s="21"/>
      <c r="F273" s="29" t="s">
        <v>1982</v>
      </c>
      <c r="G273" s="50" t="s">
        <v>2316</v>
      </c>
      <c r="H273" s="48">
        <v>910.0</v>
      </c>
      <c r="I273" s="73"/>
      <c r="J273" s="99">
        <v>9212.0</v>
      </c>
      <c r="K273" s="60">
        <v>0.8</v>
      </c>
      <c r="L273" s="33">
        <f>IF('Global Precios'!J273*(1-I273)*(1+'Global Precios'!K273)&gt;10000,MROUND('Global Precios'!J273*(1-I273)*(1+'Global Precios'!K273),1000),MROUND('Global Precios'!J273*(1-I273)*(1+'Global Precios'!K273),500))</f>
        <v>17000</v>
      </c>
      <c r="M273" s="91">
        <v>1.0</v>
      </c>
      <c r="N273" s="29" t="s">
        <v>313</v>
      </c>
      <c r="O273" s="21"/>
      <c r="P273" s="35">
        <v>45839.0</v>
      </c>
      <c r="Q273" s="36">
        <f t="shared" si="7"/>
        <v>21</v>
      </c>
      <c r="R273" s="37">
        <v>30.0</v>
      </c>
      <c r="S273" s="21"/>
      <c r="T273" s="41">
        <f>IFERROR(VLOOKUP(D273,BUSCARV!$A$1:$C$5524,2,0),"")</f>
        <v>8355</v>
      </c>
      <c r="U273" s="42"/>
      <c r="V273" s="42">
        <f t="shared" si="3"/>
        <v>8355</v>
      </c>
      <c r="W273" s="44">
        <f t="shared" si="4"/>
        <v>-0.09303082935</v>
      </c>
      <c r="X273" s="44"/>
      <c r="Y273" s="45">
        <f t="shared" si="5"/>
        <v>0</v>
      </c>
      <c r="Z273" s="46" t="s">
        <v>449</v>
      </c>
      <c r="AA273" s="46"/>
    </row>
    <row r="274">
      <c r="A274" s="91">
        <v>297.0</v>
      </c>
      <c r="B274" s="21"/>
      <c r="C274" s="29" t="s">
        <v>3</v>
      </c>
      <c r="D274" s="29" t="s">
        <v>949</v>
      </c>
      <c r="E274" s="21"/>
      <c r="F274" s="29" t="s">
        <v>1982</v>
      </c>
      <c r="G274" s="21"/>
      <c r="H274" s="48">
        <v>963.0</v>
      </c>
      <c r="I274" s="73"/>
      <c r="J274" s="99">
        <v>9639.0</v>
      </c>
      <c r="K274" s="58">
        <v>1.0</v>
      </c>
      <c r="L274" s="33">
        <f>IF('Global Precios'!J274*(1-I274)*(1+'Global Precios'!K274)&gt;10000,MROUND('Global Precios'!J274*(1-I274)*(1+'Global Precios'!K274),1000),MROUND('Global Precios'!J274*(1-I274)*(1+'Global Precios'!K274),500))</f>
        <v>19000</v>
      </c>
      <c r="M274" s="91">
        <v>1.0</v>
      </c>
      <c r="N274" s="29" t="s">
        <v>313</v>
      </c>
      <c r="O274" s="21"/>
      <c r="P274" s="35">
        <v>45839.0</v>
      </c>
      <c r="Q274" s="36">
        <f t="shared" si="7"/>
        <v>21</v>
      </c>
      <c r="R274" s="37">
        <v>30.0</v>
      </c>
      <c r="S274" s="21"/>
      <c r="T274" s="41" t="str">
        <f>IFERROR(VLOOKUP(D274,BUSCARV!$A$1:$C$5524,2,0),"")</f>
        <v/>
      </c>
      <c r="U274" s="42"/>
      <c r="V274" s="42" t="str">
        <f t="shared" si="3"/>
        <v/>
      </c>
      <c r="W274" s="44" t="str">
        <f t="shared" si="4"/>
        <v/>
      </c>
      <c r="X274" s="44"/>
      <c r="Y274" s="45">
        <f t="shared" si="5"/>
        <v>0</v>
      </c>
      <c r="Z274" s="46" t="s">
        <v>449</v>
      </c>
      <c r="AA274" s="46" t="s">
        <v>4320</v>
      </c>
    </row>
    <row r="275">
      <c r="A275" s="91">
        <v>298.0</v>
      </c>
      <c r="B275" s="21"/>
      <c r="C275" s="29" t="s">
        <v>3</v>
      </c>
      <c r="D275" s="29" t="s">
        <v>952</v>
      </c>
      <c r="E275" s="21"/>
      <c r="F275" s="29" t="s">
        <v>1982</v>
      </c>
      <c r="G275" s="21"/>
      <c r="H275" s="48">
        <v>321.0</v>
      </c>
      <c r="I275" s="73"/>
      <c r="J275" s="99">
        <v>1803.0</v>
      </c>
      <c r="K275" s="58">
        <v>1.0</v>
      </c>
      <c r="L275" s="33">
        <f>IF('Global Precios'!J275*(1-I275)*(1+'Global Precios'!K275)&gt;10000,MROUND('Global Precios'!J275*(1-I275)*(1+'Global Precios'!K275),1000),MROUND('Global Precios'!J275*(1-I275)*(1+'Global Precios'!K275),500))</f>
        <v>3500</v>
      </c>
      <c r="M275" s="91">
        <v>1.0</v>
      </c>
      <c r="N275" s="29" t="s">
        <v>313</v>
      </c>
      <c r="O275" s="21"/>
      <c r="P275" s="35">
        <v>45839.0</v>
      </c>
      <c r="Q275" s="36">
        <f t="shared" si="7"/>
        <v>15</v>
      </c>
      <c r="R275" s="37">
        <v>30.0</v>
      </c>
      <c r="S275" s="21"/>
      <c r="T275" s="41" t="str">
        <f>IFERROR(VLOOKUP(D275,BUSCARV!$A$1:$C$5524,2,0),"")</f>
        <v/>
      </c>
      <c r="U275" s="42"/>
      <c r="V275" s="42" t="str">
        <f t="shared" si="3"/>
        <v/>
      </c>
      <c r="W275" s="44" t="str">
        <f t="shared" si="4"/>
        <v/>
      </c>
      <c r="X275" s="44"/>
      <c r="Y275" s="45">
        <f t="shared" si="5"/>
        <v>0</v>
      </c>
      <c r="Z275" s="46" t="s">
        <v>449</v>
      </c>
      <c r="AA275" s="46" t="s">
        <v>4363</v>
      </c>
    </row>
    <row r="276">
      <c r="A276" s="91">
        <v>299.0</v>
      </c>
      <c r="B276" s="21"/>
      <c r="C276" s="29" t="s">
        <v>3</v>
      </c>
      <c r="D276" s="29" t="s">
        <v>956</v>
      </c>
      <c r="E276" s="21"/>
      <c r="F276" s="29" t="s">
        <v>1982</v>
      </c>
      <c r="G276" s="21"/>
      <c r="H276" s="48">
        <v>696.0</v>
      </c>
      <c r="I276" s="73"/>
      <c r="J276" s="99">
        <v>3873.0</v>
      </c>
      <c r="K276" s="58">
        <v>1.0</v>
      </c>
      <c r="L276" s="33">
        <f>IF('Global Precios'!J276*(1-I276)*(1+'Global Precios'!K276)&gt;10000,MROUND('Global Precios'!J276*(1-I276)*(1+'Global Precios'!K276),1000),MROUND('Global Precios'!J276*(1-I276)*(1+'Global Precios'!K276),500))</f>
        <v>7500</v>
      </c>
      <c r="M276" s="91">
        <v>1.0</v>
      </c>
      <c r="N276" s="29" t="s">
        <v>313</v>
      </c>
      <c r="O276" s="21"/>
      <c r="P276" s="35">
        <v>45839.0</v>
      </c>
      <c r="Q276" s="36">
        <f t="shared" si="7"/>
        <v>19</v>
      </c>
      <c r="R276" s="37">
        <v>30.0</v>
      </c>
      <c r="S276" s="21"/>
      <c r="T276" s="41" t="str">
        <f>IFERROR(VLOOKUP(D276,BUSCARV!$A$1:$C$5524,2,0),"")</f>
        <v/>
      </c>
      <c r="U276" s="42"/>
      <c r="V276" s="42" t="str">
        <f t="shared" si="3"/>
        <v/>
      </c>
      <c r="W276" s="44" t="str">
        <f t="shared" si="4"/>
        <v/>
      </c>
      <c r="X276" s="44"/>
      <c r="Y276" s="45">
        <f t="shared" si="5"/>
        <v>0</v>
      </c>
      <c r="Z276" s="46" t="s">
        <v>449</v>
      </c>
      <c r="AA276" s="46" t="s">
        <v>4364</v>
      </c>
    </row>
    <row r="277">
      <c r="A277" s="91">
        <v>300.0</v>
      </c>
      <c r="B277" s="21"/>
      <c r="C277" s="29" t="s">
        <v>3</v>
      </c>
      <c r="D277" s="29" t="s">
        <v>959</v>
      </c>
      <c r="E277" s="21"/>
      <c r="F277" s="29" t="s">
        <v>1982</v>
      </c>
      <c r="G277" s="21"/>
      <c r="H277" s="48">
        <v>278.0</v>
      </c>
      <c r="I277" s="73"/>
      <c r="J277" s="99">
        <v>1244.0</v>
      </c>
      <c r="K277" s="58">
        <v>1.0</v>
      </c>
      <c r="L277" s="33">
        <f>IF('Global Precios'!J277*(1-I277)*(1+'Global Precios'!K277)&gt;10000,MROUND('Global Precios'!J277*(1-I277)*(1+'Global Precios'!K277),1000),MROUND('Global Precios'!J277*(1-I277)*(1+'Global Precios'!K277),500))</f>
        <v>2500</v>
      </c>
      <c r="M277" s="91">
        <v>1.0</v>
      </c>
      <c r="N277" s="29" t="s">
        <v>313</v>
      </c>
      <c r="O277" s="21"/>
      <c r="P277" s="35">
        <v>45839.0</v>
      </c>
      <c r="Q277" s="36">
        <f t="shared" si="7"/>
        <v>16</v>
      </c>
      <c r="R277" s="37">
        <v>30.0</v>
      </c>
      <c r="S277" s="21"/>
      <c r="T277" s="41" t="str">
        <f>IFERROR(VLOOKUP(D277,BUSCARV!$A$1:$C$5524,2,0),"")</f>
        <v/>
      </c>
      <c r="U277" s="42"/>
      <c r="V277" s="42" t="str">
        <f t="shared" si="3"/>
        <v/>
      </c>
      <c r="W277" s="44" t="str">
        <f t="shared" si="4"/>
        <v/>
      </c>
      <c r="X277" s="44"/>
      <c r="Y277" s="45">
        <f t="shared" si="5"/>
        <v>0</v>
      </c>
      <c r="Z277" s="46" t="s">
        <v>449</v>
      </c>
      <c r="AA277" s="46" t="s">
        <v>4365</v>
      </c>
    </row>
    <row r="278">
      <c r="A278" s="91">
        <v>301.0</v>
      </c>
      <c r="B278" s="21"/>
      <c r="C278" s="29" t="s">
        <v>3</v>
      </c>
      <c r="D278" s="29" t="s">
        <v>963</v>
      </c>
      <c r="E278" s="29" t="s">
        <v>2075</v>
      </c>
      <c r="F278" s="29" t="s">
        <v>1795</v>
      </c>
      <c r="G278" s="29" t="s">
        <v>1797</v>
      </c>
      <c r="H278" s="31">
        <f>IF(J278="","",J278/1.21)</f>
        <v>1198.347107</v>
      </c>
      <c r="I278" s="65"/>
      <c r="J278" s="66">
        <v>1450.0</v>
      </c>
      <c r="K278" s="58">
        <v>0.4</v>
      </c>
      <c r="L278" s="33">
        <f>IF('Global Precios'!J278*(1-I278)*(1+'Global Precios'!K278)&gt;1000,MROUND('Global Precios'!J278*(1-I278)*(1+'Global Precios'!K278),100),MROUND('Global Precios'!J278*(1-I278)*(1+'Global Precios'!K278),10))</f>
        <v>2000</v>
      </c>
      <c r="M278" s="91">
        <v>3.0</v>
      </c>
      <c r="N278" s="29" t="s">
        <v>1823</v>
      </c>
      <c r="O278" s="21"/>
      <c r="P278" s="35">
        <v>44986.0</v>
      </c>
      <c r="Q278" s="36">
        <f t="shared" si="7"/>
        <v>39</v>
      </c>
      <c r="R278" s="37">
        <v>0.0</v>
      </c>
      <c r="S278" s="21"/>
      <c r="T278" s="41" t="str">
        <f>IFERROR(VLOOKUP(D278,BUSCARV!$A$1:$C$5524,2,0),"")</f>
        <v/>
      </c>
      <c r="U278" s="42"/>
      <c r="V278" s="42" t="str">
        <f t="shared" si="3"/>
        <v/>
      </c>
      <c r="W278" s="44" t="str">
        <f t="shared" si="4"/>
        <v/>
      </c>
      <c r="X278" s="44"/>
      <c r="Y278" s="45">
        <f t="shared" si="5"/>
        <v>0</v>
      </c>
      <c r="Z278" s="46" t="s">
        <v>1075</v>
      </c>
      <c r="AA278" s="46"/>
    </row>
    <row r="279">
      <c r="A279" s="91">
        <v>302.0</v>
      </c>
      <c r="B279" s="21"/>
      <c r="C279" s="29" t="s">
        <v>3</v>
      </c>
      <c r="D279" s="29" t="s">
        <v>966</v>
      </c>
      <c r="E279" s="21"/>
      <c r="F279" s="29" t="s">
        <v>1982</v>
      </c>
      <c r="G279" s="21"/>
      <c r="H279" s="48">
        <v>738.0</v>
      </c>
      <c r="I279" s="105"/>
      <c r="J279" s="106">
        <v>2715.0</v>
      </c>
      <c r="K279" s="58">
        <v>1.0</v>
      </c>
      <c r="L279" s="33">
        <f>IF('Global Precios'!J279*(1-I279)*(1+'Global Precios'!K279)&gt;1000,MROUND('Global Precios'!J279*(1-I279)*(1+'Global Precios'!K279),100),MROUND('Global Precios'!J279*(1-I279)*(1+'Global Precios'!K279),10))</f>
        <v>5400</v>
      </c>
      <c r="M279" s="91">
        <v>1.0</v>
      </c>
      <c r="N279" s="29" t="s">
        <v>313</v>
      </c>
      <c r="O279" s="21"/>
      <c r="P279" s="35">
        <v>45261.0</v>
      </c>
      <c r="Q279" s="36">
        <f t="shared" si="7"/>
        <v>16</v>
      </c>
      <c r="R279" s="37">
        <v>30.0</v>
      </c>
      <c r="S279" s="21"/>
      <c r="T279" s="41" t="str">
        <f>IFERROR(VLOOKUP(D279,BUSCARV!$A$1:$C$5524,2,0),"")</f>
        <v/>
      </c>
      <c r="U279" s="63"/>
      <c r="V279" s="42" t="str">
        <f t="shared" si="3"/>
        <v/>
      </c>
      <c r="W279" s="44" t="str">
        <f t="shared" si="4"/>
        <v/>
      </c>
      <c r="X279" s="44"/>
      <c r="Y279" s="45">
        <f t="shared" si="5"/>
        <v>0</v>
      </c>
      <c r="Z279" s="46" t="s">
        <v>1075</v>
      </c>
      <c r="AA279" s="46" t="s">
        <v>4366</v>
      </c>
    </row>
    <row r="280">
      <c r="A280" s="91">
        <v>303.0</v>
      </c>
      <c r="B280" s="21"/>
      <c r="C280" s="29" t="s">
        <v>3</v>
      </c>
      <c r="D280" s="19" t="s">
        <v>969</v>
      </c>
      <c r="E280" s="21"/>
      <c r="F280" s="29" t="s">
        <v>1982</v>
      </c>
      <c r="G280" s="50" t="s">
        <v>2316</v>
      </c>
      <c r="H280" s="48">
        <v>444.0</v>
      </c>
      <c r="I280" s="105"/>
      <c r="J280" s="106">
        <v>1803.0</v>
      </c>
      <c r="K280" s="58">
        <v>1.0</v>
      </c>
      <c r="L280" s="33">
        <f>IF('Global Precios'!J280*(1-I280)*(1+'Global Precios'!K280)&gt;10000,MROUND('Global Precios'!J280*(1-I280)*(1+'Global Precios'!K280),1000),MROUND('Global Precios'!J280*(1-I280)*(1+'Global Precios'!K280),500))</f>
        <v>3500</v>
      </c>
      <c r="M280" s="91">
        <v>1.0</v>
      </c>
      <c r="N280" s="29" t="s">
        <v>313</v>
      </c>
      <c r="O280" s="21"/>
      <c r="P280" s="35">
        <v>45839.0</v>
      </c>
      <c r="Q280" s="36">
        <f t="shared" si="7"/>
        <v>22</v>
      </c>
      <c r="R280" s="37">
        <v>30.0</v>
      </c>
      <c r="S280" s="21"/>
      <c r="T280" s="41" t="str">
        <f>IFERROR(VLOOKUP(D280,BUSCARV!$A$1:$C$5524,2,0),"")</f>
        <v/>
      </c>
      <c r="U280" s="42"/>
      <c r="V280" s="42" t="str">
        <f t="shared" si="3"/>
        <v/>
      </c>
      <c r="W280" s="44" t="str">
        <f t="shared" si="4"/>
        <v/>
      </c>
      <c r="X280" s="44"/>
      <c r="Y280" s="45">
        <f t="shared" si="5"/>
        <v>0</v>
      </c>
      <c r="Z280" s="46" t="s">
        <v>449</v>
      </c>
      <c r="AA280" s="46" t="s">
        <v>4367</v>
      </c>
    </row>
    <row r="281">
      <c r="A281" s="91">
        <v>304.0</v>
      </c>
      <c r="B281" s="21"/>
      <c r="C281" s="29" t="s">
        <v>3</v>
      </c>
      <c r="D281" s="29" t="s">
        <v>972</v>
      </c>
      <c r="E281" s="21"/>
      <c r="F281" s="29" t="s">
        <v>1982</v>
      </c>
      <c r="G281" s="21"/>
      <c r="H281" s="48">
        <v>488.0</v>
      </c>
      <c r="I281" s="105"/>
      <c r="J281" s="106">
        <v>953.0</v>
      </c>
      <c r="K281" s="58">
        <v>1.0</v>
      </c>
      <c r="L281" s="33">
        <f>IF('Global Precios'!J281*(1-I281)*(1+'Global Precios'!K281)&gt;1000,MROUND('Global Precios'!J281*(1-I281)*(1+'Global Precios'!K281),100),MROUND('Global Precios'!J281*(1-I281)*(1+'Global Precios'!K281),10))</f>
        <v>1900</v>
      </c>
      <c r="M281" s="91">
        <v>1.0</v>
      </c>
      <c r="N281" s="29" t="s">
        <v>313</v>
      </c>
      <c r="O281" s="21"/>
      <c r="P281" s="35">
        <v>45261.0</v>
      </c>
      <c r="Q281" s="36">
        <f t="shared" si="7"/>
        <v>12</v>
      </c>
      <c r="R281" s="37">
        <v>30.0</v>
      </c>
      <c r="S281" s="21"/>
      <c r="T281" s="41" t="str">
        <f>IFERROR(VLOOKUP(D281,BUSCARV!$A$1:$C$5524,2,0),"")</f>
        <v/>
      </c>
      <c r="U281" s="63"/>
      <c r="V281" s="42" t="str">
        <f t="shared" si="3"/>
        <v/>
      </c>
      <c r="W281" s="44" t="str">
        <f t="shared" si="4"/>
        <v/>
      </c>
      <c r="X281" s="44"/>
      <c r="Y281" s="45">
        <f t="shared" si="5"/>
        <v>0</v>
      </c>
      <c r="Z281" s="46" t="s">
        <v>1075</v>
      </c>
      <c r="AA281" s="46"/>
    </row>
    <row r="282">
      <c r="A282" s="91">
        <v>3050.0</v>
      </c>
      <c r="B282" s="21"/>
      <c r="C282" s="29" t="s">
        <v>3</v>
      </c>
      <c r="D282" s="29" t="s">
        <v>976</v>
      </c>
      <c r="E282" s="21"/>
      <c r="F282" s="29" t="s">
        <v>2308</v>
      </c>
      <c r="G282" s="29" t="s">
        <v>2329</v>
      </c>
      <c r="H282" s="31">
        <f t="shared" ref="H282:H295" si="16">IF(J282="","",J282/1.21)</f>
        <v>3852.892562</v>
      </c>
      <c r="I282" s="73"/>
      <c r="J282" s="61">
        <v>4662.0</v>
      </c>
      <c r="K282" s="62">
        <v>1.0</v>
      </c>
      <c r="L282" s="33">
        <f>IF('Global Precios'!J282*(1-I282)*(1+'Global Precios'!K282)&gt;10000,MROUND('Global Precios'!J282*(1-I282)*(1+'Global Precios'!K282),1000),MROUND('Global Precios'!J282*(1-I282)*(1+'Global Precios'!K282),500))</f>
        <v>9500</v>
      </c>
      <c r="M282" s="21"/>
      <c r="N282" s="21"/>
      <c r="O282" s="21"/>
      <c r="P282" s="35">
        <v>45839.0</v>
      </c>
      <c r="Q282" s="36">
        <f t="shared" si="7"/>
        <v>25</v>
      </c>
      <c r="R282" s="37">
        <v>30.0</v>
      </c>
      <c r="S282" s="21"/>
      <c r="T282" s="41">
        <f>IFERROR(VLOOKUP(D282,BUSCARV!$A$1:$C$5524,2,0),"")</f>
        <v>4662</v>
      </c>
      <c r="U282" s="42"/>
      <c r="V282" s="42">
        <f t="shared" si="3"/>
        <v>4662</v>
      </c>
      <c r="W282" s="44">
        <f t="shared" si="4"/>
        <v>0</v>
      </c>
      <c r="X282" s="44"/>
      <c r="Y282" s="45">
        <f t="shared" si="5"/>
        <v>0</v>
      </c>
      <c r="Z282" s="46" t="s">
        <v>449</v>
      </c>
      <c r="AA282" s="46"/>
    </row>
    <row r="283">
      <c r="A283" s="91">
        <v>305.0</v>
      </c>
      <c r="B283" s="21"/>
      <c r="C283" s="29" t="s">
        <v>3</v>
      </c>
      <c r="D283" s="21" t="s">
        <v>979</v>
      </c>
      <c r="E283" s="21"/>
      <c r="F283" s="29" t="s">
        <v>2308</v>
      </c>
      <c r="G283" s="29" t="s">
        <v>2333</v>
      </c>
      <c r="H283" s="31">
        <f t="shared" si="16"/>
        <v>4517.355372</v>
      </c>
      <c r="I283" s="73"/>
      <c r="J283" s="99">
        <v>5466.0</v>
      </c>
      <c r="K283" s="60">
        <v>0.8</v>
      </c>
      <c r="L283" s="33">
        <f>IF('Global Precios'!J283*(1-I283)*(1+'Global Precios'!K283)&gt;10000,MROUND('Global Precios'!J283*(1-I283)*(1+'Global Precios'!K283),1000),MROUND('Global Precios'!J283*(1-I283)*(1+'Global Precios'!K283),500))</f>
        <v>10000</v>
      </c>
      <c r="M283" s="21"/>
      <c r="N283" s="21"/>
      <c r="O283" s="21"/>
      <c r="P283" s="35">
        <v>45839.0</v>
      </c>
      <c r="Q283" s="36">
        <f t="shared" si="7"/>
        <v>19</v>
      </c>
      <c r="R283" s="37">
        <v>30.0</v>
      </c>
      <c r="S283" s="21"/>
      <c r="T283" s="41">
        <f>IFERROR(VLOOKUP(D283,BUSCARV!$A$1:$C$5524,2,0),"")</f>
        <v>5466</v>
      </c>
      <c r="U283" s="42"/>
      <c r="V283" s="42">
        <f t="shared" si="3"/>
        <v>5466</v>
      </c>
      <c r="W283" s="44">
        <f t="shared" si="4"/>
        <v>0</v>
      </c>
      <c r="X283" s="44"/>
      <c r="Y283" s="45">
        <f t="shared" si="5"/>
        <v>0</v>
      </c>
      <c r="Z283" s="46" t="s">
        <v>449</v>
      </c>
      <c r="AA283" s="46"/>
    </row>
    <row r="284">
      <c r="A284" s="91">
        <v>306.0</v>
      </c>
      <c r="B284" s="21"/>
      <c r="C284" s="29" t="s">
        <v>3</v>
      </c>
      <c r="D284" s="29" t="s">
        <v>982</v>
      </c>
      <c r="E284" s="21"/>
      <c r="F284" s="29" t="s">
        <v>2308</v>
      </c>
      <c r="G284" s="29" t="s">
        <v>2339</v>
      </c>
      <c r="H284" s="31">
        <f t="shared" si="16"/>
        <v>909.0909091</v>
      </c>
      <c r="I284" s="73"/>
      <c r="J284" s="99">
        <v>1100.0</v>
      </c>
      <c r="K284" s="60">
        <v>0.8</v>
      </c>
      <c r="L284" s="33">
        <f>IF('Global Precios'!J284*(1-I284)*(1+'Global Precios'!K284)&gt;10000,MROUND('Global Precios'!J284*(1-I284)*(1+'Global Precios'!K284),1000),MROUND('Global Precios'!J284*(1-I284)*(1+'Global Precios'!K284),500))</f>
        <v>2000</v>
      </c>
      <c r="M284" s="50">
        <v>1.0</v>
      </c>
      <c r="N284" s="50" t="s">
        <v>4368</v>
      </c>
      <c r="O284" s="21"/>
      <c r="P284" s="35">
        <v>45870.0</v>
      </c>
      <c r="Q284" s="36">
        <f t="shared" si="7"/>
        <v>23</v>
      </c>
      <c r="R284" s="37">
        <v>30.0</v>
      </c>
      <c r="S284" s="21"/>
      <c r="T284" s="41" t="str">
        <f>IFERROR(VLOOKUP(D284,BUSCARV!$A$1:$C$5524,2,0),"")</f>
        <v/>
      </c>
      <c r="U284" s="42"/>
      <c r="V284" s="42" t="str">
        <f t="shared" si="3"/>
        <v/>
      </c>
      <c r="W284" s="44" t="str">
        <f t="shared" si="4"/>
        <v/>
      </c>
      <c r="X284" s="44"/>
      <c r="Y284" s="45">
        <f t="shared" si="5"/>
        <v>0</v>
      </c>
      <c r="Z284" s="46" t="s">
        <v>449</v>
      </c>
      <c r="AA284" s="46"/>
    </row>
    <row r="285">
      <c r="A285" s="91">
        <v>307.0</v>
      </c>
      <c r="B285" s="21"/>
      <c r="C285" s="29" t="s">
        <v>3</v>
      </c>
      <c r="D285" s="21" t="s">
        <v>986</v>
      </c>
      <c r="E285" s="21"/>
      <c r="F285" s="29" t="s">
        <v>2308</v>
      </c>
      <c r="G285" s="29" t="s">
        <v>2325</v>
      </c>
      <c r="H285" s="31">
        <f t="shared" si="16"/>
        <v>7024.793388</v>
      </c>
      <c r="I285" s="73"/>
      <c r="J285" s="99">
        <v>8500.0</v>
      </c>
      <c r="K285" s="58">
        <v>0.8</v>
      </c>
      <c r="L285" s="33">
        <f>IF('Global Precios'!J285*(1-I285)*(1+'Global Precios'!K285)&gt;10000,MROUND('Global Precios'!J285*(1-I285)*(1+'Global Precios'!K285),1000),MROUND('Global Precios'!J285*(1-I285)*(1+'Global Precios'!K285),500))</f>
        <v>15000</v>
      </c>
      <c r="M285" s="21"/>
      <c r="N285" s="21"/>
      <c r="O285" s="21"/>
      <c r="P285" s="35">
        <v>46204.0</v>
      </c>
      <c r="Q285" s="36">
        <f t="shared" si="7"/>
        <v>16</v>
      </c>
      <c r="R285" s="37">
        <v>30.0</v>
      </c>
      <c r="S285" s="21"/>
      <c r="T285" s="41">
        <f>IFERROR(VLOOKUP(D285,BUSCARV!$A$1:$C$5524,2,0),"")</f>
        <v>6653</v>
      </c>
      <c r="U285" s="42"/>
      <c r="V285" s="42">
        <f t="shared" si="3"/>
        <v>6653</v>
      </c>
      <c r="W285" s="44">
        <f t="shared" si="4"/>
        <v>-0.2172941176</v>
      </c>
      <c r="X285" s="44"/>
      <c r="Y285" s="45">
        <f t="shared" si="5"/>
        <v>0</v>
      </c>
      <c r="Z285" s="46" t="s">
        <v>449</v>
      </c>
      <c r="AA285" s="46"/>
    </row>
    <row r="286">
      <c r="A286" s="91">
        <v>308.0</v>
      </c>
      <c r="B286" s="21"/>
      <c r="C286" s="29" t="s">
        <v>3</v>
      </c>
      <c r="D286" s="21" t="s">
        <v>989</v>
      </c>
      <c r="E286" s="21"/>
      <c r="F286" s="29" t="s">
        <v>2308</v>
      </c>
      <c r="G286" s="29" t="s">
        <v>2344</v>
      </c>
      <c r="H286" s="31">
        <f t="shared" si="16"/>
        <v>4594.214876</v>
      </c>
      <c r="I286" s="73"/>
      <c r="J286" s="99">
        <v>5559.0</v>
      </c>
      <c r="K286" s="60">
        <v>0.8</v>
      </c>
      <c r="L286" s="33">
        <f>IF('Global Precios'!J286*(1-I286)*(1+'Global Precios'!K286)&gt;10000,MROUND('Global Precios'!J286*(1-I286)*(1+'Global Precios'!K286),1000),MROUND('Global Precios'!J286*(1-I286)*(1+'Global Precios'!K286),500))</f>
        <v>10000</v>
      </c>
      <c r="M286" s="21"/>
      <c r="N286" s="21"/>
      <c r="O286" s="21"/>
      <c r="P286" s="35">
        <v>45839.0</v>
      </c>
      <c r="Q286" s="36">
        <f t="shared" si="7"/>
        <v>30</v>
      </c>
      <c r="R286" s="37">
        <v>30.0</v>
      </c>
      <c r="S286" s="21"/>
      <c r="T286" s="41" t="str">
        <f>IFERROR(VLOOKUP(D286,BUSCARV!$A$1:$C$5524,2,0),"")</f>
        <v/>
      </c>
      <c r="U286" s="42"/>
      <c r="V286" s="42" t="str">
        <f t="shared" si="3"/>
        <v/>
      </c>
      <c r="W286" s="44" t="str">
        <f t="shared" si="4"/>
        <v/>
      </c>
      <c r="X286" s="44"/>
      <c r="Y286" s="45">
        <f t="shared" si="5"/>
        <v>0</v>
      </c>
      <c r="Z286" s="46" t="s">
        <v>449</v>
      </c>
      <c r="AA286" s="46"/>
    </row>
    <row r="287">
      <c r="A287" s="91">
        <v>309.0</v>
      </c>
      <c r="B287" s="21"/>
      <c r="C287" s="29" t="s">
        <v>3</v>
      </c>
      <c r="D287" s="21" t="s">
        <v>993</v>
      </c>
      <c r="E287" s="21"/>
      <c r="F287" s="29" t="s">
        <v>2308</v>
      </c>
      <c r="G287" s="29" t="s">
        <v>2333</v>
      </c>
      <c r="H287" s="31">
        <f t="shared" si="16"/>
        <v>5128.92562</v>
      </c>
      <c r="I287" s="73"/>
      <c r="J287" s="99">
        <v>6206.0</v>
      </c>
      <c r="K287" s="60">
        <v>0.8</v>
      </c>
      <c r="L287" s="33">
        <f>IF('Global Precios'!J287*(1-I287)*(1+'Global Precios'!K287)&gt;10000,MROUND('Global Precios'!J287*(1-I287)*(1+'Global Precios'!K287),1000),MROUND('Global Precios'!J287*(1-I287)*(1+'Global Precios'!K287),500))</f>
        <v>11000</v>
      </c>
      <c r="M287" s="21"/>
      <c r="N287" s="21"/>
      <c r="O287" s="21"/>
      <c r="P287" s="35">
        <v>45839.0</v>
      </c>
      <c r="Q287" s="36">
        <f t="shared" si="7"/>
        <v>23</v>
      </c>
      <c r="R287" s="37">
        <v>30.0</v>
      </c>
      <c r="S287" s="21"/>
      <c r="T287" s="41">
        <f>IFERROR(VLOOKUP(D287,BUSCARV!$A$1:$C$5524,2,0),"")</f>
        <v>6206</v>
      </c>
      <c r="U287" s="42"/>
      <c r="V287" s="42">
        <f t="shared" si="3"/>
        <v>6206</v>
      </c>
      <c r="W287" s="44">
        <f t="shared" si="4"/>
        <v>0</v>
      </c>
      <c r="X287" s="44"/>
      <c r="Y287" s="45">
        <f t="shared" si="5"/>
        <v>0</v>
      </c>
      <c r="Z287" s="46" t="s">
        <v>449</v>
      </c>
      <c r="AA287" s="46"/>
    </row>
    <row r="288">
      <c r="A288" s="91">
        <v>310.0</v>
      </c>
      <c r="B288" s="21"/>
      <c r="C288" s="29" t="s">
        <v>3</v>
      </c>
      <c r="D288" s="21" t="s">
        <v>996</v>
      </c>
      <c r="E288" s="21"/>
      <c r="F288" s="29" t="s">
        <v>2308</v>
      </c>
      <c r="G288" s="29" t="s">
        <v>2344</v>
      </c>
      <c r="H288" s="31">
        <f t="shared" si="16"/>
        <v>2272.727273</v>
      </c>
      <c r="I288" s="73"/>
      <c r="J288" s="99">
        <v>2750.0</v>
      </c>
      <c r="K288" s="60">
        <v>0.8</v>
      </c>
      <c r="L288" s="33">
        <f>IF('Global Precios'!J288*(1-I288)*(1+'Global Precios'!K288)&gt;10000,MROUND('Global Precios'!J288*(1-I288)*(1+'Global Precios'!K288),1000),MROUND('Global Precios'!J288*(1-I288)*(1+'Global Precios'!K288),500))</f>
        <v>5000</v>
      </c>
      <c r="M288" s="21"/>
      <c r="N288" s="21"/>
      <c r="O288" s="21"/>
      <c r="P288" s="35">
        <v>45839.0</v>
      </c>
      <c r="Q288" s="36">
        <f t="shared" si="7"/>
        <v>23</v>
      </c>
      <c r="R288" s="37">
        <v>30.0</v>
      </c>
      <c r="S288" s="21"/>
      <c r="T288" s="41">
        <f>IFERROR(VLOOKUP(D288,BUSCARV!$A$1:$C$5524,2,0),"")</f>
        <v>2750</v>
      </c>
      <c r="U288" s="42"/>
      <c r="V288" s="42">
        <f t="shared" si="3"/>
        <v>2750</v>
      </c>
      <c r="W288" s="44">
        <f t="shared" si="4"/>
        <v>0</v>
      </c>
      <c r="X288" s="44"/>
      <c r="Y288" s="45">
        <f t="shared" si="5"/>
        <v>0</v>
      </c>
      <c r="Z288" s="46" t="s">
        <v>449</v>
      </c>
      <c r="AA288" s="46"/>
    </row>
    <row r="289">
      <c r="A289" s="91">
        <v>311.0</v>
      </c>
      <c r="B289" s="21"/>
      <c r="C289" s="29" t="s">
        <v>3</v>
      </c>
      <c r="D289" s="19" t="s">
        <v>999</v>
      </c>
      <c r="E289" s="21"/>
      <c r="F289" s="29" t="s">
        <v>2308</v>
      </c>
      <c r="G289" s="21"/>
      <c r="H289" s="31">
        <f t="shared" si="16"/>
        <v>3514.876033</v>
      </c>
      <c r="I289" s="73"/>
      <c r="J289" s="99">
        <v>4253.0</v>
      </c>
      <c r="K289" s="58">
        <v>0.8</v>
      </c>
      <c r="L289" s="33">
        <f>IF('Global Precios'!J289*(1-I289)*(1+'Global Precios'!K289)&gt;10000,MROUND('Global Precios'!J289*(1-I289)*(1+'Global Precios'!K289),1000),MROUND('Global Precios'!J289*(1-I289)*(1+'Global Precios'!K289),500))</f>
        <v>7500</v>
      </c>
      <c r="M289" s="21"/>
      <c r="N289" s="21"/>
      <c r="O289" s="21"/>
      <c r="P289" s="35">
        <v>45839.0</v>
      </c>
      <c r="Q289" s="36">
        <f t="shared" si="7"/>
        <v>32</v>
      </c>
      <c r="R289" s="37">
        <v>30.0</v>
      </c>
      <c r="S289" s="21"/>
      <c r="T289" s="41">
        <f>IFERROR(VLOOKUP(D289,BUSCARV!$A$1:$C$5524,2,0),"")</f>
        <v>4253</v>
      </c>
      <c r="U289" s="42"/>
      <c r="V289" s="42">
        <f t="shared" si="3"/>
        <v>4253</v>
      </c>
      <c r="W289" s="44">
        <f t="shared" si="4"/>
        <v>0</v>
      </c>
      <c r="X289" s="44"/>
      <c r="Y289" s="45">
        <f t="shared" si="5"/>
        <v>0</v>
      </c>
      <c r="Z289" s="46" t="s">
        <v>449</v>
      </c>
      <c r="AA289" s="46"/>
    </row>
    <row r="290">
      <c r="A290" s="91">
        <v>312.0</v>
      </c>
      <c r="B290" s="21"/>
      <c r="C290" s="29" t="s">
        <v>3</v>
      </c>
      <c r="D290" s="29" t="s">
        <v>1002</v>
      </c>
      <c r="E290" s="29" t="s">
        <v>4334</v>
      </c>
      <c r="F290" s="29" t="s">
        <v>1795</v>
      </c>
      <c r="G290" s="29" t="s">
        <v>1797</v>
      </c>
      <c r="H290" s="31">
        <f t="shared" si="16"/>
        <v>8930.578512</v>
      </c>
      <c r="I290" s="60">
        <v>0.08</v>
      </c>
      <c r="J290" s="66">
        <v>10806.0</v>
      </c>
      <c r="K290" s="60">
        <v>0.43</v>
      </c>
      <c r="L290" s="33">
        <f>IF('Global Precios'!J290*(1-I290)*(1+'Global Precios'!K290)&gt;1000,MROUND('Global Precios'!J290*(1-I290)*(1+'Global Precios'!K290),100),MROUND('Global Precios'!J290*(1-I290)*(1+'Global Precios'!K290),10))</f>
        <v>14200</v>
      </c>
      <c r="M290" s="50">
        <v>7.0</v>
      </c>
      <c r="N290" s="50" t="s">
        <v>4369</v>
      </c>
      <c r="O290" s="21"/>
      <c r="P290" s="35">
        <v>45017.0</v>
      </c>
      <c r="Q290" s="36">
        <f t="shared" si="7"/>
        <v>26</v>
      </c>
      <c r="R290" s="37">
        <v>30.0</v>
      </c>
      <c r="S290" s="21"/>
      <c r="T290" s="41" t="str">
        <f>IFERROR(VLOOKUP(D290,BUSCARV!$A$1:$C$5524,2,0),"")</f>
        <v/>
      </c>
      <c r="U290" s="42"/>
      <c r="V290" s="42" t="str">
        <f t="shared" si="3"/>
        <v/>
      </c>
      <c r="W290" s="44" t="str">
        <f t="shared" si="4"/>
        <v/>
      </c>
      <c r="X290" s="44"/>
      <c r="Y290" s="45">
        <f t="shared" si="5"/>
        <v>0</v>
      </c>
      <c r="Z290" s="46" t="s">
        <v>1075</v>
      </c>
      <c r="AA290" s="46"/>
    </row>
    <row r="291">
      <c r="A291" s="91">
        <v>313.0</v>
      </c>
      <c r="B291" s="21"/>
      <c r="C291" s="29" t="s">
        <v>3</v>
      </c>
      <c r="D291" s="29" t="s">
        <v>1006</v>
      </c>
      <c r="E291" s="21" t="s">
        <v>1793</v>
      </c>
      <c r="F291" s="21" t="s">
        <v>1795</v>
      </c>
      <c r="G291" s="21" t="s">
        <v>1905</v>
      </c>
      <c r="H291" s="31">
        <f t="shared" si="16"/>
        <v>909.0909091</v>
      </c>
      <c r="I291" s="60">
        <v>0.05</v>
      </c>
      <c r="J291" s="66">
        <v>1100.0</v>
      </c>
      <c r="K291" s="62">
        <v>0.4</v>
      </c>
      <c r="L291" s="33">
        <f>IF('Global Precios'!J291*(1-I291)*(1+'Global Precios'!K291)&gt;10000,MROUND('Global Precios'!J291*(1-I291)*(1+'Global Precios'!K291),1000),MROUND('Global Precios'!J291*(1-I291)*(1+'Global Precios'!K291),500))</f>
        <v>1500</v>
      </c>
      <c r="M291" s="27">
        <v>0.85</v>
      </c>
      <c r="N291" s="34" t="s">
        <v>1823</v>
      </c>
      <c r="O291" s="64" t="s">
        <v>2057</v>
      </c>
      <c r="P291" s="35">
        <v>45597.0</v>
      </c>
      <c r="Q291" s="36">
        <f t="shared" si="7"/>
        <v>40</v>
      </c>
      <c r="R291" s="37">
        <v>30.0</v>
      </c>
      <c r="S291" s="21"/>
      <c r="T291" s="41" t="str">
        <f>IFERROR(VLOOKUP(D291,BUSCARV!$A$1:$C$5524,2,0),"")</f>
        <v/>
      </c>
      <c r="U291" s="42"/>
      <c r="V291" s="42" t="str">
        <f t="shared" si="3"/>
        <v/>
      </c>
      <c r="W291" s="44" t="str">
        <f t="shared" si="4"/>
        <v/>
      </c>
      <c r="X291" s="44"/>
      <c r="Y291" s="45">
        <f t="shared" si="5"/>
        <v>0</v>
      </c>
      <c r="Z291" s="46" t="s">
        <v>1075</v>
      </c>
      <c r="AA291" s="46"/>
    </row>
    <row r="292">
      <c r="A292" s="91">
        <v>314.0</v>
      </c>
      <c r="B292" s="21"/>
      <c r="C292" s="29" t="s">
        <v>3</v>
      </c>
      <c r="D292" s="29" t="s">
        <v>1009</v>
      </c>
      <c r="E292" s="21" t="s">
        <v>1793</v>
      </c>
      <c r="F292" s="21" t="s">
        <v>1795</v>
      </c>
      <c r="G292" s="21" t="s">
        <v>1905</v>
      </c>
      <c r="H292" s="31">
        <f t="shared" si="16"/>
        <v>826.446281</v>
      </c>
      <c r="I292" s="60">
        <v>0.05</v>
      </c>
      <c r="J292" s="66">
        <v>1000.0</v>
      </c>
      <c r="K292" s="62">
        <v>0.4</v>
      </c>
      <c r="L292" s="33">
        <f>IF('Global Precios'!J292*(1-I292)*(1+'Global Precios'!K292)&gt;10000,MROUND('Global Precios'!J292*(1-I292)*(1+'Global Precios'!K292),1000),MROUND('Global Precios'!J292*(1-I292)*(1+'Global Precios'!K292),500))</f>
        <v>1500</v>
      </c>
      <c r="M292" s="27">
        <v>0.85</v>
      </c>
      <c r="N292" s="34" t="s">
        <v>1823</v>
      </c>
      <c r="O292" s="64" t="s">
        <v>2057</v>
      </c>
      <c r="P292" s="35">
        <v>45597.0</v>
      </c>
      <c r="Q292" s="36">
        <f t="shared" si="7"/>
        <v>42</v>
      </c>
      <c r="R292" s="37">
        <v>30.0</v>
      </c>
      <c r="S292" s="21"/>
      <c r="T292" s="41" t="str">
        <f>IFERROR(VLOOKUP(D292,BUSCARV!$A$1:$C$5524,2,0),"")</f>
        <v/>
      </c>
      <c r="U292" s="42"/>
      <c r="V292" s="42" t="str">
        <f t="shared" si="3"/>
        <v/>
      </c>
      <c r="W292" s="44" t="str">
        <f t="shared" si="4"/>
        <v/>
      </c>
      <c r="X292" s="44"/>
      <c r="Y292" s="45">
        <f t="shared" si="5"/>
        <v>0</v>
      </c>
      <c r="Z292" s="46" t="s">
        <v>1075</v>
      </c>
      <c r="AA292" s="46"/>
    </row>
    <row r="293">
      <c r="A293" s="91">
        <v>315.0</v>
      </c>
      <c r="B293" s="21"/>
      <c r="C293" s="29" t="s">
        <v>3</v>
      </c>
      <c r="D293" s="29" t="s">
        <v>1013</v>
      </c>
      <c r="E293" s="21" t="s">
        <v>1793</v>
      </c>
      <c r="F293" s="21" t="s">
        <v>1795</v>
      </c>
      <c r="G293" s="21" t="s">
        <v>1905</v>
      </c>
      <c r="H293" s="31">
        <f t="shared" si="16"/>
        <v>684.2975207</v>
      </c>
      <c r="I293" s="60">
        <v>0.05</v>
      </c>
      <c r="J293" s="66">
        <v>828.0</v>
      </c>
      <c r="K293" s="62">
        <v>0.4</v>
      </c>
      <c r="L293" s="33">
        <f>IF('Global Precios'!J293*(1-I293)*(1+'Global Precios'!K293)&gt;1000,MROUND('Global Precios'!J293*(1-I293)*(1+'Global Precios'!K293),100),MROUND('Global Precios'!J293*(1-I293)*(1+'Global Precios'!K293),10))</f>
        <v>1100</v>
      </c>
      <c r="M293" s="27">
        <v>0.85</v>
      </c>
      <c r="N293" s="34" t="s">
        <v>1823</v>
      </c>
      <c r="O293" s="64" t="s">
        <v>2057</v>
      </c>
      <c r="P293" s="35">
        <v>45323.0</v>
      </c>
      <c r="Q293" s="36">
        <f t="shared" si="7"/>
        <v>43</v>
      </c>
      <c r="R293" s="37">
        <v>30.0</v>
      </c>
      <c r="S293" s="21"/>
      <c r="T293" s="41" t="str">
        <f>IFERROR(VLOOKUP(D293,BUSCARV!$A$1:$C$5524,2,0),"")</f>
        <v/>
      </c>
      <c r="U293" s="42"/>
      <c r="V293" s="42" t="str">
        <f t="shared" si="3"/>
        <v/>
      </c>
      <c r="W293" s="44" t="str">
        <f t="shared" si="4"/>
        <v/>
      </c>
      <c r="X293" s="44"/>
      <c r="Y293" s="45">
        <f t="shared" si="5"/>
        <v>0</v>
      </c>
      <c r="Z293" s="46" t="s">
        <v>1075</v>
      </c>
      <c r="AA293" s="46"/>
    </row>
    <row r="294">
      <c r="A294" s="91">
        <v>316.0</v>
      </c>
      <c r="B294" s="21"/>
      <c r="C294" s="29" t="s">
        <v>3</v>
      </c>
      <c r="D294" s="29" t="s">
        <v>1015</v>
      </c>
      <c r="E294" s="21"/>
      <c r="F294" s="29" t="s">
        <v>2308</v>
      </c>
      <c r="G294" s="29" t="s">
        <v>2325</v>
      </c>
      <c r="H294" s="31">
        <f t="shared" si="16"/>
        <v>1969.421488</v>
      </c>
      <c r="I294" s="73"/>
      <c r="J294" s="99">
        <v>2383.0</v>
      </c>
      <c r="K294" s="58">
        <v>0.8</v>
      </c>
      <c r="L294" s="33">
        <f>IF('Global Precios'!J294*(1-I294)*(1+'Global Precios'!K294)&gt;10000,MROUND('Global Precios'!J294*(1-I294)*(1+'Global Precios'!K294),1000),MROUND('Global Precios'!J294*(1-I294)*(1+'Global Precios'!K294),500))</f>
        <v>4500</v>
      </c>
      <c r="M294" s="21"/>
      <c r="N294" s="21"/>
      <c r="O294" s="21"/>
      <c r="P294" s="35">
        <v>45839.0</v>
      </c>
      <c r="Q294" s="36">
        <f t="shared" si="7"/>
        <v>33</v>
      </c>
      <c r="R294" s="37">
        <v>30.0</v>
      </c>
      <c r="S294" s="21"/>
      <c r="T294" s="41" t="str">
        <f>IFERROR(VLOOKUP(D294,BUSCARV!$A$1:$C$5524,2,0),"")</f>
        <v/>
      </c>
      <c r="U294" s="42"/>
      <c r="V294" s="42" t="str">
        <f t="shared" si="3"/>
        <v/>
      </c>
      <c r="W294" s="44" t="str">
        <f t="shared" si="4"/>
        <v/>
      </c>
      <c r="X294" s="44"/>
      <c r="Y294" s="45">
        <f t="shared" si="5"/>
        <v>0</v>
      </c>
      <c r="Z294" s="46" t="s">
        <v>449</v>
      </c>
      <c r="AA294" s="46"/>
    </row>
    <row r="295">
      <c r="A295" s="91">
        <v>317.0</v>
      </c>
      <c r="B295" s="21"/>
      <c r="C295" s="29" t="s">
        <v>3</v>
      </c>
      <c r="D295" s="29" t="s">
        <v>1019</v>
      </c>
      <c r="E295" s="21"/>
      <c r="F295" s="29" t="s">
        <v>2308</v>
      </c>
      <c r="G295" s="29" t="s">
        <v>2333</v>
      </c>
      <c r="H295" s="31">
        <f t="shared" si="16"/>
        <v>1171.07438</v>
      </c>
      <c r="I295" s="73"/>
      <c r="J295" s="66">
        <v>1417.0</v>
      </c>
      <c r="K295" s="60">
        <v>0.8</v>
      </c>
      <c r="L295" s="33">
        <f>IF('Global Precios'!J295*(1-I295)*(1+'Global Precios'!K295)&gt;1000,MROUND('Global Precios'!J295*(1-I295)*(1+'Global Precios'!K295),100),MROUND('Global Precios'!J295*(1-I295)*(1+'Global Precios'!K295),10))</f>
        <v>2600</v>
      </c>
      <c r="M295" s="21"/>
      <c r="N295" s="21"/>
      <c r="O295" s="21"/>
      <c r="P295" s="35">
        <v>45231.0</v>
      </c>
      <c r="Q295" s="36">
        <f t="shared" si="7"/>
        <v>32</v>
      </c>
      <c r="R295" s="37">
        <v>30.0</v>
      </c>
      <c r="S295" s="21"/>
      <c r="T295" s="41" t="str">
        <f>IFERROR(VLOOKUP(D295,BUSCARV!$A$1:$C$5524,2,0),"")</f>
        <v/>
      </c>
      <c r="U295" s="42"/>
      <c r="V295" s="42" t="str">
        <f t="shared" si="3"/>
        <v/>
      </c>
      <c r="W295" s="44" t="str">
        <f t="shared" si="4"/>
        <v/>
      </c>
      <c r="X295" s="44"/>
      <c r="Y295" s="45">
        <f t="shared" si="5"/>
        <v>0</v>
      </c>
      <c r="Z295" s="46" t="s">
        <v>1075</v>
      </c>
      <c r="AA295" s="46"/>
    </row>
    <row r="296">
      <c r="A296" s="91">
        <v>318.0</v>
      </c>
      <c r="B296" s="21"/>
      <c r="C296" s="29" t="s">
        <v>3</v>
      </c>
      <c r="D296" s="29" t="s">
        <v>1022</v>
      </c>
      <c r="E296" s="21"/>
      <c r="F296" s="29" t="s">
        <v>1982</v>
      </c>
      <c r="G296" s="21"/>
      <c r="H296" s="48">
        <v>463.0</v>
      </c>
      <c r="I296" s="73"/>
      <c r="J296" s="99">
        <v>2347.0</v>
      </c>
      <c r="K296" s="58">
        <v>1.0</v>
      </c>
      <c r="L296" s="33">
        <f>IF('Global Precios'!J296*(1-I296)*(1+'Global Precios'!K296)&gt;10000,MROUND('Global Precios'!J296*(1-I296)*(1+'Global Precios'!K296),1000),MROUND('Global Precios'!J296*(1-I296)*(1+'Global Precios'!K296),500))</f>
        <v>4500</v>
      </c>
      <c r="M296" s="21"/>
      <c r="N296" s="21"/>
      <c r="O296" s="21"/>
      <c r="P296" s="35">
        <v>45839.0</v>
      </c>
      <c r="Q296" s="36">
        <f t="shared" si="7"/>
        <v>28</v>
      </c>
      <c r="R296" s="37">
        <v>30.0</v>
      </c>
      <c r="S296" s="21"/>
      <c r="T296" s="41" t="str">
        <f>IFERROR(VLOOKUP(D296,BUSCARV!$A$1:$C$5524,2,0),"")</f>
        <v/>
      </c>
      <c r="U296" s="42"/>
      <c r="V296" s="42" t="str">
        <f t="shared" si="3"/>
        <v/>
      </c>
      <c r="W296" s="44" t="str">
        <f t="shared" si="4"/>
        <v/>
      </c>
      <c r="X296" s="44"/>
      <c r="Y296" s="45">
        <f t="shared" si="5"/>
        <v>0</v>
      </c>
      <c r="Z296" s="46" t="s">
        <v>449</v>
      </c>
      <c r="AA296" s="46" t="s">
        <v>4370</v>
      </c>
    </row>
    <row r="297">
      <c r="A297" s="91">
        <v>319.0</v>
      </c>
      <c r="B297" s="21"/>
      <c r="C297" s="29" t="s">
        <v>3</v>
      </c>
      <c r="D297" s="29" t="s">
        <v>1025</v>
      </c>
      <c r="E297" s="21"/>
      <c r="F297" s="29" t="s">
        <v>1982</v>
      </c>
      <c r="G297" s="21"/>
      <c r="H297" s="48">
        <v>268.0</v>
      </c>
      <c r="I297" s="73"/>
      <c r="J297" s="99">
        <v>680.0</v>
      </c>
      <c r="K297" s="58">
        <v>1.0</v>
      </c>
      <c r="L297" s="33">
        <f>IF('Global Precios'!J297*(1-I297)*(1+'Global Precios'!K297)&gt;1000,MROUND('Global Precios'!J297*(1-I297)*(1+'Global Precios'!K297),100),MROUND('Global Precios'!J297*(1-I297)*(1+'Global Precios'!K297),10))</f>
        <v>1400</v>
      </c>
      <c r="M297" s="21"/>
      <c r="N297" s="21"/>
      <c r="O297" s="21"/>
      <c r="P297" s="35">
        <v>45292.0</v>
      </c>
      <c r="Q297" s="36">
        <f t="shared" si="7"/>
        <v>15</v>
      </c>
      <c r="R297" s="37">
        <v>30.0</v>
      </c>
      <c r="S297" s="21"/>
      <c r="T297" s="41" t="str">
        <f>IFERROR(VLOOKUP(D297,BUSCARV!$A$1:$C$5524,2,0),"")</f>
        <v/>
      </c>
      <c r="U297" s="63"/>
      <c r="V297" s="42" t="str">
        <f t="shared" si="3"/>
        <v/>
      </c>
      <c r="W297" s="44" t="str">
        <f t="shared" si="4"/>
        <v/>
      </c>
      <c r="X297" s="44"/>
      <c r="Y297" s="45">
        <f t="shared" si="5"/>
        <v>0</v>
      </c>
      <c r="Z297" s="46" t="s">
        <v>1075</v>
      </c>
      <c r="AA297" s="46" t="s">
        <v>4371</v>
      </c>
    </row>
    <row r="298">
      <c r="A298" s="91">
        <v>320.0</v>
      </c>
      <c r="B298" s="21"/>
      <c r="C298" s="29" t="s">
        <v>3</v>
      </c>
      <c r="D298" s="29" t="s">
        <v>1028</v>
      </c>
      <c r="E298" s="21"/>
      <c r="F298" s="29" t="s">
        <v>1982</v>
      </c>
      <c r="G298" s="21"/>
      <c r="H298" s="48">
        <v>2568.0</v>
      </c>
      <c r="I298" s="73"/>
      <c r="J298" s="99">
        <v>6447.0</v>
      </c>
      <c r="K298" s="60">
        <v>0.8</v>
      </c>
      <c r="L298" s="33">
        <f>IF('Global Precios'!J298*(1-I298)*(1+'Global Precios'!K298)&gt;1000,MROUND('Global Precios'!J298*(1-I298)*(1+'Global Precios'!K298),100),MROUND('Global Precios'!J298*(1-I298)*(1+'Global Precios'!K298),10))</f>
        <v>11600</v>
      </c>
      <c r="M298" s="21"/>
      <c r="N298" s="21"/>
      <c r="O298" s="21"/>
      <c r="P298" s="35">
        <v>45292.0</v>
      </c>
      <c r="Q298" s="36">
        <f t="shared" si="7"/>
        <v>21</v>
      </c>
      <c r="R298" s="37">
        <v>30.0</v>
      </c>
      <c r="S298" s="21"/>
      <c r="T298" s="41" t="str">
        <f>IFERROR(VLOOKUP(D298,BUSCARV!$A$1:$C$5524,2,0),"")</f>
        <v/>
      </c>
      <c r="U298" s="63"/>
      <c r="V298" s="42" t="str">
        <f t="shared" si="3"/>
        <v/>
      </c>
      <c r="W298" s="44" t="str">
        <f t="shared" si="4"/>
        <v/>
      </c>
      <c r="X298" s="44"/>
      <c r="Y298" s="45">
        <f t="shared" si="5"/>
        <v>0</v>
      </c>
      <c r="Z298" s="46" t="s">
        <v>1075</v>
      </c>
      <c r="AA298" s="46" t="s">
        <v>4372</v>
      </c>
    </row>
    <row r="299">
      <c r="A299" s="91">
        <v>321.0</v>
      </c>
      <c r="B299" s="21"/>
      <c r="C299" s="29" t="s">
        <v>3</v>
      </c>
      <c r="D299" s="29" t="s">
        <v>1031</v>
      </c>
      <c r="E299" s="21"/>
      <c r="F299" s="29" t="s">
        <v>1982</v>
      </c>
      <c r="G299" s="21"/>
      <c r="H299" s="48">
        <v>262.0</v>
      </c>
      <c r="I299" s="73"/>
      <c r="J299" s="99">
        <v>529.0</v>
      </c>
      <c r="K299" s="58">
        <v>1.0</v>
      </c>
      <c r="L299" s="33">
        <f>IF('Global Precios'!J299*(1-I299)*(1+'Global Precios'!K299)&gt;1000,MROUND('Global Precios'!J299*(1-I299)*(1+'Global Precios'!K299),100),MROUND('Global Precios'!J299*(1-I299)*(1+'Global Precios'!K299),10))</f>
        <v>1100</v>
      </c>
      <c r="M299" s="21"/>
      <c r="N299" s="21"/>
      <c r="O299" s="21"/>
      <c r="P299" s="35">
        <v>45261.0</v>
      </c>
      <c r="Q299" s="36">
        <f t="shared" si="7"/>
        <v>7</v>
      </c>
      <c r="R299" s="37">
        <v>30.0</v>
      </c>
      <c r="S299" s="21"/>
      <c r="T299" s="41" t="str">
        <f>IFERROR(VLOOKUP(D299,BUSCARV!$A$1:$C$5524,2,0),"")</f>
        <v/>
      </c>
      <c r="U299" s="63"/>
      <c r="V299" s="42" t="str">
        <f t="shared" si="3"/>
        <v/>
      </c>
      <c r="W299" s="44" t="str">
        <f t="shared" si="4"/>
        <v/>
      </c>
      <c r="X299" s="44"/>
      <c r="Y299" s="45">
        <f t="shared" si="5"/>
        <v>0</v>
      </c>
      <c r="Z299" s="46" t="s">
        <v>1075</v>
      </c>
      <c r="AA299" s="46" t="s">
        <v>4373</v>
      </c>
    </row>
    <row r="300">
      <c r="A300" s="91">
        <v>322.0</v>
      </c>
      <c r="B300" s="21"/>
      <c r="C300" s="29" t="s">
        <v>3</v>
      </c>
      <c r="D300" s="29" t="s">
        <v>1034</v>
      </c>
      <c r="E300" s="21"/>
      <c r="F300" s="29" t="s">
        <v>1982</v>
      </c>
      <c r="G300" s="21"/>
      <c r="H300" s="48">
        <v>574.0</v>
      </c>
      <c r="I300" s="73"/>
      <c r="J300" s="99">
        <v>1117.0</v>
      </c>
      <c r="K300" s="58">
        <v>1.0</v>
      </c>
      <c r="L300" s="33">
        <f>IF('Global Precios'!J300*(1-I300)*(1+'Global Precios'!K300)&gt;1000,MROUND('Global Precios'!J300*(1-I300)*(1+'Global Precios'!K300),100),MROUND('Global Precios'!J300*(1-I300)*(1+'Global Precios'!K300),10))</f>
        <v>2200</v>
      </c>
      <c r="M300" s="21"/>
      <c r="N300" s="21"/>
      <c r="O300" s="21"/>
      <c r="P300" s="35">
        <v>45261.0</v>
      </c>
      <c r="Q300" s="36">
        <f t="shared" si="7"/>
        <v>26</v>
      </c>
      <c r="R300" s="37">
        <v>30.0</v>
      </c>
      <c r="S300" s="21"/>
      <c r="T300" s="41" t="str">
        <f>IFERROR(VLOOKUP(D300,BUSCARV!$A$1:$C$5524,2,0),"")</f>
        <v/>
      </c>
      <c r="U300" s="63"/>
      <c r="V300" s="42" t="str">
        <f t="shared" si="3"/>
        <v/>
      </c>
      <c r="W300" s="44" t="str">
        <f t="shared" si="4"/>
        <v/>
      </c>
      <c r="X300" s="44"/>
      <c r="Y300" s="45">
        <f t="shared" si="5"/>
        <v>0</v>
      </c>
      <c r="Z300" s="46" t="s">
        <v>1075</v>
      </c>
      <c r="AA300" s="46"/>
    </row>
    <row r="301">
      <c r="A301" s="91">
        <v>323.0</v>
      </c>
      <c r="B301" s="21"/>
      <c r="C301" s="29" t="s">
        <v>3</v>
      </c>
      <c r="D301" s="29" t="s">
        <v>1038</v>
      </c>
      <c r="E301" s="21"/>
      <c r="F301" s="29" t="s">
        <v>1982</v>
      </c>
      <c r="G301" s="21"/>
      <c r="H301" s="48">
        <v>642.0</v>
      </c>
      <c r="I301" s="73"/>
      <c r="J301" s="99">
        <v>2681.0</v>
      </c>
      <c r="K301" s="58">
        <v>1.0</v>
      </c>
      <c r="L301" s="33">
        <f>IF('Global Precios'!J301*(1-I301)*(1+'Global Precios'!K301)&gt;10000,MROUND('Global Precios'!J301*(1-I301)*(1+'Global Precios'!K301),1000),MROUND('Global Precios'!J301*(1-I301)*(1+'Global Precios'!K301),500))</f>
        <v>5500</v>
      </c>
      <c r="M301" s="21"/>
      <c r="N301" s="21"/>
      <c r="O301" s="21"/>
      <c r="P301" s="35">
        <v>45839.0</v>
      </c>
      <c r="Q301" s="36">
        <f t="shared" si="7"/>
        <v>9</v>
      </c>
      <c r="R301" s="37">
        <v>30.0</v>
      </c>
      <c r="S301" s="21"/>
      <c r="T301" s="41" t="str">
        <f>IFERROR(VLOOKUP(D301,BUSCARV!$A$1:$C$5524,2,0),"")</f>
        <v/>
      </c>
      <c r="U301" s="42"/>
      <c r="V301" s="42" t="str">
        <f t="shared" si="3"/>
        <v/>
      </c>
      <c r="W301" s="44" t="str">
        <f t="shared" si="4"/>
        <v/>
      </c>
      <c r="X301" s="44"/>
      <c r="Y301" s="45">
        <f t="shared" si="5"/>
        <v>0</v>
      </c>
      <c r="Z301" s="46" t="s">
        <v>449</v>
      </c>
      <c r="AA301" s="46" t="s">
        <v>4374</v>
      </c>
    </row>
    <row r="302">
      <c r="A302" s="91">
        <v>324.0</v>
      </c>
      <c r="B302" s="21"/>
      <c r="C302" s="29" t="s">
        <v>3</v>
      </c>
      <c r="D302" s="29" t="s">
        <v>1041</v>
      </c>
      <c r="E302" s="21"/>
      <c r="F302" s="29" t="s">
        <v>1982</v>
      </c>
      <c r="G302" s="21"/>
      <c r="H302" s="48">
        <v>2836.0</v>
      </c>
      <c r="I302" s="73"/>
      <c r="J302" s="99">
        <v>13900.0</v>
      </c>
      <c r="K302" s="60">
        <v>0.8</v>
      </c>
      <c r="L302" s="33">
        <f>IF('Global Precios'!J302*(1-I302)*(1+'Global Precios'!K302)&gt;1000,MROUND('Global Precios'!J302*(1-I302)*(1+'Global Precios'!K302),100),MROUND('Global Precios'!J302*(1-I302)*(1+'Global Precios'!K302),10))</f>
        <v>25000</v>
      </c>
      <c r="M302" s="21"/>
      <c r="N302" s="21"/>
      <c r="O302" s="21"/>
      <c r="P302" s="35">
        <v>45413.0</v>
      </c>
      <c r="Q302" s="36">
        <f t="shared" si="7"/>
        <v>20</v>
      </c>
      <c r="R302" s="37">
        <v>30.0</v>
      </c>
      <c r="S302" s="21"/>
      <c r="T302" s="41" t="str">
        <f>IFERROR(VLOOKUP(D302,BUSCARV!$A$1:$C$5524,2,0),"")</f>
        <v/>
      </c>
      <c r="U302" s="63"/>
      <c r="V302" s="42" t="str">
        <f t="shared" si="3"/>
        <v/>
      </c>
      <c r="W302" s="44" t="str">
        <f t="shared" si="4"/>
        <v/>
      </c>
      <c r="X302" s="44"/>
      <c r="Y302" s="45">
        <f t="shared" si="5"/>
        <v>0</v>
      </c>
      <c r="Z302" s="46" t="s">
        <v>1075</v>
      </c>
      <c r="AA302" s="46" t="s">
        <v>4375</v>
      </c>
    </row>
    <row r="303">
      <c r="A303" s="91">
        <v>325.0</v>
      </c>
      <c r="B303" s="21"/>
      <c r="C303" s="29" t="s">
        <v>3</v>
      </c>
      <c r="D303" s="29" t="s">
        <v>1043</v>
      </c>
      <c r="E303" s="21"/>
      <c r="F303" s="29" t="s">
        <v>1982</v>
      </c>
      <c r="G303" s="50" t="s">
        <v>2316</v>
      </c>
      <c r="H303" s="48">
        <v>3050.0</v>
      </c>
      <c r="I303" s="73"/>
      <c r="J303" s="99">
        <v>17136.0</v>
      </c>
      <c r="K303" s="60">
        <v>0.7</v>
      </c>
      <c r="L303" s="33">
        <f>IF('Global Precios'!J303*(1-I303)*(1+'Global Precios'!K303)&gt;1000,MROUND('Global Precios'!J303*(1-I303)*(1+'Global Precios'!K303),100),MROUND('Global Precios'!J303*(1-I303)*(1+'Global Precios'!K303),10))</f>
        <v>29100</v>
      </c>
      <c r="M303" s="50">
        <v>1.0</v>
      </c>
      <c r="N303" s="50" t="s">
        <v>46</v>
      </c>
      <c r="O303" s="21"/>
      <c r="P303" s="35">
        <v>45413.0</v>
      </c>
      <c r="Q303" s="36">
        <f t="shared" si="7"/>
        <v>20</v>
      </c>
      <c r="R303" s="37">
        <v>30.0</v>
      </c>
      <c r="S303" s="21"/>
      <c r="T303" s="41" t="str">
        <f>IFERROR(VLOOKUP(D303,BUSCARV!$A$1:$C$5524,2,0),"")</f>
        <v/>
      </c>
      <c r="U303" s="63"/>
      <c r="V303" s="42" t="str">
        <f t="shared" si="3"/>
        <v/>
      </c>
      <c r="W303" s="44" t="str">
        <f t="shared" si="4"/>
        <v/>
      </c>
      <c r="X303" s="44"/>
      <c r="Y303" s="45">
        <f t="shared" si="5"/>
        <v>0</v>
      </c>
      <c r="Z303" s="46" t="s">
        <v>1075</v>
      </c>
      <c r="AA303" s="46" t="s">
        <v>4375</v>
      </c>
    </row>
    <row r="304">
      <c r="A304" s="91">
        <v>326.0</v>
      </c>
      <c r="B304" s="21"/>
      <c r="C304" s="29" t="s">
        <v>3</v>
      </c>
      <c r="D304" s="29" t="s">
        <v>1045</v>
      </c>
      <c r="E304" s="21"/>
      <c r="F304" s="29" t="s">
        <v>1982</v>
      </c>
      <c r="G304" s="50" t="s">
        <v>2371</v>
      </c>
      <c r="H304" s="48">
        <v>3317.0</v>
      </c>
      <c r="I304" s="73"/>
      <c r="J304" s="99">
        <v>18000.0</v>
      </c>
      <c r="K304" s="60">
        <v>0.7</v>
      </c>
      <c r="L304" s="33">
        <f>IF('Global Precios'!J304*(1-I304)*(1+'Global Precios'!K304)&gt;1000,MROUND('Global Precios'!J304*(1-I304)*(1+'Global Precios'!K304),100),MROUND('Global Precios'!J304*(1-I304)*(1+'Global Precios'!K304),10))</f>
        <v>30600</v>
      </c>
      <c r="M304" s="50">
        <v>1.0</v>
      </c>
      <c r="N304" s="50" t="s">
        <v>46</v>
      </c>
      <c r="O304" s="21"/>
      <c r="P304" s="35">
        <v>45413.0</v>
      </c>
      <c r="Q304" s="36">
        <f t="shared" si="7"/>
        <v>19</v>
      </c>
      <c r="R304" s="37">
        <v>30.0</v>
      </c>
      <c r="S304" s="21"/>
      <c r="T304" s="41" t="str">
        <f>IFERROR(VLOOKUP(D304,BUSCARV!$A$1:$C$5524,2,0),"")</f>
        <v/>
      </c>
      <c r="U304" s="63"/>
      <c r="V304" s="42" t="str">
        <f t="shared" si="3"/>
        <v/>
      </c>
      <c r="W304" s="44" t="str">
        <f t="shared" si="4"/>
        <v/>
      </c>
      <c r="X304" s="44"/>
      <c r="Y304" s="45">
        <f t="shared" si="5"/>
        <v>0</v>
      </c>
      <c r="Z304" s="46" t="s">
        <v>1075</v>
      </c>
      <c r="AA304" s="46" t="s">
        <v>4375</v>
      </c>
    </row>
    <row r="305">
      <c r="A305" s="91">
        <v>327.0</v>
      </c>
      <c r="B305" s="21"/>
      <c r="C305" s="29" t="s">
        <v>3</v>
      </c>
      <c r="D305" s="29" t="s">
        <v>1048</v>
      </c>
      <c r="E305" s="21"/>
      <c r="F305" s="29" t="s">
        <v>1982</v>
      </c>
      <c r="G305" s="21"/>
      <c r="H305" s="48">
        <v>830.0</v>
      </c>
      <c r="I305" s="73"/>
      <c r="J305" s="99">
        <v>1621.0</v>
      </c>
      <c r="K305" s="58">
        <v>1.0</v>
      </c>
      <c r="L305" s="33">
        <f>IF('Global Precios'!J305*(1-I305)*(1+'Global Precios'!K305)&gt;1000,MROUND('Global Precios'!J305*(1-I305)*(1+'Global Precios'!K305),100),MROUND('Global Precios'!J305*(1-I305)*(1+'Global Precios'!K305),10))</f>
        <v>3200</v>
      </c>
      <c r="M305" s="21"/>
      <c r="N305" s="21"/>
      <c r="O305" s="21"/>
      <c r="P305" s="35">
        <v>45261.0</v>
      </c>
      <c r="Q305" s="36">
        <f t="shared" si="7"/>
        <v>33</v>
      </c>
      <c r="R305" s="37">
        <v>30.0</v>
      </c>
      <c r="S305" s="21"/>
      <c r="T305" s="41" t="str">
        <f>IFERROR(VLOOKUP(D305,BUSCARV!$A$1:$C$5524,2,0),"")</f>
        <v/>
      </c>
      <c r="U305" s="63"/>
      <c r="V305" s="42" t="str">
        <f t="shared" si="3"/>
        <v/>
      </c>
      <c r="W305" s="44" t="str">
        <f t="shared" si="4"/>
        <v/>
      </c>
      <c r="X305" s="44"/>
      <c r="Y305" s="45">
        <f t="shared" si="5"/>
        <v>0</v>
      </c>
      <c r="Z305" s="46" t="s">
        <v>1075</v>
      </c>
      <c r="AA305" s="46"/>
    </row>
    <row r="306">
      <c r="A306" s="91">
        <v>328.0</v>
      </c>
      <c r="B306" s="21"/>
      <c r="C306" s="29" t="s">
        <v>3</v>
      </c>
      <c r="D306" s="19" t="s">
        <v>4376</v>
      </c>
      <c r="E306" s="21"/>
      <c r="F306" s="29" t="s">
        <v>1982</v>
      </c>
      <c r="G306" s="50" t="s">
        <v>2316</v>
      </c>
      <c r="H306" s="48">
        <v>1059.0</v>
      </c>
      <c r="I306" s="73"/>
      <c r="J306" s="99">
        <v>6962.0</v>
      </c>
      <c r="K306" s="58">
        <v>1.0</v>
      </c>
      <c r="L306" s="33">
        <f>IF('Global Precios'!J306*(1-I306)*(1+'Global Precios'!K306)&gt;10000,MROUND('Global Precios'!J306*(1-I306)*(1+'Global Precios'!K306),1000),MROUND('Global Precios'!J306*(1-I306)*(1+'Global Precios'!K306),500))</f>
        <v>14000</v>
      </c>
      <c r="M306" s="50">
        <v>1.0</v>
      </c>
      <c r="N306" s="50" t="s">
        <v>46</v>
      </c>
      <c r="O306" s="21"/>
      <c r="P306" s="35">
        <v>45839.0</v>
      </c>
      <c r="Q306" s="36">
        <f t="shared" si="7"/>
        <v>35</v>
      </c>
      <c r="R306" s="37">
        <v>30.0</v>
      </c>
      <c r="S306" s="21"/>
      <c r="T306" s="41" t="str">
        <f>IFERROR(VLOOKUP(D306,BUSCARV!$A$1:$C$5524,2,0),"")</f>
        <v/>
      </c>
      <c r="U306" s="42"/>
      <c r="V306" s="42" t="str">
        <f t="shared" si="3"/>
        <v/>
      </c>
      <c r="W306" s="44" t="str">
        <f t="shared" si="4"/>
        <v/>
      </c>
      <c r="X306" s="44"/>
      <c r="Y306" s="45">
        <f t="shared" si="5"/>
        <v>0</v>
      </c>
      <c r="Z306" s="46" t="s">
        <v>449</v>
      </c>
      <c r="AA306" s="46" t="s">
        <v>4377</v>
      </c>
    </row>
    <row r="307">
      <c r="A307" s="91">
        <v>329.0</v>
      </c>
      <c r="B307" s="21"/>
      <c r="C307" s="29" t="s">
        <v>3</v>
      </c>
      <c r="D307" s="29" t="s">
        <v>1053</v>
      </c>
      <c r="E307" s="21"/>
      <c r="F307" s="29" t="s">
        <v>1982</v>
      </c>
      <c r="G307" s="50" t="s">
        <v>2316</v>
      </c>
      <c r="H307" s="48">
        <v>553.0</v>
      </c>
      <c r="I307" s="73"/>
      <c r="J307" s="99">
        <v>3444.0</v>
      </c>
      <c r="K307" s="60">
        <v>0.8</v>
      </c>
      <c r="L307" s="33">
        <f>IF('Global Precios'!J307*(1-I307)*(1+'Global Precios'!K307)&gt;10000,MROUND('Global Precios'!J307*(1-I307)*(1+'Global Precios'!K307),1000),MROUND('Global Precios'!J307*(1-I307)*(1+'Global Precios'!K307),500))</f>
        <v>6000</v>
      </c>
      <c r="M307" s="50">
        <v>1.0</v>
      </c>
      <c r="N307" s="50" t="s">
        <v>46</v>
      </c>
      <c r="O307" s="21"/>
      <c r="P307" s="35">
        <v>45839.0</v>
      </c>
      <c r="Q307" s="36">
        <f t="shared" si="7"/>
        <v>21</v>
      </c>
      <c r="R307" s="37">
        <v>30.0</v>
      </c>
      <c r="S307" s="21"/>
      <c r="T307" s="41" t="str">
        <f>IFERROR(VLOOKUP(D307,BUSCARV!$A$1:$C$5524,2,0),"")</f>
        <v/>
      </c>
      <c r="U307" s="42"/>
      <c r="V307" s="42" t="str">
        <f t="shared" si="3"/>
        <v/>
      </c>
      <c r="W307" s="44" t="str">
        <f t="shared" si="4"/>
        <v/>
      </c>
      <c r="X307" s="44"/>
      <c r="Y307" s="45">
        <f t="shared" si="5"/>
        <v>0</v>
      </c>
      <c r="Z307" s="46" t="s">
        <v>449</v>
      </c>
      <c r="AA307" s="46" t="s">
        <v>4378</v>
      </c>
    </row>
    <row r="308">
      <c r="A308" s="91">
        <v>330.0</v>
      </c>
      <c r="B308" s="21"/>
      <c r="C308" s="29" t="s">
        <v>3</v>
      </c>
      <c r="D308" s="29" t="s">
        <v>1055</v>
      </c>
      <c r="E308" s="21"/>
      <c r="F308" s="29" t="s">
        <v>1982</v>
      </c>
      <c r="G308" s="21"/>
      <c r="H308" s="48">
        <v>394.0</v>
      </c>
      <c r="I308" s="73"/>
      <c r="J308" s="99">
        <v>2620.0</v>
      </c>
      <c r="K308" s="58">
        <v>1.0</v>
      </c>
      <c r="L308" s="33">
        <f>IF('Global Precios'!J308*(1-I308)*(1+'Global Precios'!K308)&gt;10000,MROUND('Global Precios'!J308*(1-I308)*(1+'Global Precios'!K308),1000),MROUND('Global Precios'!J308*(1-I308)*(1+'Global Precios'!K308),500))</f>
        <v>5000</v>
      </c>
      <c r="M308" s="21"/>
      <c r="N308" s="21"/>
      <c r="O308" s="21"/>
      <c r="P308" s="35">
        <v>45839.0</v>
      </c>
      <c r="Q308" s="36">
        <f t="shared" si="7"/>
        <v>20</v>
      </c>
      <c r="R308" s="37">
        <v>30.0</v>
      </c>
      <c r="S308" s="21"/>
      <c r="T308" s="41" t="str">
        <f>IFERROR(VLOOKUP(D308,BUSCARV!$A$1:$C$5524,2,0),"")</f>
        <v/>
      </c>
      <c r="U308" s="42"/>
      <c r="V308" s="42" t="str">
        <f t="shared" si="3"/>
        <v/>
      </c>
      <c r="W308" s="44" t="str">
        <f t="shared" si="4"/>
        <v/>
      </c>
      <c r="X308" s="44"/>
      <c r="Y308" s="45">
        <f t="shared" si="5"/>
        <v>0</v>
      </c>
      <c r="Z308" s="46" t="s">
        <v>449</v>
      </c>
      <c r="AA308" s="46" t="s">
        <v>4378</v>
      </c>
    </row>
    <row r="309">
      <c r="A309" s="91">
        <v>331.0</v>
      </c>
      <c r="B309" s="21"/>
      <c r="C309" s="29" t="s">
        <v>3</v>
      </c>
      <c r="D309" s="19" t="s">
        <v>1057</v>
      </c>
      <c r="E309" s="21"/>
      <c r="F309" s="29" t="s">
        <v>1982</v>
      </c>
      <c r="G309" s="50" t="s">
        <v>2316</v>
      </c>
      <c r="H309" s="48">
        <v>330.0</v>
      </c>
      <c r="I309" s="73"/>
      <c r="J309" s="99">
        <v>643.0</v>
      </c>
      <c r="K309" s="58">
        <v>1.0</v>
      </c>
      <c r="L309" s="33">
        <f>IF('Global Precios'!J309*(1-I309)*(1+'Global Precios'!K309)&gt;1000,MROUND('Global Precios'!J309*(1-I309)*(1+'Global Precios'!K309),100),MROUND('Global Precios'!J309*(1-I309)*(1+'Global Precios'!K309),10))</f>
        <v>1300</v>
      </c>
      <c r="M309" s="50">
        <v>1.0</v>
      </c>
      <c r="N309" s="50" t="s">
        <v>46</v>
      </c>
      <c r="O309" s="21"/>
      <c r="P309" s="35">
        <v>45261.0</v>
      </c>
      <c r="Q309" s="36">
        <f t="shared" si="7"/>
        <v>13</v>
      </c>
      <c r="R309" s="37">
        <v>30.0</v>
      </c>
      <c r="S309" s="21"/>
      <c r="T309" s="41" t="str">
        <f>IFERROR(VLOOKUP(D309,BUSCARV!$A$1:$C$5524,2,0),"")</f>
        <v/>
      </c>
      <c r="U309" s="63"/>
      <c r="V309" s="42" t="str">
        <f t="shared" si="3"/>
        <v/>
      </c>
      <c r="W309" s="44" t="str">
        <f t="shared" si="4"/>
        <v/>
      </c>
      <c r="X309" s="80" t="s">
        <v>4379</v>
      </c>
      <c r="Y309" s="45">
        <f t="shared" si="5"/>
        <v>0</v>
      </c>
      <c r="Z309" s="46" t="s">
        <v>1075</v>
      </c>
      <c r="AA309" s="46"/>
    </row>
    <row r="310">
      <c r="A310" s="91">
        <v>332.0</v>
      </c>
      <c r="B310" s="21"/>
      <c r="C310" s="29" t="s">
        <v>3</v>
      </c>
      <c r="D310" s="19" t="s">
        <v>4380</v>
      </c>
      <c r="E310" s="21"/>
      <c r="F310" s="29" t="s">
        <v>1982</v>
      </c>
      <c r="G310" s="50" t="s">
        <v>2365</v>
      </c>
      <c r="H310" s="48">
        <v>450.0</v>
      </c>
      <c r="I310" s="73"/>
      <c r="J310" s="99">
        <v>2127.0</v>
      </c>
      <c r="K310" s="58">
        <v>1.0</v>
      </c>
      <c r="L310" s="33">
        <f>IF('Global Precios'!J310*(1-I310)*(1+'Global Precios'!K310)&gt;10000,MROUND('Global Precios'!J310*(1-I310)*(1+'Global Precios'!K310),1000),MROUND('Global Precios'!J310*(1-I310)*(1+'Global Precios'!K310),500))</f>
        <v>4500</v>
      </c>
      <c r="M310" s="50">
        <v>1.0</v>
      </c>
      <c r="N310" s="50" t="s">
        <v>46</v>
      </c>
      <c r="O310" s="21"/>
      <c r="P310" s="35">
        <v>45839.0</v>
      </c>
      <c r="Q310" s="36">
        <f t="shared" si="7"/>
        <v>16</v>
      </c>
      <c r="R310" s="37">
        <v>30.0</v>
      </c>
      <c r="S310" s="21"/>
      <c r="T310" s="41" t="str">
        <f>IFERROR(VLOOKUP(D310,BUSCARV!$A$1:$C$5524,2,0),"")</f>
        <v/>
      </c>
      <c r="U310" s="42"/>
      <c r="V310" s="42" t="str">
        <f t="shared" si="3"/>
        <v/>
      </c>
      <c r="W310" s="44" t="str">
        <f t="shared" si="4"/>
        <v/>
      </c>
      <c r="X310" s="44"/>
      <c r="Y310" s="45">
        <f t="shared" si="5"/>
        <v>0</v>
      </c>
      <c r="Z310" s="46" t="s">
        <v>449</v>
      </c>
      <c r="AA310" s="46" t="s">
        <v>4381</v>
      </c>
    </row>
    <row r="311">
      <c r="A311" s="91">
        <v>333.0</v>
      </c>
      <c r="B311" s="21"/>
      <c r="C311" s="29" t="s">
        <v>3</v>
      </c>
      <c r="D311" s="29" t="s">
        <v>1061</v>
      </c>
      <c r="E311" s="21"/>
      <c r="F311" s="29" t="s">
        <v>1982</v>
      </c>
      <c r="G311" s="21"/>
      <c r="H311" s="48">
        <v>589.0</v>
      </c>
      <c r="I311" s="73"/>
      <c r="J311" s="99">
        <v>2035.0</v>
      </c>
      <c r="K311" s="58">
        <v>1.0</v>
      </c>
      <c r="L311" s="33">
        <f>IF('Global Precios'!J311*(1-I311)*(1+'Global Precios'!K311)&gt;10000,MROUND('Global Precios'!J311*(1-I311)*(1+'Global Precios'!K311),1000),MROUND('Global Precios'!J311*(1-I311)*(1+'Global Precios'!K311),500))</f>
        <v>4000</v>
      </c>
      <c r="M311" s="21"/>
      <c r="N311" s="21"/>
      <c r="O311" s="21"/>
      <c r="P311" s="35">
        <v>45839.0</v>
      </c>
      <c r="Q311" s="36">
        <f t="shared" si="7"/>
        <v>39</v>
      </c>
      <c r="R311" s="37">
        <v>30.0</v>
      </c>
      <c r="S311" s="21"/>
      <c r="T311" s="41" t="str">
        <f>IFERROR(VLOOKUP(D311,BUSCARV!$A$1:$C$5524,2,0),"")</f>
        <v/>
      </c>
      <c r="U311" s="42"/>
      <c r="V311" s="42" t="str">
        <f t="shared" si="3"/>
        <v/>
      </c>
      <c r="W311" s="44" t="str">
        <f t="shared" si="4"/>
        <v/>
      </c>
      <c r="X311" s="44"/>
      <c r="Y311" s="45">
        <f t="shared" si="5"/>
        <v>0</v>
      </c>
      <c r="Z311" s="46" t="s">
        <v>449</v>
      </c>
      <c r="AA311" s="46" t="s">
        <v>4382</v>
      </c>
    </row>
    <row r="312">
      <c r="A312" s="91">
        <v>334.0</v>
      </c>
      <c r="B312" s="21"/>
      <c r="C312" s="29" t="s">
        <v>3</v>
      </c>
      <c r="D312" s="29" t="s">
        <v>415</v>
      </c>
      <c r="E312" s="21"/>
      <c r="F312" s="29" t="s">
        <v>2308</v>
      </c>
      <c r="G312" s="29" t="s">
        <v>2325</v>
      </c>
      <c r="H312" s="31">
        <f t="shared" ref="H312:H319" si="17">IF(J312="","",J312/1.21)</f>
        <v>8200</v>
      </c>
      <c r="I312" s="73"/>
      <c r="J312" s="99">
        <v>9922.0</v>
      </c>
      <c r="K312" s="58">
        <v>0.8</v>
      </c>
      <c r="L312" s="33">
        <f>IF('Global Precios'!J312*(1-I312)*(1+'Global Precios'!K312)&gt;10000,MROUND('Global Precios'!J312*(1-I312)*(1+'Global Precios'!K312),1000),MROUND('Global Precios'!J312*(1-I312)*(1+'Global Precios'!K312),500))</f>
        <v>18000</v>
      </c>
      <c r="M312" s="21"/>
      <c r="N312" s="21"/>
      <c r="O312" s="21"/>
      <c r="P312" s="35">
        <v>46082.0</v>
      </c>
      <c r="Q312" s="36">
        <f t="shared" si="7"/>
        <v>17</v>
      </c>
      <c r="R312" s="37">
        <v>30.0</v>
      </c>
      <c r="S312" s="21"/>
      <c r="T312" s="41">
        <f>IFERROR(VLOOKUP(D312,BUSCARV!$A$1:$C$5524,2,0),"")</f>
        <v>9157</v>
      </c>
      <c r="U312" s="42"/>
      <c r="V312" s="42">
        <f t="shared" si="3"/>
        <v>9157</v>
      </c>
      <c r="W312" s="44">
        <f t="shared" si="4"/>
        <v>-0.07710139085</v>
      </c>
      <c r="X312" s="44"/>
      <c r="Y312" s="45">
        <f t="shared" si="5"/>
        <v>0</v>
      </c>
      <c r="Z312" s="46" t="s">
        <v>449</v>
      </c>
      <c r="AA312" s="46"/>
    </row>
    <row r="313">
      <c r="A313" s="91">
        <v>335.0</v>
      </c>
      <c r="B313" s="21"/>
      <c r="C313" s="29" t="s">
        <v>3</v>
      </c>
      <c r="D313" s="29" t="s">
        <v>1067</v>
      </c>
      <c r="E313" s="21"/>
      <c r="F313" s="29" t="s">
        <v>2308</v>
      </c>
      <c r="G313" s="29" t="s">
        <v>2350</v>
      </c>
      <c r="H313" s="31">
        <f t="shared" si="17"/>
        <v>28099.17355</v>
      </c>
      <c r="I313" s="73"/>
      <c r="J313" s="99">
        <v>34000.0</v>
      </c>
      <c r="K313" s="60">
        <v>0.3</v>
      </c>
      <c r="L313" s="33">
        <f>IF('Global Precios'!J313*(1-I313)*(1+'Global Precios'!K313)&gt;10000,MROUND('Global Precios'!J313*(1-I313)*(1+'Global Precios'!K313),1000),MROUND('Global Precios'!J313*(1-I313)*(1+'Global Precios'!K313),500))</f>
        <v>44000</v>
      </c>
      <c r="M313" s="50">
        <v>1.0</v>
      </c>
      <c r="N313" s="50" t="s">
        <v>4383</v>
      </c>
      <c r="O313" s="21"/>
      <c r="P313" s="35">
        <v>45689.0</v>
      </c>
      <c r="Q313" s="36">
        <f t="shared" si="7"/>
        <v>30</v>
      </c>
      <c r="R313" s="37">
        <v>30.0</v>
      </c>
      <c r="S313" s="21"/>
      <c r="T313" s="41" t="str">
        <f>IFERROR(VLOOKUP(D313,BUSCARV!$A$1:$C$5524,2,0),"")</f>
        <v/>
      </c>
      <c r="U313" s="42"/>
      <c r="V313" s="42" t="str">
        <f t="shared" si="3"/>
        <v/>
      </c>
      <c r="W313" s="44" t="str">
        <f t="shared" si="4"/>
        <v/>
      </c>
      <c r="X313" s="44"/>
      <c r="Y313" s="45">
        <f t="shared" si="5"/>
        <v>0</v>
      </c>
      <c r="Z313" s="46" t="s">
        <v>1075</v>
      </c>
      <c r="AA313" s="46"/>
    </row>
    <row r="314">
      <c r="A314" s="91">
        <v>336.0</v>
      </c>
      <c r="B314" s="21"/>
      <c r="C314" s="29" t="s">
        <v>3</v>
      </c>
      <c r="D314" s="29" t="s">
        <v>1070</v>
      </c>
      <c r="E314" s="21"/>
      <c r="F314" s="29" t="s">
        <v>2308</v>
      </c>
      <c r="G314" s="21"/>
      <c r="H314" s="31">
        <f t="shared" si="17"/>
        <v>1941.322314</v>
      </c>
      <c r="I314" s="73"/>
      <c r="J314" s="99">
        <v>2349.0</v>
      </c>
      <c r="K314" s="58">
        <v>1.0</v>
      </c>
      <c r="L314" s="33">
        <f>IF('Global Precios'!J314*(1-I314)*(1+'Global Precios'!K314)&gt;10000,MROUND('Global Precios'!J314*(1-I314)*(1+'Global Precios'!K314),1000),MROUND('Global Precios'!J314*(1-I314)*(1+'Global Precios'!K314),500))</f>
        <v>4500</v>
      </c>
      <c r="M314" s="21"/>
      <c r="N314" s="21"/>
      <c r="O314" s="21"/>
      <c r="P314" s="35">
        <v>45839.0</v>
      </c>
      <c r="Q314" s="36">
        <f t="shared" si="7"/>
        <v>17</v>
      </c>
      <c r="R314" s="37">
        <v>30.0</v>
      </c>
      <c r="S314" s="21"/>
      <c r="T314" s="41">
        <f>IFERROR(VLOOKUP(D314,BUSCARV!$A$1:$C$5524,2,0),"")</f>
        <v>2349</v>
      </c>
      <c r="U314" s="42"/>
      <c r="V314" s="42">
        <f t="shared" si="3"/>
        <v>2349</v>
      </c>
      <c r="W314" s="44">
        <f t="shared" si="4"/>
        <v>0</v>
      </c>
      <c r="X314" s="44"/>
      <c r="Y314" s="45">
        <f t="shared" si="5"/>
        <v>0</v>
      </c>
      <c r="Z314" s="46" t="s">
        <v>449</v>
      </c>
      <c r="AA314" s="46"/>
    </row>
    <row r="315">
      <c r="A315" s="91">
        <v>337.0</v>
      </c>
      <c r="B315" s="21"/>
      <c r="C315" s="29" t="s">
        <v>3</v>
      </c>
      <c r="D315" s="29" t="s">
        <v>1072</v>
      </c>
      <c r="E315" s="21"/>
      <c r="F315" s="29" t="s">
        <v>2308</v>
      </c>
      <c r="G315" s="21"/>
      <c r="H315" s="31">
        <f t="shared" si="17"/>
        <v>927.2727273</v>
      </c>
      <c r="I315" s="73"/>
      <c r="J315" s="99">
        <v>1122.0</v>
      </c>
      <c r="K315" s="58">
        <v>1.0</v>
      </c>
      <c r="L315" s="33">
        <f>IF('Global Precios'!J315*(1-I315)*(1+'Global Precios'!K315)&gt;1000,MROUND('Global Precios'!J315*(1-I315)*(1+'Global Precios'!K315),100),MROUND('Global Precios'!J315*(1-I315)*(1+'Global Precios'!K315),10))</f>
        <v>2200</v>
      </c>
      <c r="M315" s="21"/>
      <c r="N315" s="21"/>
      <c r="O315" s="21"/>
      <c r="P315" s="35">
        <v>45200.0</v>
      </c>
      <c r="Q315" s="36">
        <f t="shared" si="7"/>
        <v>24</v>
      </c>
      <c r="R315" s="37">
        <v>30.0</v>
      </c>
      <c r="S315" s="21"/>
      <c r="T315" s="41" t="str">
        <f>IFERROR(VLOOKUP(D315,BUSCARV!$A$1:$C$5524,2,0),"")</f>
        <v/>
      </c>
      <c r="U315" s="42"/>
      <c r="V315" s="42" t="str">
        <f t="shared" si="3"/>
        <v/>
      </c>
      <c r="W315" s="44" t="str">
        <f t="shared" si="4"/>
        <v/>
      </c>
      <c r="X315" s="44"/>
      <c r="Y315" s="45">
        <f t="shared" si="5"/>
        <v>0</v>
      </c>
      <c r="Z315" s="46" t="s">
        <v>1075</v>
      </c>
      <c r="AA315" s="46"/>
    </row>
    <row r="316">
      <c r="A316" s="91">
        <v>338.0</v>
      </c>
      <c r="B316" s="21"/>
      <c r="C316" s="29" t="s">
        <v>3</v>
      </c>
      <c r="D316" s="29" t="s">
        <v>1076</v>
      </c>
      <c r="E316" s="21"/>
      <c r="F316" s="29" t="s">
        <v>2308</v>
      </c>
      <c r="G316" s="29" t="s">
        <v>2339</v>
      </c>
      <c r="H316" s="31">
        <f t="shared" si="17"/>
        <v>1818.181818</v>
      </c>
      <c r="I316" s="73"/>
      <c r="J316" s="99">
        <v>2200.0</v>
      </c>
      <c r="K316" s="58">
        <v>1.0</v>
      </c>
      <c r="L316" s="33">
        <f>IF('Global Precios'!J316*(1-I316)*(1+'Global Precios'!K316)&gt;10000,MROUND('Global Precios'!J316*(1-I316)*(1+'Global Precios'!K316),1000),MROUND('Global Precios'!J316*(1-I316)*(1+'Global Precios'!K316),500))</f>
        <v>4500</v>
      </c>
      <c r="M316" s="21"/>
      <c r="N316" s="21"/>
      <c r="O316" s="21"/>
      <c r="P316" s="35">
        <v>46023.0</v>
      </c>
      <c r="Q316" s="36">
        <f t="shared" si="7"/>
        <v>38</v>
      </c>
      <c r="R316" s="37">
        <v>30.0</v>
      </c>
      <c r="S316" s="21"/>
      <c r="T316" s="41" t="str">
        <f>IFERROR(VLOOKUP(D316,BUSCARV!$A$1:$C$5524,2,0),"")</f>
        <v/>
      </c>
      <c r="U316" s="42"/>
      <c r="V316" s="42" t="str">
        <f t="shared" si="3"/>
        <v/>
      </c>
      <c r="W316" s="44" t="str">
        <f t="shared" si="4"/>
        <v/>
      </c>
      <c r="X316" s="44"/>
      <c r="Y316" s="45">
        <f t="shared" si="5"/>
        <v>0</v>
      </c>
      <c r="Z316" s="46" t="s">
        <v>449</v>
      </c>
      <c r="AA316" s="46"/>
    </row>
    <row r="317">
      <c r="A317" s="91">
        <v>339.0</v>
      </c>
      <c r="B317" s="21"/>
      <c r="C317" s="29" t="s">
        <v>3</v>
      </c>
      <c r="D317" s="19" t="s">
        <v>787</v>
      </c>
      <c r="E317" s="29" t="s">
        <v>4342</v>
      </c>
      <c r="F317" s="29" t="s">
        <v>2308</v>
      </c>
      <c r="G317" s="29" t="s">
        <v>2350</v>
      </c>
      <c r="H317" s="31">
        <f t="shared" si="17"/>
        <v>10578.5124</v>
      </c>
      <c r="I317" s="73"/>
      <c r="J317" s="99">
        <v>12800.0</v>
      </c>
      <c r="K317" s="60">
        <v>0.8</v>
      </c>
      <c r="L317" s="33">
        <f>IF('Global Precios'!J317*(1-I317)*(1+'Global Precios'!K317)&gt;10000,MROUND('Global Precios'!J317*(1-I317)*(1+'Global Precios'!K317),1000),MROUND('Global Precios'!J317*(1-I317)*(1+'Global Precios'!K317),500))</f>
        <v>23000</v>
      </c>
      <c r="M317" s="91">
        <v>1.0</v>
      </c>
      <c r="N317" s="29" t="s">
        <v>313</v>
      </c>
      <c r="O317" s="21"/>
      <c r="P317" s="35">
        <v>46054.0</v>
      </c>
      <c r="Q317" s="36">
        <f t="shared" si="7"/>
        <v>23</v>
      </c>
      <c r="R317" s="37">
        <v>30.0</v>
      </c>
      <c r="S317" s="21"/>
      <c r="T317" s="41">
        <f>IFERROR(VLOOKUP(D317,BUSCARV!$A$1:$C$5524,2,0),"")</f>
        <v>10744</v>
      </c>
      <c r="U317" s="42"/>
      <c r="V317" s="42">
        <f t="shared" si="3"/>
        <v>10744</v>
      </c>
      <c r="W317" s="44">
        <f t="shared" si="4"/>
        <v>-0.160625</v>
      </c>
      <c r="X317" s="44"/>
      <c r="Y317" s="45">
        <f t="shared" si="5"/>
        <v>0</v>
      </c>
      <c r="Z317" s="46" t="s">
        <v>449</v>
      </c>
      <c r="AA317" s="46"/>
    </row>
    <row r="318">
      <c r="A318" s="91">
        <v>340.0</v>
      </c>
      <c r="B318" s="21"/>
      <c r="C318" s="29" t="s">
        <v>3</v>
      </c>
      <c r="D318" s="29" t="s">
        <v>1082</v>
      </c>
      <c r="E318" s="21"/>
      <c r="F318" s="29" t="s">
        <v>2308</v>
      </c>
      <c r="G318" s="29" t="s">
        <v>2325</v>
      </c>
      <c r="H318" s="31">
        <f t="shared" si="17"/>
        <v>7300</v>
      </c>
      <c r="I318" s="73"/>
      <c r="J318" s="66">
        <v>8833.0</v>
      </c>
      <c r="K318" s="58">
        <v>0.8</v>
      </c>
      <c r="L318" s="33">
        <f>IF('Global Precios'!J318*(1-I318)*(1+'Global Precios'!K318)&gt;1000,MROUND('Global Precios'!J318*(1-I318)*(1+'Global Precios'!K318),100),MROUND('Global Precios'!J318*(1-I318)*(1+'Global Precios'!K318),10))</f>
        <v>15900</v>
      </c>
      <c r="M318" s="21"/>
      <c r="N318" s="21"/>
      <c r="O318" s="21"/>
      <c r="P318" s="35">
        <v>46143.0</v>
      </c>
      <c r="Q318" s="36">
        <f t="shared" si="7"/>
        <v>28</v>
      </c>
      <c r="R318" s="37">
        <v>30.0</v>
      </c>
      <c r="S318" s="21"/>
      <c r="T318" s="41" t="str">
        <f>IFERROR(VLOOKUP(D318,BUSCARV!$A$1:$C$5524,2,0),"")</f>
        <v/>
      </c>
      <c r="U318" s="42"/>
      <c r="V318" s="42" t="str">
        <f t="shared" si="3"/>
        <v/>
      </c>
      <c r="W318" s="44" t="str">
        <f t="shared" si="4"/>
        <v/>
      </c>
      <c r="X318" s="44"/>
      <c r="Y318" s="45">
        <f t="shared" si="5"/>
        <v>0</v>
      </c>
      <c r="Z318" s="46" t="s">
        <v>449</v>
      </c>
      <c r="AA318" s="46"/>
    </row>
    <row r="319">
      <c r="A319" s="91">
        <v>341.0</v>
      </c>
      <c r="B319" s="21"/>
      <c r="C319" s="29" t="s">
        <v>3</v>
      </c>
      <c r="D319" s="29" t="s">
        <v>1085</v>
      </c>
      <c r="E319" s="29" t="s">
        <v>3589</v>
      </c>
      <c r="F319" s="29" t="s">
        <v>2308</v>
      </c>
      <c r="G319" s="29" t="s">
        <v>2375</v>
      </c>
      <c r="H319" s="31">
        <f t="shared" si="17"/>
        <v>1818.181818</v>
      </c>
      <c r="I319" s="73"/>
      <c r="J319" s="66">
        <v>2200.0</v>
      </c>
      <c r="K319" s="58">
        <v>0.8</v>
      </c>
      <c r="L319" s="33">
        <f>IF('Global Precios'!J319*(1-I319)*(1+'Global Precios'!K319)&gt;10000,MROUND('Global Precios'!J319*(1-I319)*(1+'Global Precios'!K319),1000),MROUND('Global Precios'!J319*(1-I319)*(1+'Global Precios'!K319),500))</f>
        <v>4000</v>
      </c>
      <c r="M319" s="21"/>
      <c r="N319" s="21"/>
      <c r="O319" s="21"/>
      <c r="P319" s="35">
        <v>46054.0</v>
      </c>
      <c r="Q319" s="36">
        <f t="shared" si="7"/>
        <v>26</v>
      </c>
      <c r="R319" s="37">
        <v>30.0</v>
      </c>
      <c r="S319" s="21"/>
      <c r="T319" s="41" t="str">
        <f>IFERROR(VLOOKUP(D319,BUSCARV!$A$1:$C$5524,2,0),"")</f>
        <v/>
      </c>
      <c r="U319" s="42"/>
      <c r="V319" s="42" t="str">
        <f t="shared" si="3"/>
        <v/>
      </c>
      <c r="W319" s="44" t="str">
        <f t="shared" si="4"/>
        <v/>
      </c>
      <c r="X319" s="44"/>
      <c r="Y319" s="45">
        <f t="shared" si="5"/>
        <v>0</v>
      </c>
      <c r="Z319" s="46" t="s">
        <v>449</v>
      </c>
      <c r="AA319" s="46"/>
    </row>
    <row r="320">
      <c r="A320" s="91">
        <v>342.0</v>
      </c>
      <c r="B320" s="21"/>
      <c r="C320" s="29" t="s">
        <v>3</v>
      </c>
      <c r="D320" s="29" t="s">
        <v>1088</v>
      </c>
      <c r="E320" s="21"/>
      <c r="F320" s="29" t="s">
        <v>4384</v>
      </c>
      <c r="G320" s="29" t="s">
        <v>4288</v>
      </c>
      <c r="H320" s="48">
        <v>1338.0</v>
      </c>
      <c r="I320" s="73"/>
      <c r="J320" s="99">
        <v>1235.0</v>
      </c>
      <c r="K320" s="60">
        <v>0.8</v>
      </c>
      <c r="L320" s="33">
        <f>IF('Global Precios'!J320*(1-I320)*(1+'Global Precios'!K320)&gt;1000,MROUND('Global Precios'!J320*(1-I320)*(1+'Global Precios'!K320),100),MROUND('Global Precios'!J320*(1-I320)*(1+'Global Precios'!K320),10))</f>
        <v>2200</v>
      </c>
      <c r="M320" s="50">
        <v>1.0</v>
      </c>
      <c r="N320" s="50" t="s">
        <v>46</v>
      </c>
      <c r="O320" s="21"/>
      <c r="P320" s="35">
        <v>45261.0</v>
      </c>
      <c r="Q320" s="36">
        <f t="shared" si="7"/>
        <v>20</v>
      </c>
      <c r="R320" s="37">
        <v>30.0</v>
      </c>
      <c r="S320" s="21"/>
      <c r="T320" s="41" t="str">
        <f>IFERROR(VLOOKUP(D320,BUSCARV!$A$1:$C$5524,2,0),"")</f>
        <v/>
      </c>
      <c r="U320" s="63"/>
      <c r="V320" s="42" t="str">
        <f t="shared" si="3"/>
        <v/>
      </c>
      <c r="W320" s="44" t="str">
        <f t="shared" si="4"/>
        <v/>
      </c>
      <c r="X320" s="44"/>
      <c r="Y320" s="45">
        <f t="shared" si="5"/>
        <v>0</v>
      </c>
      <c r="Z320" s="46" t="s">
        <v>1075</v>
      </c>
      <c r="AA320" s="46" t="s">
        <v>4385</v>
      </c>
    </row>
    <row r="321">
      <c r="A321" s="91">
        <v>343.0</v>
      </c>
      <c r="B321" s="21"/>
      <c r="C321" s="29" t="s">
        <v>3</v>
      </c>
      <c r="D321" s="29" t="s">
        <v>1091</v>
      </c>
      <c r="E321" s="21"/>
      <c r="F321" s="29" t="s">
        <v>4384</v>
      </c>
      <c r="G321" s="29" t="s">
        <v>1905</v>
      </c>
      <c r="H321" s="48">
        <v>585.0</v>
      </c>
      <c r="I321" s="73"/>
      <c r="J321" s="99">
        <v>1631.0</v>
      </c>
      <c r="K321" s="60">
        <v>0.8</v>
      </c>
      <c r="L321" s="33">
        <f>IF('Global Precios'!J321*(1-I321)*(1+'Global Precios'!K321)&gt;1000,MROUND('Global Precios'!J321*(1-I321)*(1+'Global Precios'!K321),100),MROUND('Global Precios'!J321*(1-I321)*(1+'Global Precios'!K321),10))</f>
        <v>2900</v>
      </c>
      <c r="M321" s="50">
        <v>1.0</v>
      </c>
      <c r="N321" s="50" t="s">
        <v>46</v>
      </c>
      <c r="O321" s="21"/>
      <c r="P321" s="35">
        <v>45292.0</v>
      </c>
      <c r="Q321" s="36">
        <f t="shared" si="7"/>
        <v>21</v>
      </c>
      <c r="R321" s="37">
        <v>30.0</v>
      </c>
      <c r="S321" s="21"/>
      <c r="T321" s="41" t="str">
        <f>IFERROR(VLOOKUP(D321,BUSCARV!$A$1:$C$5524,2,0),"")</f>
        <v/>
      </c>
      <c r="U321" s="63"/>
      <c r="V321" s="42" t="str">
        <f t="shared" si="3"/>
        <v/>
      </c>
      <c r="W321" s="44" t="str">
        <f t="shared" si="4"/>
        <v/>
      </c>
      <c r="X321" s="44"/>
      <c r="Y321" s="45">
        <f t="shared" si="5"/>
        <v>0</v>
      </c>
      <c r="Z321" s="46" t="s">
        <v>1075</v>
      </c>
      <c r="AA321" s="46" t="s">
        <v>4386</v>
      </c>
    </row>
    <row r="322">
      <c r="A322" s="91">
        <v>344.0</v>
      </c>
      <c r="B322" s="21"/>
      <c r="C322" s="29" t="s">
        <v>3</v>
      </c>
      <c r="D322" s="29" t="s">
        <v>4387</v>
      </c>
      <c r="E322" s="21"/>
      <c r="F322" s="29" t="s">
        <v>2308</v>
      </c>
      <c r="G322" s="29" t="s">
        <v>2336</v>
      </c>
      <c r="H322" s="31">
        <f t="shared" ref="H322:H328" si="18">IF(J322="","",J322/1.21)</f>
        <v>2003.305785</v>
      </c>
      <c r="I322" s="73"/>
      <c r="J322" s="66">
        <v>2424.0</v>
      </c>
      <c r="K322" s="60">
        <v>1.0</v>
      </c>
      <c r="L322" s="33">
        <f>IF('Global Precios'!J322*(1-I322)*(1+'Global Precios'!K322)&gt;1000,MROUND('Global Precios'!J322*(1-I322)*(1+'Global Precios'!K322),100),MROUND('Global Precios'!J322*(1-I322)*(1+'Global Precios'!K322),10))</f>
        <v>4800</v>
      </c>
      <c r="M322" s="50">
        <v>10.0</v>
      </c>
      <c r="N322" s="50" t="s">
        <v>4383</v>
      </c>
      <c r="O322" s="21"/>
      <c r="P322" s="35">
        <v>45505.0</v>
      </c>
      <c r="Q322" s="36">
        <f t="shared" si="7"/>
        <v>34</v>
      </c>
      <c r="R322" s="37">
        <v>30.0</v>
      </c>
      <c r="S322" s="21"/>
      <c r="T322" s="41" t="str">
        <f>IFERROR(VLOOKUP(D322,BUSCARV!$A$1:$C$5524,2,0),"")</f>
        <v/>
      </c>
      <c r="U322" s="42"/>
      <c r="V322" s="42" t="str">
        <f t="shared" si="3"/>
        <v/>
      </c>
      <c r="W322" s="44" t="str">
        <f t="shared" si="4"/>
        <v/>
      </c>
      <c r="X322" s="44"/>
      <c r="Y322" s="45">
        <f t="shared" si="5"/>
        <v>0</v>
      </c>
      <c r="Z322" s="46" t="s">
        <v>1075</v>
      </c>
      <c r="AA322" s="46"/>
    </row>
    <row r="323">
      <c r="A323" s="91">
        <v>345.0</v>
      </c>
      <c r="B323" s="21"/>
      <c r="C323" s="29" t="s">
        <v>3</v>
      </c>
      <c r="D323" s="29" t="s">
        <v>1097</v>
      </c>
      <c r="E323" s="21"/>
      <c r="F323" s="29" t="s">
        <v>2308</v>
      </c>
      <c r="G323" s="29" t="s">
        <v>2351</v>
      </c>
      <c r="H323" s="31">
        <f t="shared" si="18"/>
        <v>928.9256198</v>
      </c>
      <c r="I323" s="73"/>
      <c r="J323" s="66">
        <v>1124.0</v>
      </c>
      <c r="K323" s="60">
        <v>1.5</v>
      </c>
      <c r="L323" s="33">
        <f>IF('Global Precios'!J323*(1-I323)*(1+'Global Precios'!K323)&gt;10000,MROUND('Global Precios'!J323*(1-I323)*(1+'Global Precios'!K323),1000),MROUND('Global Precios'!J323*(1-I323)*(1+'Global Precios'!K323),500))</f>
        <v>3000</v>
      </c>
      <c r="M323" s="50">
        <v>10.0</v>
      </c>
      <c r="N323" s="50" t="s">
        <v>4383</v>
      </c>
      <c r="O323" s="21"/>
      <c r="P323" s="35">
        <v>45839.0</v>
      </c>
      <c r="Q323" s="36">
        <f t="shared" si="7"/>
        <v>34</v>
      </c>
      <c r="R323" s="37">
        <v>30.0</v>
      </c>
      <c r="S323" s="21"/>
      <c r="T323" s="41" t="str">
        <f>IFERROR(VLOOKUP(D323,BUSCARV!$A$1:$C$5524,2,0),"")</f>
        <v/>
      </c>
      <c r="U323" s="42"/>
      <c r="V323" s="42" t="str">
        <f t="shared" si="3"/>
        <v/>
      </c>
      <c r="W323" s="44" t="str">
        <f t="shared" si="4"/>
        <v/>
      </c>
      <c r="X323" s="44"/>
      <c r="Y323" s="45">
        <f t="shared" si="5"/>
        <v>0</v>
      </c>
      <c r="Z323" s="46" t="s">
        <v>449</v>
      </c>
      <c r="AA323" s="46"/>
    </row>
    <row r="324">
      <c r="A324" s="91">
        <v>346.0</v>
      </c>
      <c r="B324" s="21"/>
      <c r="C324" s="29" t="s">
        <v>3</v>
      </c>
      <c r="D324" s="29" t="s">
        <v>1100</v>
      </c>
      <c r="E324" s="21"/>
      <c r="F324" s="29" t="s">
        <v>2308</v>
      </c>
      <c r="G324" s="29" t="s">
        <v>2325</v>
      </c>
      <c r="H324" s="31">
        <f t="shared" si="18"/>
        <v>2528.92562</v>
      </c>
      <c r="I324" s="73"/>
      <c r="J324" s="66">
        <v>3060.0</v>
      </c>
      <c r="K324" s="60">
        <v>2.0</v>
      </c>
      <c r="L324" s="33">
        <f>IF('Global Precios'!J324*(1-I324)*(1+'Global Precios'!K324)&gt;10000,MROUND('Global Precios'!J324*(1-I324)*(1+'Global Precios'!K324),1000),MROUND('Global Precios'!J324*(1-I324)*(1+'Global Precios'!K324),500))</f>
        <v>9000</v>
      </c>
      <c r="M324" s="50">
        <v>1.0</v>
      </c>
      <c r="N324" s="50" t="s">
        <v>46</v>
      </c>
      <c r="O324" s="21"/>
      <c r="P324" s="35">
        <v>45839.0</v>
      </c>
      <c r="Q324" s="36">
        <f t="shared" si="7"/>
        <v>20</v>
      </c>
      <c r="R324" s="37">
        <v>30.0</v>
      </c>
      <c r="S324" s="21"/>
      <c r="T324" s="41" t="str">
        <f>IFERROR(VLOOKUP(D324,BUSCARV!$A$1:$C$5524,2,0),"")</f>
        <v/>
      </c>
      <c r="U324" s="42"/>
      <c r="V324" s="42" t="str">
        <f t="shared" si="3"/>
        <v/>
      </c>
      <c r="W324" s="44" t="str">
        <f t="shared" si="4"/>
        <v/>
      </c>
      <c r="X324" s="44"/>
      <c r="Y324" s="45">
        <f t="shared" si="5"/>
        <v>0</v>
      </c>
      <c r="Z324" s="46" t="s">
        <v>449</v>
      </c>
      <c r="AA324" s="46"/>
    </row>
    <row r="325">
      <c r="A325" s="91">
        <v>347.0</v>
      </c>
      <c r="B325" s="21"/>
      <c r="C325" s="29" t="s">
        <v>3</v>
      </c>
      <c r="D325" s="29" t="s">
        <v>1103</v>
      </c>
      <c r="E325" s="19" t="s">
        <v>4388</v>
      </c>
      <c r="F325" s="29" t="s">
        <v>2308</v>
      </c>
      <c r="G325" s="29" t="s">
        <v>2336</v>
      </c>
      <c r="H325" s="31">
        <f t="shared" si="18"/>
        <v>1029.752066</v>
      </c>
      <c r="I325" s="73"/>
      <c r="J325" s="66">
        <v>1246.0</v>
      </c>
      <c r="K325" s="58">
        <v>1.0</v>
      </c>
      <c r="L325" s="33">
        <f>IF('Global Precios'!J325*(1-I325)*(1+'Global Precios'!K325)&gt;10000,MROUND('Global Precios'!J325*(1-I325)*(1+'Global Precios'!K325),1000),MROUND('Global Precios'!J325*(1-I325)*(1+'Global Precios'!K325),500))</f>
        <v>2500</v>
      </c>
      <c r="M325" s="50">
        <v>10.0</v>
      </c>
      <c r="N325" s="50" t="s">
        <v>4383</v>
      </c>
      <c r="O325" s="21"/>
      <c r="P325" s="35">
        <v>45901.0</v>
      </c>
      <c r="Q325" s="36">
        <f t="shared" si="7"/>
        <v>36</v>
      </c>
      <c r="R325" s="37">
        <v>30.0</v>
      </c>
      <c r="S325" s="21"/>
      <c r="T325" s="41" t="str">
        <f>IFERROR(VLOOKUP(D325,BUSCARV!$A$1:$C$5524,2,0),"")</f>
        <v/>
      </c>
      <c r="U325" s="42"/>
      <c r="V325" s="42" t="str">
        <f t="shared" si="3"/>
        <v/>
      </c>
      <c r="W325" s="44" t="str">
        <f t="shared" si="4"/>
        <v/>
      </c>
      <c r="X325" s="44"/>
      <c r="Y325" s="45">
        <f t="shared" si="5"/>
        <v>0</v>
      </c>
      <c r="Z325" s="46" t="s">
        <v>449</v>
      </c>
      <c r="AA325" s="46"/>
    </row>
    <row r="326">
      <c r="A326" s="91">
        <v>348.0</v>
      </c>
      <c r="B326" s="21"/>
      <c r="C326" s="29" t="s">
        <v>3</v>
      </c>
      <c r="D326" s="29" t="s">
        <v>1106</v>
      </c>
      <c r="E326" s="29" t="s">
        <v>4389</v>
      </c>
      <c r="F326" s="21" t="s">
        <v>1795</v>
      </c>
      <c r="G326" s="29" t="s">
        <v>1905</v>
      </c>
      <c r="H326" s="31">
        <f t="shared" si="18"/>
        <v>560.3305785</v>
      </c>
      <c r="I326" s="60">
        <v>0.08</v>
      </c>
      <c r="J326" s="66">
        <v>678.0</v>
      </c>
      <c r="K326" s="58">
        <v>0.4</v>
      </c>
      <c r="L326" s="33">
        <f>IF('Global Precios'!J326*(1-I326)*(1+'Global Precios'!K326)&gt;1000,MROUND('Global Precios'!J326*(1-I326)*(1+'Global Precios'!K326),100),MROUND('Global Precios'!J326*(1-I326)*(1+'Global Precios'!K326),10))</f>
        <v>870</v>
      </c>
      <c r="M326" s="27">
        <v>0.85</v>
      </c>
      <c r="N326" s="34" t="s">
        <v>1823</v>
      </c>
      <c r="O326" s="21"/>
      <c r="P326" s="35">
        <v>45323.0</v>
      </c>
      <c r="Q326" s="36">
        <f t="shared" si="7"/>
        <v>41</v>
      </c>
      <c r="R326" s="37">
        <v>30.0</v>
      </c>
      <c r="S326" s="21"/>
      <c r="T326" s="41" t="str">
        <f>IFERROR(VLOOKUP(D326,BUSCARV!$A$1:$C$5524,2,0),"")</f>
        <v/>
      </c>
      <c r="U326" s="42"/>
      <c r="V326" s="42" t="str">
        <f t="shared" si="3"/>
        <v/>
      </c>
      <c r="W326" s="44" t="str">
        <f t="shared" si="4"/>
        <v/>
      </c>
      <c r="X326" s="44"/>
      <c r="Y326" s="45">
        <f t="shared" si="5"/>
        <v>0</v>
      </c>
      <c r="Z326" s="46" t="s">
        <v>1075</v>
      </c>
      <c r="AA326" s="46"/>
    </row>
    <row r="327">
      <c r="A327" s="91">
        <v>349.0</v>
      </c>
      <c r="B327" s="21"/>
      <c r="C327" s="29" t="s">
        <v>3</v>
      </c>
      <c r="D327" s="29" t="s">
        <v>1109</v>
      </c>
      <c r="E327" s="29" t="s">
        <v>4390</v>
      </c>
      <c r="F327" s="21" t="s">
        <v>1795</v>
      </c>
      <c r="G327" s="29" t="s">
        <v>1797</v>
      </c>
      <c r="H327" s="31">
        <f t="shared" si="18"/>
        <v>785.1239669</v>
      </c>
      <c r="I327" s="60">
        <v>0.08</v>
      </c>
      <c r="J327" s="66">
        <v>950.0</v>
      </c>
      <c r="K327" s="60">
        <v>0.5</v>
      </c>
      <c r="L327" s="33">
        <f>IF('Global Precios'!J327*(1-I327)*(1+'Global Precios'!K327)&gt;1000,MROUND('Global Precios'!J327*(1-I327)*(1+'Global Precios'!K327),100),MROUND('Global Precios'!J327*(1-I327)*(1+'Global Precios'!K327),10))</f>
        <v>1300</v>
      </c>
      <c r="M327" s="50">
        <v>100.0</v>
      </c>
      <c r="N327" s="50" t="s">
        <v>4391</v>
      </c>
      <c r="O327" s="21"/>
      <c r="P327" s="35">
        <v>45748.0</v>
      </c>
      <c r="Q327" s="36">
        <f t="shared" si="7"/>
        <v>30</v>
      </c>
      <c r="R327" s="37">
        <v>30.0</v>
      </c>
      <c r="S327" s="21"/>
      <c r="T327" s="41" t="str">
        <f>IFERROR(VLOOKUP(D327,BUSCARV!$A$1:$C$5524,2,0),"")</f>
        <v/>
      </c>
      <c r="U327" s="42"/>
      <c r="V327" s="42" t="str">
        <f t="shared" si="3"/>
        <v/>
      </c>
      <c r="W327" s="44" t="str">
        <f t="shared" si="4"/>
        <v/>
      </c>
      <c r="X327" s="44"/>
      <c r="Y327" s="45">
        <f t="shared" si="5"/>
        <v>0</v>
      </c>
      <c r="Z327" s="46" t="s">
        <v>449</v>
      </c>
      <c r="AA327" s="46"/>
    </row>
    <row r="328">
      <c r="A328" s="91">
        <v>350.0</v>
      </c>
      <c r="B328" s="21"/>
      <c r="C328" s="29" t="s">
        <v>3</v>
      </c>
      <c r="D328" s="29" t="s">
        <v>1112</v>
      </c>
      <c r="E328" s="29" t="s">
        <v>4389</v>
      </c>
      <c r="F328" s="21" t="s">
        <v>1795</v>
      </c>
      <c r="G328" s="29" t="s">
        <v>1905</v>
      </c>
      <c r="H328" s="31">
        <f t="shared" si="18"/>
        <v>560.3305785</v>
      </c>
      <c r="I328" s="60">
        <v>0.08</v>
      </c>
      <c r="J328" s="66">
        <v>678.0</v>
      </c>
      <c r="K328" s="58">
        <v>0.4</v>
      </c>
      <c r="L328" s="33">
        <f>IF('Global Precios'!J328*(1-I328)*(1+'Global Precios'!K328)&gt;1000,MROUND('Global Precios'!J328*(1-I328)*(1+'Global Precios'!K328),100),MROUND('Global Precios'!J328*(1-I328)*(1+'Global Precios'!K328),10))</f>
        <v>870</v>
      </c>
      <c r="M328" s="27">
        <v>0.85</v>
      </c>
      <c r="N328" s="34" t="s">
        <v>1823</v>
      </c>
      <c r="O328" s="21"/>
      <c r="P328" s="35">
        <v>45323.0</v>
      </c>
      <c r="Q328" s="36">
        <f t="shared" si="7"/>
        <v>33</v>
      </c>
      <c r="R328" s="37">
        <v>30.0</v>
      </c>
      <c r="S328" s="21"/>
      <c r="T328" s="41" t="str">
        <f>IFERROR(VLOOKUP(D328,BUSCARV!$A$1:$C$5524,2,0),"")</f>
        <v/>
      </c>
      <c r="U328" s="42"/>
      <c r="V328" s="42" t="str">
        <f t="shared" si="3"/>
        <v/>
      </c>
      <c r="W328" s="44" t="str">
        <f t="shared" si="4"/>
        <v/>
      </c>
      <c r="X328" s="44"/>
      <c r="Y328" s="45">
        <f t="shared" si="5"/>
        <v>0</v>
      </c>
      <c r="Z328" s="46" t="s">
        <v>1075</v>
      </c>
      <c r="AA328" s="46"/>
    </row>
    <row r="329">
      <c r="A329" s="107">
        <v>351.0</v>
      </c>
      <c r="B329" s="27"/>
      <c r="C329" s="19" t="s">
        <v>3</v>
      </c>
      <c r="D329" s="19" t="s">
        <v>1115</v>
      </c>
      <c r="E329" s="21"/>
      <c r="F329" s="19" t="s">
        <v>1982</v>
      </c>
      <c r="G329" s="19" t="s">
        <v>1905</v>
      </c>
      <c r="H329" s="48">
        <v>910.0</v>
      </c>
      <c r="I329" s="108"/>
      <c r="J329" s="61">
        <v>8101.0</v>
      </c>
      <c r="K329" s="60">
        <v>0.8</v>
      </c>
      <c r="L329" s="33">
        <f>IF('Global Precios'!J329*(1-I329)*(1+'Global Precios'!K329)&gt;10000,MROUND('Global Precios'!J329*(1-I329)*(1+'Global Precios'!K329),1000),MROUND('Global Precios'!J329*(1-I329)*(1+'Global Precios'!K329),500))</f>
        <v>15000</v>
      </c>
      <c r="M329" s="37">
        <v>1.0</v>
      </c>
      <c r="N329" s="109" t="s">
        <v>46</v>
      </c>
      <c r="O329" s="21"/>
      <c r="P329" s="35">
        <v>45839.0</v>
      </c>
      <c r="Q329" s="36">
        <f t="shared" si="7"/>
        <v>34</v>
      </c>
      <c r="R329" s="19">
        <v>30.0</v>
      </c>
      <c r="S329" s="21"/>
      <c r="T329" s="41" t="str">
        <f>IFERROR(VLOOKUP(D329,BUSCARV!$A$1:$C$5524,2,0),"")</f>
        <v/>
      </c>
      <c r="U329" s="42"/>
      <c r="V329" s="42" t="str">
        <f t="shared" si="3"/>
        <v/>
      </c>
      <c r="W329" s="44" t="str">
        <f t="shared" si="4"/>
        <v/>
      </c>
      <c r="X329" s="44"/>
      <c r="Y329" s="45">
        <f t="shared" si="5"/>
        <v>0</v>
      </c>
      <c r="Z329" s="46" t="s">
        <v>449</v>
      </c>
      <c r="AA329" s="46" t="s">
        <v>4392</v>
      </c>
    </row>
    <row r="330">
      <c r="A330" s="110">
        <v>352.0</v>
      </c>
      <c r="B330" s="21"/>
      <c r="C330" s="19" t="s">
        <v>3</v>
      </c>
      <c r="D330" s="19" t="s">
        <v>1118</v>
      </c>
      <c r="E330" s="21"/>
      <c r="F330" s="19" t="s">
        <v>1982</v>
      </c>
      <c r="G330" s="19" t="s">
        <v>1797</v>
      </c>
      <c r="H330" s="48">
        <v>1391.0</v>
      </c>
      <c r="I330" s="21"/>
      <c r="J330" s="19">
        <v>5248.0</v>
      </c>
      <c r="K330" s="58">
        <v>1.0</v>
      </c>
      <c r="L330" s="33">
        <f>IF('Global Precios'!J330*(1-I330)*(1+'Global Precios'!K330)&gt;10000,MROUND('Global Precios'!J330*(1-I330)*(1+'Global Precios'!K330),1000),MROUND('Global Precios'!J330*(1-I330)*(1+'Global Precios'!K330),500))</f>
        <v>10000</v>
      </c>
      <c r="M330" s="19">
        <v>1.0</v>
      </c>
      <c r="N330" s="19" t="s">
        <v>46</v>
      </c>
      <c r="O330" s="21"/>
      <c r="P330" s="35">
        <v>45839.0</v>
      </c>
      <c r="Q330" s="36">
        <f t="shared" si="7"/>
        <v>41</v>
      </c>
      <c r="R330" s="19">
        <v>30.0</v>
      </c>
      <c r="S330" s="21"/>
      <c r="T330" s="41" t="str">
        <f>IFERROR(VLOOKUP(D330,BUSCARV!$A$1:$C$5524,2,0),"")</f>
        <v/>
      </c>
      <c r="U330" s="42"/>
      <c r="V330" s="42" t="str">
        <f t="shared" si="3"/>
        <v/>
      </c>
      <c r="W330" s="44" t="str">
        <f t="shared" si="4"/>
        <v/>
      </c>
      <c r="X330" s="44"/>
      <c r="Y330" s="45">
        <f t="shared" si="5"/>
        <v>0</v>
      </c>
      <c r="Z330" s="46" t="s">
        <v>449</v>
      </c>
      <c r="AA330" s="46" t="s">
        <v>4393</v>
      </c>
    </row>
    <row r="331">
      <c r="A331" s="110">
        <v>353.0</v>
      </c>
      <c r="B331" s="21"/>
      <c r="C331" s="19" t="s">
        <v>3</v>
      </c>
      <c r="D331" s="19" t="s">
        <v>4394</v>
      </c>
      <c r="E331" s="21"/>
      <c r="F331" s="19" t="s">
        <v>1982</v>
      </c>
      <c r="G331" s="19" t="s">
        <v>1797</v>
      </c>
      <c r="H331" s="48">
        <v>86.0</v>
      </c>
      <c r="I331" s="21"/>
      <c r="J331" s="19">
        <v>573.0</v>
      </c>
      <c r="K331" s="58">
        <v>1.0</v>
      </c>
      <c r="L331" s="33">
        <f>IF('Global Precios'!J331*(1-I331)*(1+'Global Precios'!K331)&gt;10000,MROUND('Global Precios'!J331*(1-I331)*(1+'Global Precios'!K331),1000),MROUND('Global Precios'!J331*(1-I331)*(1+'Global Precios'!K331),500))</f>
        <v>1000</v>
      </c>
      <c r="M331" s="19">
        <v>1.0</v>
      </c>
      <c r="N331" s="19" t="s">
        <v>46</v>
      </c>
      <c r="O331" s="21"/>
      <c r="P331" s="35">
        <v>45597.0</v>
      </c>
      <c r="Q331" s="36">
        <f t="shared" si="7"/>
        <v>19</v>
      </c>
      <c r="R331" s="19">
        <v>30.0</v>
      </c>
      <c r="S331" s="21"/>
      <c r="T331" s="41" t="str">
        <f>IFERROR(VLOOKUP(D331,BUSCARV!$A$1:$C$5524,2,0),"")</f>
        <v/>
      </c>
      <c r="U331" s="42"/>
      <c r="V331" s="42" t="str">
        <f t="shared" si="3"/>
        <v/>
      </c>
      <c r="W331" s="44" t="str">
        <f t="shared" si="4"/>
        <v/>
      </c>
      <c r="X331" s="44"/>
      <c r="Y331" s="45">
        <f t="shared" si="5"/>
        <v>0</v>
      </c>
      <c r="Z331" s="46" t="s">
        <v>1075</v>
      </c>
      <c r="AA331" s="46" t="s">
        <v>4395</v>
      </c>
    </row>
    <row r="332">
      <c r="A332" s="110">
        <v>354.0</v>
      </c>
      <c r="B332" s="21"/>
      <c r="C332" s="19" t="s">
        <v>3</v>
      </c>
      <c r="D332" s="19" t="s">
        <v>1125</v>
      </c>
      <c r="E332" s="21"/>
      <c r="F332" s="19" t="s">
        <v>1982</v>
      </c>
      <c r="G332" s="19" t="s">
        <v>1797</v>
      </c>
      <c r="H332" s="48">
        <v>158.0</v>
      </c>
      <c r="I332" s="21"/>
      <c r="J332" s="19">
        <v>1148.0</v>
      </c>
      <c r="K332" s="111">
        <v>1.0</v>
      </c>
      <c r="L332" s="33">
        <f>IF('Global Precios'!J332*(1-I332)*(1+'Global Precios'!K332)&gt;10000,MROUND('Global Precios'!J332*(1-I332)*(1+'Global Precios'!K332),1000),MROUND('Global Precios'!J332*(1-I332)*(1+'Global Precios'!K332),500))</f>
        <v>2500</v>
      </c>
      <c r="M332" s="19">
        <v>1.0</v>
      </c>
      <c r="N332" s="19" t="s">
        <v>46</v>
      </c>
      <c r="O332" s="21"/>
      <c r="P332" s="35">
        <v>45839.0</v>
      </c>
      <c r="Q332" s="36">
        <f t="shared" si="7"/>
        <v>18</v>
      </c>
      <c r="R332" s="19">
        <v>30.0</v>
      </c>
      <c r="S332" s="21"/>
      <c r="T332" s="41" t="str">
        <f>IFERROR(VLOOKUP(D332,BUSCARV!$A$1:$C$5524,2,0),"")</f>
        <v/>
      </c>
      <c r="U332" s="42"/>
      <c r="V332" s="42" t="str">
        <f t="shared" si="3"/>
        <v/>
      </c>
      <c r="W332" s="44" t="str">
        <f t="shared" si="4"/>
        <v/>
      </c>
      <c r="X332" s="44"/>
      <c r="Y332" s="45">
        <f t="shared" si="5"/>
        <v>0</v>
      </c>
      <c r="Z332" s="46" t="s">
        <v>449</v>
      </c>
      <c r="AA332" s="46" t="s">
        <v>4396</v>
      </c>
    </row>
    <row r="333">
      <c r="A333" s="110">
        <v>358.0</v>
      </c>
      <c r="B333" s="21"/>
      <c r="C333" s="19" t="s">
        <v>3</v>
      </c>
      <c r="D333" s="19" t="s">
        <v>4397</v>
      </c>
      <c r="E333" s="21"/>
      <c r="F333" s="19" t="s">
        <v>1982</v>
      </c>
      <c r="G333" s="19" t="s">
        <v>1797</v>
      </c>
      <c r="H333" s="48">
        <v>503.0</v>
      </c>
      <c r="I333" s="21"/>
      <c r="J333" s="19">
        <v>4070.0</v>
      </c>
      <c r="K333" s="111">
        <v>1.0</v>
      </c>
      <c r="L333" s="33">
        <f>IF('Global Precios'!J333*(1-I333)*(1+'Global Precios'!K333)&gt;10000,MROUND('Global Precios'!J333*(1-I333)*(1+'Global Precios'!K333),1000),MROUND('Global Precios'!J333*(1-I333)*(1+'Global Precios'!K333),500))</f>
        <v>8000</v>
      </c>
      <c r="M333" s="19">
        <v>1.0</v>
      </c>
      <c r="N333" s="19" t="s">
        <v>46</v>
      </c>
      <c r="O333" s="21"/>
      <c r="P333" s="35">
        <v>45839.0</v>
      </c>
      <c r="Q333" s="36">
        <f t="shared" si="7"/>
        <v>20</v>
      </c>
      <c r="R333" s="19">
        <v>30.0</v>
      </c>
      <c r="S333" s="21"/>
      <c r="T333" s="41" t="str">
        <f>IFERROR(VLOOKUP(D333,BUSCARV!$A$1:$C$5524,2,0),"")</f>
        <v/>
      </c>
      <c r="U333" s="42"/>
      <c r="V333" s="42" t="str">
        <f t="shared" si="3"/>
        <v/>
      </c>
      <c r="W333" s="44" t="str">
        <f t="shared" si="4"/>
        <v/>
      </c>
      <c r="X333" s="44"/>
      <c r="Y333" s="45">
        <f t="shared" si="5"/>
        <v>0</v>
      </c>
      <c r="Z333" s="46" t="s">
        <v>449</v>
      </c>
      <c r="AA333" s="46" t="s">
        <v>4398</v>
      </c>
    </row>
    <row r="334">
      <c r="A334" s="110">
        <v>359.0</v>
      </c>
      <c r="B334" s="21"/>
      <c r="C334" s="19" t="s">
        <v>3</v>
      </c>
      <c r="D334" s="19" t="s">
        <v>1131</v>
      </c>
      <c r="E334" s="21"/>
      <c r="F334" s="19" t="s">
        <v>1982</v>
      </c>
      <c r="G334" s="19" t="s">
        <v>1797</v>
      </c>
      <c r="H334" s="48">
        <v>321.0</v>
      </c>
      <c r="I334" s="21"/>
      <c r="J334" s="19">
        <v>1875.0</v>
      </c>
      <c r="K334" s="111">
        <v>1.0</v>
      </c>
      <c r="L334" s="33">
        <f>IF('Global Precios'!J334*(1-I334)*(1+'Global Precios'!K334)&gt;10000,MROUND('Global Precios'!J334*(1-I334)*(1+'Global Precios'!K334),1000),MROUND('Global Precios'!J334*(1-I334)*(1+'Global Precios'!K334),500))</f>
        <v>4000</v>
      </c>
      <c r="M334" s="19">
        <v>1.0</v>
      </c>
      <c r="N334" s="19" t="s">
        <v>46</v>
      </c>
      <c r="O334" s="21"/>
      <c r="P334" s="35">
        <v>45839.0</v>
      </c>
      <c r="Q334" s="36">
        <f t="shared" si="7"/>
        <v>17</v>
      </c>
      <c r="R334" s="19">
        <v>30.0</v>
      </c>
      <c r="S334" s="21"/>
      <c r="T334" s="41" t="str">
        <f>IFERROR(VLOOKUP(D334,BUSCARV!$A$1:$C$5524,2,0),"")</f>
        <v/>
      </c>
      <c r="U334" s="42"/>
      <c r="V334" s="42" t="str">
        <f t="shared" si="3"/>
        <v/>
      </c>
      <c r="W334" s="44" t="str">
        <f t="shared" si="4"/>
        <v/>
      </c>
      <c r="X334" s="44"/>
      <c r="Y334" s="45">
        <f t="shared" si="5"/>
        <v>0</v>
      </c>
      <c r="Z334" s="46" t="s">
        <v>449</v>
      </c>
      <c r="AA334" s="46" t="s">
        <v>4399</v>
      </c>
    </row>
    <row r="335">
      <c r="A335" s="110">
        <v>360.0</v>
      </c>
      <c r="B335" s="21"/>
      <c r="C335" s="19" t="s">
        <v>3</v>
      </c>
      <c r="D335" s="19" t="s">
        <v>1135</v>
      </c>
      <c r="E335" s="21"/>
      <c r="F335" s="19" t="s">
        <v>1982</v>
      </c>
      <c r="G335" s="19" t="s">
        <v>1797</v>
      </c>
      <c r="H335" s="48">
        <v>471.0</v>
      </c>
      <c r="I335" s="21"/>
      <c r="J335" s="19">
        <v>2512.0</v>
      </c>
      <c r="K335" s="111">
        <v>1.0</v>
      </c>
      <c r="L335" s="33">
        <f>IF('Global Precios'!J335*(1-I335)*(1+'Global Precios'!K335)&gt;10000,MROUND('Global Precios'!J335*(1-I335)*(1+'Global Precios'!K335),1000),MROUND('Global Precios'!J335*(1-I335)*(1+'Global Precios'!K335),500))</f>
        <v>5000</v>
      </c>
      <c r="M335" s="19">
        <v>1.0</v>
      </c>
      <c r="N335" s="19" t="s">
        <v>46</v>
      </c>
      <c r="O335" s="21"/>
      <c r="P335" s="35">
        <v>45839.0</v>
      </c>
      <c r="Q335" s="36">
        <f t="shared" si="7"/>
        <v>19</v>
      </c>
      <c r="R335" s="19">
        <v>30.0</v>
      </c>
      <c r="S335" s="21"/>
      <c r="T335" s="41" t="str">
        <f>IFERROR(VLOOKUP(D335,BUSCARV!$A$1:$C$5524,2,0),"")</f>
        <v/>
      </c>
      <c r="U335" s="42"/>
      <c r="V335" s="42" t="str">
        <f t="shared" si="3"/>
        <v/>
      </c>
      <c r="W335" s="44" t="str">
        <f t="shared" si="4"/>
        <v/>
      </c>
      <c r="X335" s="44"/>
      <c r="Y335" s="45">
        <f t="shared" si="5"/>
        <v>0</v>
      </c>
      <c r="Z335" s="46" t="s">
        <v>449</v>
      </c>
      <c r="AA335" s="46" t="s">
        <v>4400</v>
      </c>
    </row>
    <row r="336">
      <c r="A336" s="110">
        <v>361.0</v>
      </c>
      <c r="B336" s="21"/>
      <c r="C336" s="19" t="s">
        <v>3</v>
      </c>
      <c r="D336" s="19" t="s">
        <v>1138</v>
      </c>
      <c r="E336" s="21"/>
      <c r="F336" s="19" t="s">
        <v>1982</v>
      </c>
      <c r="G336" s="19" t="s">
        <v>1905</v>
      </c>
      <c r="H336" s="48">
        <v>610.0</v>
      </c>
      <c r="I336" s="21"/>
      <c r="J336" s="19">
        <v>1241.0</v>
      </c>
      <c r="K336" s="111">
        <v>0.8</v>
      </c>
      <c r="L336" s="33">
        <f>IF('Global Precios'!J336*(1-I336)*(1+'Global Precios'!K336)&gt;1000,MROUND('Global Precios'!J336*(1-I336)*(1+'Global Precios'!K336),100),MROUND('Global Precios'!J336*(1-I336)*(1+'Global Precios'!K336),10))</f>
        <v>2200</v>
      </c>
      <c r="M336" s="19">
        <v>1.0</v>
      </c>
      <c r="N336" s="19" t="s">
        <v>46</v>
      </c>
      <c r="O336" s="21"/>
      <c r="P336" s="35">
        <v>45292.0</v>
      </c>
      <c r="Q336" s="36">
        <f t="shared" si="7"/>
        <v>12</v>
      </c>
      <c r="R336" s="19">
        <v>30.0</v>
      </c>
      <c r="S336" s="21"/>
      <c r="T336" s="41" t="str">
        <f>IFERROR(VLOOKUP(D336,BUSCARV!$A$1:$C$5524,2,0),"")</f>
        <v/>
      </c>
      <c r="U336" s="63"/>
      <c r="V336" s="42" t="str">
        <f t="shared" si="3"/>
        <v/>
      </c>
      <c r="W336" s="44" t="str">
        <f t="shared" si="4"/>
        <v/>
      </c>
      <c r="X336" s="44"/>
      <c r="Y336" s="45">
        <f t="shared" si="5"/>
        <v>0</v>
      </c>
      <c r="Z336" s="46" t="s">
        <v>1075</v>
      </c>
      <c r="AA336" s="96" t="s">
        <v>4401</v>
      </c>
    </row>
    <row r="337">
      <c r="A337" s="110">
        <v>362.0</v>
      </c>
      <c r="B337" s="21"/>
      <c r="C337" s="19" t="s">
        <v>3</v>
      </c>
      <c r="D337" s="19" t="s">
        <v>4402</v>
      </c>
      <c r="E337" s="50" t="s">
        <v>4294</v>
      </c>
      <c r="F337" s="19" t="s">
        <v>1982</v>
      </c>
      <c r="G337" s="19" t="s">
        <v>1797</v>
      </c>
      <c r="H337" s="48">
        <v>305.0</v>
      </c>
      <c r="I337" s="21"/>
      <c r="J337" s="19">
        <v>1494.0</v>
      </c>
      <c r="K337" s="111">
        <v>1.0</v>
      </c>
      <c r="L337" s="33">
        <f>IF('Global Precios'!J337*(1-I337)*(1+'Global Precios'!K337)&gt;10000,MROUND('Global Precios'!J337*(1-I337)*(1+'Global Precios'!K337),1000),MROUND('Global Precios'!J337*(1-I337)*(1+'Global Precios'!K337),500))</f>
        <v>3000</v>
      </c>
      <c r="M337" s="19">
        <v>1.0</v>
      </c>
      <c r="N337" s="19" t="s">
        <v>46</v>
      </c>
      <c r="O337" s="21"/>
      <c r="P337" s="35">
        <v>45839.0</v>
      </c>
      <c r="Q337" s="36">
        <f t="shared" si="7"/>
        <v>17</v>
      </c>
      <c r="R337" s="19">
        <v>30.0</v>
      </c>
      <c r="S337" s="21"/>
      <c r="T337" s="41" t="str">
        <f>IFERROR(VLOOKUP(D337,BUSCARV!$A$1:$C$5524,2,0),"")</f>
        <v/>
      </c>
      <c r="U337" s="42"/>
      <c r="V337" s="42" t="str">
        <f t="shared" si="3"/>
        <v/>
      </c>
      <c r="W337" s="44" t="str">
        <f t="shared" si="4"/>
        <v/>
      </c>
      <c r="X337" s="44"/>
      <c r="Y337" s="45">
        <f t="shared" si="5"/>
        <v>0</v>
      </c>
      <c r="Z337" s="46" t="s">
        <v>449</v>
      </c>
      <c r="AA337" s="46" t="s">
        <v>4305</v>
      </c>
    </row>
    <row r="338">
      <c r="A338" s="110">
        <v>363.0</v>
      </c>
      <c r="B338" s="21"/>
      <c r="C338" s="19" t="s">
        <v>3</v>
      </c>
      <c r="D338" s="19" t="s">
        <v>1145</v>
      </c>
      <c r="E338" s="21"/>
      <c r="F338" s="19" t="s">
        <v>1982</v>
      </c>
      <c r="G338" s="19" t="s">
        <v>1905</v>
      </c>
      <c r="H338" s="48">
        <v>375.0</v>
      </c>
      <c r="I338" s="21"/>
      <c r="J338" s="19">
        <v>2346.0</v>
      </c>
      <c r="K338" s="111">
        <v>1.0</v>
      </c>
      <c r="L338" s="33">
        <f>IF('Global Precios'!J338*(1-I338)*(1+'Global Precios'!K338)&gt;10000,MROUND('Global Precios'!J338*(1-I338)*(1+'Global Precios'!K338),1000),MROUND('Global Precios'!J338*(1-I338)*(1+'Global Precios'!K338),500))</f>
        <v>4500</v>
      </c>
      <c r="M338" s="19">
        <v>1.0</v>
      </c>
      <c r="N338" s="19" t="s">
        <v>46</v>
      </c>
      <c r="O338" s="21"/>
      <c r="P338" s="35">
        <v>45839.0</v>
      </c>
      <c r="Q338" s="36">
        <f t="shared" si="7"/>
        <v>18</v>
      </c>
      <c r="R338" s="19">
        <v>30.0</v>
      </c>
      <c r="S338" s="21"/>
      <c r="T338" s="41" t="str">
        <f>IFERROR(VLOOKUP(D338,BUSCARV!$A$1:$C$5524,2,0),"")</f>
        <v/>
      </c>
      <c r="U338" s="42"/>
      <c r="V338" s="42" t="str">
        <f t="shared" si="3"/>
        <v/>
      </c>
      <c r="W338" s="44" t="str">
        <f t="shared" si="4"/>
        <v/>
      </c>
      <c r="X338" s="44"/>
      <c r="Y338" s="45">
        <f t="shared" si="5"/>
        <v>0</v>
      </c>
      <c r="Z338" s="46" t="s">
        <v>449</v>
      </c>
      <c r="AA338" s="46" t="s">
        <v>4403</v>
      </c>
    </row>
    <row r="339">
      <c r="A339" s="110">
        <v>364.0</v>
      </c>
      <c r="B339" s="21"/>
      <c r="C339" s="19" t="s">
        <v>3</v>
      </c>
      <c r="D339" s="19" t="s">
        <v>1149</v>
      </c>
      <c r="E339" s="21"/>
      <c r="F339" s="19" t="s">
        <v>1982</v>
      </c>
      <c r="G339" s="19" t="s">
        <v>1797</v>
      </c>
      <c r="H339" s="48">
        <v>364.0</v>
      </c>
      <c r="I339" s="21"/>
      <c r="J339" s="19">
        <v>982.0</v>
      </c>
      <c r="K339" s="111">
        <v>1.0</v>
      </c>
      <c r="L339" s="33">
        <f>IF('Global Precios'!J339*(1-I339)*(1+'Global Precios'!K339)&gt;1000,MROUND('Global Precios'!J339*(1-I339)*(1+'Global Precios'!K339),100),MROUND('Global Precios'!J339*(1-I339)*(1+'Global Precios'!K339),10))</f>
        <v>2000</v>
      </c>
      <c r="M339" s="19">
        <v>1.0</v>
      </c>
      <c r="N339" s="19" t="s">
        <v>46</v>
      </c>
      <c r="O339" s="21"/>
      <c r="P339" s="35">
        <v>45261.0</v>
      </c>
      <c r="Q339" s="36">
        <f t="shared" si="7"/>
        <v>34</v>
      </c>
      <c r="R339" s="19">
        <v>30.0</v>
      </c>
      <c r="S339" s="21"/>
      <c r="T339" s="41" t="str">
        <f>IFERROR(VLOOKUP(D339,BUSCARV!$A$1:$C$5524,2,0),"")</f>
        <v/>
      </c>
      <c r="U339" s="63"/>
      <c r="V339" s="42" t="str">
        <f t="shared" si="3"/>
        <v/>
      </c>
      <c r="W339" s="44" t="str">
        <f t="shared" si="4"/>
        <v/>
      </c>
      <c r="X339" s="44"/>
      <c r="Y339" s="45">
        <f t="shared" si="5"/>
        <v>0</v>
      </c>
      <c r="Z339" s="46" t="s">
        <v>1075</v>
      </c>
      <c r="AA339" s="46" t="s">
        <v>4404</v>
      </c>
    </row>
    <row r="340">
      <c r="A340" s="110">
        <v>365.0</v>
      </c>
      <c r="B340" s="21"/>
      <c r="C340" s="19" t="s">
        <v>3</v>
      </c>
      <c r="D340" s="19" t="s">
        <v>1153</v>
      </c>
      <c r="E340" s="19" t="s">
        <v>4334</v>
      </c>
      <c r="F340" s="19" t="s">
        <v>1795</v>
      </c>
      <c r="G340" s="19" t="s">
        <v>1905</v>
      </c>
      <c r="H340" s="31">
        <f t="shared" ref="H340:H347" si="19">IF(J340="","",J340/1.21)</f>
        <v>2671.900826</v>
      </c>
      <c r="I340" s="111">
        <v>0.08</v>
      </c>
      <c r="J340" s="19">
        <v>3233.0</v>
      </c>
      <c r="K340" s="111">
        <v>0.5</v>
      </c>
      <c r="L340" s="33">
        <f>IF('Global Precios'!J340*(1-I340)*(1+'Global Precios'!K340)&gt;1000,MROUND('Global Precios'!J340*(1-I340)*(1+'Global Precios'!K340),100),MROUND('Global Precios'!J340*(1-I340)*(1+'Global Precios'!K340),10))</f>
        <v>4500</v>
      </c>
      <c r="M340" s="112">
        <v>44682.0</v>
      </c>
      <c r="N340" s="19" t="s">
        <v>1823</v>
      </c>
      <c r="O340" s="21"/>
      <c r="P340" s="35">
        <v>45017.0</v>
      </c>
      <c r="Q340" s="36">
        <f t="shared" si="7"/>
        <v>36</v>
      </c>
      <c r="R340" s="19">
        <v>30.0</v>
      </c>
      <c r="S340" s="21"/>
      <c r="T340" s="41" t="str">
        <f>IFERROR(VLOOKUP(D340,BUSCARV!$A$1:$C$5524,2,0),"")</f>
        <v/>
      </c>
      <c r="U340" s="42"/>
      <c r="V340" s="42" t="str">
        <f t="shared" si="3"/>
        <v/>
      </c>
      <c r="W340" s="44" t="str">
        <f t="shared" si="4"/>
        <v/>
      </c>
      <c r="X340" s="44"/>
      <c r="Y340" s="45">
        <f t="shared" si="5"/>
        <v>0</v>
      </c>
      <c r="Z340" s="46" t="s">
        <v>1075</v>
      </c>
      <c r="AA340" s="46"/>
    </row>
    <row r="341">
      <c r="A341" s="110">
        <v>366.0</v>
      </c>
      <c r="B341" s="21"/>
      <c r="C341" s="19" t="s">
        <v>3</v>
      </c>
      <c r="D341" s="19" t="s">
        <v>1156</v>
      </c>
      <c r="E341" s="19" t="s">
        <v>4334</v>
      </c>
      <c r="F341" s="19" t="s">
        <v>1795</v>
      </c>
      <c r="G341" s="19" t="s">
        <v>1797</v>
      </c>
      <c r="H341" s="31">
        <f t="shared" si="19"/>
        <v>2714.876033</v>
      </c>
      <c r="I341" s="111">
        <v>0.08</v>
      </c>
      <c r="J341" s="19">
        <v>3285.0</v>
      </c>
      <c r="K341" s="111">
        <v>0.5</v>
      </c>
      <c r="L341" s="33">
        <f>IF('Global Precios'!J341*(1-I341)*(1+'Global Precios'!K341)&gt;1000,MROUND('Global Precios'!J341*(1-I341)*(1+'Global Precios'!K341),100),MROUND('Global Precios'!J341*(1-I341)*(1+'Global Precios'!K341),10))</f>
        <v>4500</v>
      </c>
      <c r="M341" s="19">
        <v>2.0</v>
      </c>
      <c r="N341" s="19" t="s">
        <v>1823</v>
      </c>
      <c r="O341" s="21"/>
      <c r="P341" s="35">
        <v>45017.0</v>
      </c>
      <c r="Q341" s="36">
        <f t="shared" si="7"/>
        <v>32</v>
      </c>
      <c r="R341" s="19">
        <v>30.0</v>
      </c>
      <c r="S341" s="21"/>
      <c r="T341" s="41" t="str">
        <f>IFERROR(VLOOKUP(D341,BUSCARV!$A$1:$C$5524,2,0),"")</f>
        <v/>
      </c>
      <c r="U341" s="42"/>
      <c r="V341" s="42" t="str">
        <f t="shared" si="3"/>
        <v/>
      </c>
      <c r="W341" s="44" t="str">
        <f t="shared" si="4"/>
        <v/>
      </c>
      <c r="X341" s="44"/>
      <c r="Y341" s="45">
        <f t="shared" si="5"/>
        <v>0</v>
      </c>
      <c r="Z341" s="46" t="s">
        <v>1075</v>
      </c>
      <c r="AA341" s="46"/>
    </row>
    <row r="342">
      <c r="A342" s="110">
        <v>367.0</v>
      </c>
      <c r="B342" s="21"/>
      <c r="C342" s="19" t="s">
        <v>3</v>
      </c>
      <c r="D342" s="19" t="s">
        <v>1159</v>
      </c>
      <c r="E342" s="50" t="s">
        <v>4405</v>
      </c>
      <c r="F342" s="19" t="s">
        <v>2308</v>
      </c>
      <c r="G342" s="19" t="s">
        <v>2344</v>
      </c>
      <c r="H342" s="31">
        <f t="shared" si="19"/>
        <v>5797.520661</v>
      </c>
      <c r="I342" s="19"/>
      <c r="J342" s="19">
        <v>7015.0</v>
      </c>
      <c r="K342" s="111">
        <v>0.8</v>
      </c>
      <c r="L342" s="33">
        <f>IF('Global Precios'!J342*(1-I342)*(1+'Global Precios'!K342)&gt;10000,MROUND('Global Precios'!J342*(1-I342)*(1+'Global Precios'!K342),1000),MROUND('Global Precios'!J342*(1-I342)*(1+'Global Precios'!K342),500))</f>
        <v>13000</v>
      </c>
      <c r="M342" s="19">
        <v>1.0</v>
      </c>
      <c r="N342" s="19" t="s">
        <v>46</v>
      </c>
      <c r="O342" s="21"/>
      <c r="P342" s="35">
        <v>45839.0</v>
      </c>
      <c r="Q342" s="36">
        <f t="shared" si="7"/>
        <v>22</v>
      </c>
      <c r="R342" s="19">
        <v>30.0</v>
      </c>
      <c r="S342" s="21"/>
      <c r="T342" s="41">
        <f>IFERROR(VLOOKUP(D342,BUSCARV!$A$1:$C$5524,2,0),"")</f>
        <v>7015</v>
      </c>
      <c r="U342" s="42"/>
      <c r="V342" s="42">
        <f t="shared" si="3"/>
        <v>7015</v>
      </c>
      <c r="W342" s="44">
        <f t="shared" si="4"/>
        <v>0</v>
      </c>
      <c r="X342" s="44"/>
      <c r="Y342" s="45">
        <f t="shared" si="5"/>
        <v>0</v>
      </c>
      <c r="Z342" s="46" t="s">
        <v>449</v>
      </c>
      <c r="AA342" s="46"/>
    </row>
    <row r="343">
      <c r="A343" s="110">
        <v>368.0</v>
      </c>
      <c r="B343" s="21"/>
      <c r="C343" s="19" t="s">
        <v>3</v>
      </c>
      <c r="D343" s="50" t="s">
        <v>1162</v>
      </c>
      <c r="E343" s="19" t="s">
        <v>2591</v>
      </c>
      <c r="F343" s="19" t="s">
        <v>2308</v>
      </c>
      <c r="G343" s="19" t="s">
        <v>2344</v>
      </c>
      <c r="H343" s="31">
        <f t="shared" si="19"/>
        <v>2107.438017</v>
      </c>
      <c r="I343" s="21"/>
      <c r="J343" s="19">
        <v>2550.0</v>
      </c>
      <c r="K343" s="111">
        <v>0.8</v>
      </c>
      <c r="L343" s="33">
        <f>IF('Global Precios'!J343*(1-I343)*(1+'Global Precios'!K343)&gt;10000,MROUND('Global Precios'!J343*(1-I343)*(1+'Global Precios'!K343),1000),MROUND('Global Precios'!J343*(1-I343)*(1+'Global Precios'!K343),500))</f>
        <v>4500</v>
      </c>
      <c r="M343" s="19">
        <v>1.0</v>
      </c>
      <c r="N343" s="19" t="s">
        <v>46</v>
      </c>
      <c r="O343" s="21"/>
      <c r="P343" s="35">
        <v>45839.0</v>
      </c>
      <c r="Q343" s="36">
        <f t="shared" si="7"/>
        <v>27</v>
      </c>
      <c r="R343" s="19">
        <v>30.0</v>
      </c>
      <c r="S343" s="21"/>
      <c r="T343" s="41">
        <f>IFERROR(VLOOKUP(D343,BUSCARV!$A$1:$C$5524,2,0),"")</f>
        <v>2550</v>
      </c>
      <c r="U343" s="42"/>
      <c r="V343" s="42">
        <f t="shared" si="3"/>
        <v>2550</v>
      </c>
      <c r="W343" s="44">
        <f t="shared" si="4"/>
        <v>0</v>
      </c>
      <c r="X343" s="44"/>
      <c r="Y343" s="45">
        <f t="shared" si="5"/>
        <v>0</v>
      </c>
      <c r="Z343" s="46" t="s">
        <v>449</v>
      </c>
      <c r="AA343" s="46"/>
    </row>
    <row r="344">
      <c r="A344" s="110">
        <v>369.0</v>
      </c>
      <c r="B344" s="21"/>
      <c r="C344" s="19" t="s">
        <v>3</v>
      </c>
      <c r="D344" s="19" t="s">
        <v>850</v>
      </c>
      <c r="E344" s="50" t="s">
        <v>2533</v>
      </c>
      <c r="F344" s="19" t="s">
        <v>2308</v>
      </c>
      <c r="G344" s="19" t="s">
        <v>2344</v>
      </c>
      <c r="H344" s="31">
        <f t="shared" si="19"/>
        <v>4861.157025</v>
      </c>
      <c r="I344" s="21"/>
      <c r="J344" s="19">
        <v>5882.0</v>
      </c>
      <c r="K344" s="111">
        <v>0.8</v>
      </c>
      <c r="L344" s="33">
        <f>IF('Global Precios'!J344*(1-I344)*(1+'Global Precios'!K344)&gt;10000,MROUND('Global Precios'!J344*(1-I344)*(1+'Global Precios'!K344),1000),MROUND('Global Precios'!J344*(1-I344)*(1+'Global Precios'!K344),500))</f>
        <v>11000</v>
      </c>
      <c r="M344" s="19">
        <v>1.0</v>
      </c>
      <c r="N344" s="19" t="s">
        <v>46</v>
      </c>
      <c r="O344" s="21"/>
      <c r="P344" s="35">
        <v>45839.0</v>
      </c>
      <c r="Q344" s="36">
        <f t="shared" si="7"/>
        <v>18</v>
      </c>
      <c r="R344" s="19">
        <v>30.0</v>
      </c>
      <c r="S344" s="21"/>
      <c r="T344" s="41">
        <f>IFERROR(VLOOKUP(D344,BUSCARV!$A$1:$C$5524,2,0),"")</f>
        <v>5882</v>
      </c>
      <c r="U344" s="42"/>
      <c r="V344" s="42">
        <f t="shared" si="3"/>
        <v>5882</v>
      </c>
      <c r="W344" s="44">
        <f t="shared" si="4"/>
        <v>0</v>
      </c>
      <c r="X344" s="44"/>
      <c r="Y344" s="45">
        <f t="shared" si="5"/>
        <v>0</v>
      </c>
      <c r="Z344" s="46" t="s">
        <v>449</v>
      </c>
      <c r="AA344" s="46"/>
    </row>
    <row r="345">
      <c r="A345" s="110">
        <v>370.0</v>
      </c>
      <c r="B345" s="21"/>
      <c r="C345" s="19" t="s">
        <v>3</v>
      </c>
      <c r="D345" s="19" t="s">
        <v>1166</v>
      </c>
      <c r="E345" s="50" t="s">
        <v>2533</v>
      </c>
      <c r="F345" s="19" t="s">
        <v>2308</v>
      </c>
      <c r="G345" s="19" t="s">
        <v>2329</v>
      </c>
      <c r="H345" s="31">
        <f t="shared" si="19"/>
        <v>1127.272727</v>
      </c>
      <c r="I345" s="21"/>
      <c r="J345" s="19">
        <v>1364.0</v>
      </c>
      <c r="K345" s="111">
        <v>0.8</v>
      </c>
      <c r="L345" s="33">
        <f>IF('Global Precios'!J345*(1-I345)*(1+'Global Precios'!K345)&gt;1000,MROUND('Global Precios'!J345*(1-I345)*(1+'Global Precios'!K345),100),MROUND('Global Precios'!J345*(1-I345)*(1+'Global Precios'!K345),10))</f>
        <v>2500</v>
      </c>
      <c r="M345" s="19">
        <v>1.0</v>
      </c>
      <c r="N345" s="19" t="s">
        <v>46</v>
      </c>
      <c r="O345" s="21"/>
      <c r="P345" s="35">
        <v>45200.0</v>
      </c>
      <c r="Q345" s="36">
        <f t="shared" si="7"/>
        <v>22</v>
      </c>
      <c r="R345" s="19">
        <v>30.0</v>
      </c>
      <c r="S345" s="21"/>
      <c r="T345" s="41" t="str">
        <f>IFERROR(VLOOKUP(D345,BUSCARV!$A$1:$C$5524,2,0),"")</f>
        <v/>
      </c>
      <c r="U345" s="42"/>
      <c r="V345" s="42" t="str">
        <f t="shared" si="3"/>
        <v/>
      </c>
      <c r="W345" s="44" t="str">
        <f t="shared" si="4"/>
        <v/>
      </c>
      <c r="X345" s="44"/>
      <c r="Y345" s="45">
        <f t="shared" si="5"/>
        <v>0</v>
      </c>
      <c r="Z345" s="46" t="s">
        <v>1075</v>
      </c>
      <c r="AA345" s="46"/>
    </row>
    <row r="346">
      <c r="A346" s="110">
        <v>371.0</v>
      </c>
      <c r="B346" s="21"/>
      <c r="C346" s="19" t="s">
        <v>3</v>
      </c>
      <c r="D346" s="19" t="s">
        <v>1170</v>
      </c>
      <c r="E346" s="19" t="s">
        <v>4345</v>
      </c>
      <c r="F346" s="19" t="s">
        <v>1795</v>
      </c>
      <c r="G346" s="19" t="s">
        <v>1797</v>
      </c>
      <c r="H346" s="31">
        <f t="shared" si="19"/>
        <v>7028.099174</v>
      </c>
      <c r="I346" s="21"/>
      <c r="J346" s="19">
        <v>8504.0</v>
      </c>
      <c r="K346" s="111">
        <v>0.3</v>
      </c>
      <c r="L346" s="33">
        <f>IF('Global Precios'!J346*(1-I346)*(1+'Global Precios'!K346)&gt;1000,MROUND('Global Precios'!J346*(1-I346)*(1+'Global Precios'!K346),100),MROUND('Global Precios'!J346*(1-I346)*(1+'Global Precios'!K346),10))</f>
        <v>11100</v>
      </c>
      <c r="M346" s="91">
        <v>3.0</v>
      </c>
      <c r="N346" s="29" t="s">
        <v>1823</v>
      </c>
      <c r="O346" s="21"/>
      <c r="P346" s="35">
        <v>45323.0</v>
      </c>
      <c r="Q346" s="36">
        <f t="shared" si="7"/>
        <v>53</v>
      </c>
      <c r="R346" s="19">
        <v>30.0</v>
      </c>
      <c r="S346" s="21"/>
      <c r="T346" s="41" t="str">
        <f>IFERROR(VLOOKUP(D346,BUSCARV!$A$1:$C$5524,2,0),"")</f>
        <v/>
      </c>
      <c r="U346" s="42"/>
      <c r="V346" s="42" t="str">
        <f t="shared" si="3"/>
        <v/>
      </c>
      <c r="W346" s="44" t="str">
        <f t="shared" si="4"/>
        <v/>
      </c>
      <c r="X346" s="44"/>
      <c r="Y346" s="45">
        <f t="shared" si="5"/>
        <v>0</v>
      </c>
      <c r="Z346" s="46" t="s">
        <v>1075</v>
      </c>
      <c r="AA346" s="46"/>
    </row>
    <row r="347">
      <c r="A347" s="110">
        <v>372.0</v>
      </c>
      <c r="B347" s="21"/>
      <c r="C347" s="19" t="s">
        <v>3</v>
      </c>
      <c r="D347" s="19" t="s">
        <v>1173</v>
      </c>
      <c r="E347" s="21"/>
      <c r="F347" s="19" t="s">
        <v>2308</v>
      </c>
      <c r="G347" s="19" t="s">
        <v>2339</v>
      </c>
      <c r="H347" s="31">
        <f t="shared" si="19"/>
        <v>829.7520661</v>
      </c>
      <c r="I347" s="21"/>
      <c r="J347" s="19">
        <v>1004.0</v>
      </c>
      <c r="K347" s="111">
        <v>1.0</v>
      </c>
      <c r="L347" s="33">
        <f>IF('Global Precios'!J347*(1-I347)*(1+'Global Precios'!K347)&gt;1000,MROUND('Global Precios'!J347*(1-I347)*(1+'Global Precios'!K347),100),MROUND('Global Precios'!J347*(1-I347)*(1+'Global Precios'!K347),10))</f>
        <v>2000</v>
      </c>
      <c r="M347" s="19">
        <v>7.0</v>
      </c>
      <c r="N347" s="19" t="s">
        <v>4287</v>
      </c>
      <c r="O347" s="21"/>
      <c r="P347" s="35">
        <v>45231.0</v>
      </c>
      <c r="Q347" s="36">
        <f t="shared" si="7"/>
        <v>46</v>
      </c>
      <c r="R347" s="19">
        <v>30.0</v>
      </c>
      <c r="S347" s="21"/>
      <c r="T347" s="41" t="str">
        <f>IFERROR(VLOOKUP(D347,BUSCARV!$A$1:$C$5524,2,0),"")</f>
        <v/>
      </c>
      <c r="U347" s="42"/>
      <c r="V347" s="42" t="str">
        <f t="shared" si="3"/>
        <v/>
      </c>
      <c r="W347" s="44" t="str">
        <f t="shared" si="4"/>
        <v/>
      </c>
      <c r="X347" s="44"/>
      <c r="Y347" s="45">
        <f t="shared" si="5"/>
        <v>0</v>
      </c>
      <c r="Z347" s="46" t="s">
        <v>1075</v>
      </c>
      <c r="AA347" s="46"/>
    </row>
    <row r="348">
      <c r="A348" s="110">
        <v>373.0</v>
      </c>
      <c r="B348" s="21"/>
      <c r="C348" s="19" t="s">
        <v>3</v>
      </c>
      <c r="D348" s="19" t="s">
        <v>1176</v>
      </c>
      <c r="E348" s="21"/>
      <c r="F348" s="19" t="s">
        <v>1982</v>
      </c>
      <c r="G348" s="19" t="s">
        <v>2316</v>
      </c>
      <c r="H348" s="48">
        <v>384.0</v>
      </c>
      <c r="I348" s="21"/>
      <c r="J348" s="19">
        <v>1392.0</v>
      </c>
      <c r="K348" s="111">
        <v>0.8</v>
      </c>
      <c r="L348" s="33">
        <f>IF('Global Precios'!J348*(1-I348)*(1+'Global Precios'!K348)&gt;10000,MROUND('Global Precios'!J348*(1-I348)*(1+'Global Precios'!K348),1000),MROUND('Global Precios'!J348*(1-I348)*(1+'Global Precios'!K348),500))</f>
        <v>2500</v>
      </c>
      <c r="M348" s="19">
        <v>1.0</v>
      </c>
      <c r="N348" s="19" t="s">
        <v>46</v>
      </c>
      <c r="O348" s="21"/>
      <c r="P348" s="35">
        <v>45839.0</v>
      </c>
      <c r="Q348" s="36">
        <f t="shared" si="7"/>
        <v>14</v>
      </c>
      <c r="R348" s="19">
        <v>30.0</v>
      </c>
      <c r="S348" s="21"/>
      <c r="T348" s="41" t="str">
        <f>IFERROR(VLOOKUP(D348,BUSCARV!$A$1:$C$5524,2,0),"")</f>
        <v/>
      </c>
      <c r="U348" s="42"/>
      <c r="V348" s="42" t="str">
        <f t="shared" si="3"/>
        <v/>
      </c>
      <c r="W348" s="44" t="str">
        <f t="shared" si="4"/>
        <v/>
      </c>
      <c r="X348" s="44"/>
      <c r="Y348" s="45">
        <f t="shared" si="5"/>
        <v>0</v>
      </c>
      <c r="Z348" s="46" t="s">
        <v>449</v>
      </c>
      <c r="AA348" s="46" t="s">
        <v>4406</v>
      </c>
    </row>
    <row r="349">
      <c r="A349" s="110">
        <v>374.0</v>
      </c>
      <c r="B349" s="21"/>
      <c r="C349" s="19" t="s">
        <v>3</v>
      </c>
      <c r="D349" s="19" t="s">
        <v>1179</v>
      </c>
      <c r="E349" s="21"/>
      <c r="F349" s="19" t="s">
        <v>1982</v>
      </c>
      <c r="G349" s="19" t="s">
        <v>2316</v>
      </c>
      <c r="H349" s="48">
        <v>458.0</v>
      </c>
      <c r="I349" s="21"/>
      <c r="J349" s="19">
        <v>1928.0</v>
      </c>
      <c r="K349" s="111">
        <v>0.8</v>
      </c>
      <c r="L349" s="33">
        <f>IF('Global Precios'!J349*(1-I349)*(1+'Global Precios'!K349)&gt;10000,MROUND('Global Precios'!J349*(1-I349)*(1+'Global Precios'!K349),1000),MROUND('Global Precios'!J349*(1-I349)*(1+'Global Precios'!K349),500))</f>
        <v>3500</v>
      </c>
      <c r="M349" s="19">
        <v>1.0</v>
      </c>
      <c r="N349" s="19" t="s">
        <v>46</v>
      </c>
      <c r="O349" s="21"/>
      <c r="P349" s="35">
        <v>45839.0</v>
      </c>
      <c r="Q349" s="36">
        <f t="shared" si="7"/>
        <v>14</v>
      </c>
      <c r="R349" s="19">
        <v>30.0</v>
      </c>
      <c r="S349" s="21"/>
      <c r="T349" s="41" t="str">
        <f>IFERROR(VLOOKUP(D349,BUSCARV!$A$1:$C$5524,2,0),"")</f>
        <v/>
      </c>
      <c r="U349" s="42"/>
      <c r="V349" s="42" t="str">
        <f t="shared" si="3"/>
        <v/>
      </c>
      <c r="W349" s="44" t="str">
        <f t="shared" si="4"/>
        <v/>
      </c>
      <c r="X349" s="44"/>
      <c r="Y349" s="45">
        <f t="shared" si="5"/>
        <v>0</v>
      </c>
      <c r="Z349" s="46" t="s">
        <v>449</v>
      </c>
      <c r="AA349" s="46" t="s">
        <v>4407</v>
      </c>
    </row>
    <row r="350">
      <c r="A350" s="110">
        <v>375.0</v>
      </c>
      <c r="B350" s="21"/>
      <c r="C350" s="19" t="s">
        <v>3</v>
      </c>
      <c r="D350" s="19" t="s">
        <v>1182</v>
      </c>
      <c r="E350" s="21"/>
      <c r="F350" s="19" t="s">
        <v>1982</v>
      </c>
      <c r="G350" s="19" t="s">
        <v>2316</v>
      </c>
      <c r="H350" s="48">
        <v>555.0</v>
      </c>
      <c r="I350" s="21"/>
      <c r="J350" s="19">
        <v>2785.0</v>
      </c>
      <c r="K350" s="111">
        <v>0.8</v>
      </c>
      <c r="L350" s="33">
        <f>IF('Global Precios'!J350*(1-I350)*(1+'Global Precios'!K350)&gt;10000,MROUND('Global Precios'!J350*(1-I350)*(1+'Global Precios'!K350),1000),MROUND('Global Precios'!J350*(1-I350)*(1+'Global Precios'!K350),500))</f>
        <v>5000</v>
      </c>
      <c r="M350" s="19">
        <v>1.0</v>
      </c>
      <c r="N350" s="19" t="s">
        <v>46</v>
      </c>
      <c r="O350" s="21"/>
      <c r="P350" s="35">
        <v>45839.0</v>
      </c>
      <c r="Q350" s="36">
        <f t="shared" si="7"/>
        <v>14</v>
      </c>
      <c r="R350" s="19">
        <v>30.0</v>
      </c>
      <c r="S350" s="21"/>
      <c r="T350" s="41" t="str">
        <f>IFERROR(VLOOKUP(D350,BUSCARV!$A$1:$C$5524,2,0),"")</f>
        <v/>
      </c>
      <c r="U350" s="42"/>
      <c r="V350" s="42" t="str">
        <f t="shared" si="3"/>
        <v/>
      </c>
      <c r="W350" s="44" t="str">
        <f t="shared" si="4"/>
        <v/>
      </c>
      <c r="X350" s="44"/>
      <c r="Y350" s="45">
        <f t="shared" si="5"/>
        <v>0</v>
      </c>
      <c r="Z350" s="46" t="s">
        <v>449</v>
      </c>
      <c r="AA350" s="46" t="s">
        <v>4408</v>
      </c>
    </row>
    <row r="351">
      <c r="A351" s="110">
        <v>376.0</v>
      </c>
      <c r="B351" s="21"/>
      <c r="C351" s="19" t="s">
        <v>3</v>
      </c>
      <c r="D351" s="19" t="s">
        <v>1185</v>
      </c>
      <c r="E351" s="21"/>
      <c r="F351" s="19" t="s">
        <v>1982</v>
      </c>
      <c r="G351" s="19" t="s">
        <v>2316</v>
      </c>
      <c r="H351" s="48">
        <v>555.0</v>
      </c>
      <c r="I351" s="21"/>
      <c r="J351" s="19">
        <v>2952.0</v>
      </c>
      <c r="K351" s="111">
        <v>0.8</v>
      </c>
      <c r="L351" s="33">
        <f>IF('Global Precios'!J351*(1-I351)*(1+'Global Precios'!K351)&gt;1000,MROUND('Global Precios'!J351*(1-I351)*(1+'Global Precios'!K351),100),MROUND('Global Precios'!J351*(1-I351)*(1+'Global Precios'!K351),10))</f>
        <v>5300</v>
      </c>
      <c r="M351" s="19">
        <v>1.0</v>
      </c>
      <c r="N351" s="19" t="s">
        <v>46</v>
      </c>
      <c r="O351" s="21"/>
      <c r="P351" s="35">
        <v>45413.0</v>
      </c>
      <c r="Q351" s="36">
        <f t="shared" si="7"/>
        <v>19</v>
      </c>
      <c r="R351" s="19">
        <v>30.0</v>
      </c>
      <c r="S351" s="21"/>
      <c r="T351" s="41" t="str">
        <f>IFERROR(VLOOKUP(D351,BUSCARV!$A$1:$C$5524,2,0),"")</f>
        <v/>
      </c>
      <c r="U351" s="63"/>
      <c r="V351" s="42" t="str">
        <f t="shared" si="3"/>
        <v/>
      </c>
      <c r="W351" s="44" t="str">
        <f t="shared" si="4"/>
        <v/>
      </c>
      <c r="X351" s="44"/>
      <c r="Y351" s="45">
        <f t="shared" si="5"/>
        <v>0</v>
      </c>
      <c r="Z351" s="46" t="s">
        <v>1075</v>
      </c>
      <c r="AA351" s="46" t="s">
        <v>4409</v>
      </c>
    </row>
    <row r="352">
      <c r="A352" s="110">
        <v>377.0</v>
      </c>
      <c r="B352" s="21"/>
      <c r="C352" s="19" t="s">
        <v>3</v>
      </c>
      <c r="D352" s="19" t="s">
        <v>1188</v>
      </c>
      <c r="E352" s="21"/>
      <c r="F352" s="19" t="s">
        <v>1982</v>
      </c>
      <c r="G352" s="50" t="s">
        <v>2321</v>
      </c>
      <c r="H352" s="48">
        <v>482.0</v>
      </c>
      <c r="I352" s="21"/>
      <c r="J352" s="19">
        <v>2678.0</v>
      </c>
      <c r="K352" s="111">
        <v>0.8</v>
      </c>
      <c r="L352" s="33">
        <f>IF('Global Precios'!J352*(1-I352)*(1+'Global Precios'!K352)&gt;10000,MROUND('Global Precios'!J352*(1-I352)*(1+'Global Precios'!K352),1000),MROUND('Global Precios'!J352*(1-I352)*(1+'Global Precios'!K352),500))</f>
        <v>5000</v>
      </c>
      <c r="M352" s="94">
        <v>1.0</v>
      </c>
      <c r="N352" s="29" t="s">
        <v>46</v>
      </c>
      <c r="O352" s="21"/>
      <c r="P352" s="35">
        <v>45839.0</v>
      </c>
      <c r="Q352" s="36">
        <f t="shared" si="7"/>
        <v>25</v>
      </c>
      <c r="R352" s="19">
        <v>30.0</v>
      </c>
      <c r="S352" s="21"/>
      <c r="T352" s="41" t="str">
        <f>IFERROR(VLOOKUP(D352,BUSCARV!$A$1:$C$5524,2,0),"")</f>
        <v/>
      </c>
      <c r="U352" s="42"/>
      <c r="V352" s="42" t="str">
        <f t="shared" si="3"/>
        <v/>
      </c>
      <c r="W352" s="44" t="str">
        <f t="shared" si="4"/>
        <v/>
      </c>
      <c r="X352" s="44"/>
      <c r="Y352" s="45">
        <f t="shared" si="5"/>
        <v>0</v>
      </c>
      <c r="Z352" s="46" t="s">
        <v>449</v>
      </c>
      <c r="AA352" s="46" t="s">
        <v>4410</v>
      </c>
    </row>
    <row r="353">
      <c r="A353" s="110">
        <v>378.0</v>
      </c>
      <c r="B353" s="21"/>
      <c r="C353" s="19" t="s">
        <v>3</v>
      </c>
      <c r="D353" s="19" t="s">
        <v>1190</v>
      </c>
      <c r="E353" s="21"/>
      <c r="F353" s="19" t="s">
        <v>1982</v>
      </c>
      <c r="G353" s="21"/>
      <c r="H353" s="48">
        <v>749.0</v>
      </c>
      <c r="I353" s="21"/>
      <c r="J353" s="19">
        <v>1475.0</v>
      </c>
      <c r="K353" s="111">
        <v>1.0</v>
      </c>
      <c r="L353" s="33">
        <f>IF('Global Precios'!J353*(1-I353)*(1+'Global Precios'!K353)&gt;1000,MROUND('Global Precios'!J353*(1-I353)*(1+'Global Precios'!K353),100),MROUND('Global Precios'!J353*(1-I353)*(1+'Global Precios'!K353),10))</f>
        <v>3000</v>
      </c>
      <c r="M353" s="50">
        <v>1.0</v>
      </c>
      <c r="N353" s="50" t="s">
        <v>46</v>
      </c>
      <c r="O353" s="21"/>
      <c r="P353" s="35">
        <v>45261.0</v>
      </c>
      <c r="Q353" s="36">
        <f t="shared" si="7"/>
        <v>31</v>
      </c>
      <c r="R353" s="19">
        <v>30.0</v>
      </c>
      <c r="S353" s="21"/>
      <c r="T353" s="41" t="str">
        <f>IFERROR(VLOOKUP(D353,BUSCARV!$A$1:$C$5524,2,0),"")</f>
        <v/>
      </c>
      <c r="U353" s="63"/>
      <c r="V353" s="42" t="str">
        <f t="shared" si="3"/>
        <v/>
      </c>
      <c r="W353" s="44" t="str">
        <f t="shared" si="4"/>
        <v/>
      </c>
      <c r="X353" s="44"/>
      <c r="Y353" s="45">
        <f t="shared" si="5"/>
        <v>0</v>
      </c>
      <c r="Z353" s="46" t="s">
        <v>1075</v>
      </c>
      <c r="AA353" s="46"/>
    </row>
    <row r="354">
      <c r="A354" s="110">
        <v>379.0</v>
      </c>
      <c r="B354" s="21"/>
      <c r="C354" s="19" t="s">
        <v>3</v>
      </c>
      <c r="D354" s="19" t="s">
        <v>1193</v>
      </c>
      <c r="E354" s="21"/>
      <c r="F354" s="19" t="s">
        <v>1982</v>
      </c>
      <c r="G354" s="21"/>
      <c r="H354" s="48">
        <v>717.0</v>
      </c>
      <c r="I354" s="21"/>
      <c r="J354" s="19">
        <v>1415.0</v>
      </c>
      <c r="K354" s="111">
        <v>1.0</v>
      </c>
      <c r="L354" s="33">
        <f>IF('Global Precios'!J354*(1-I354)*(1+'Global Precios'!K354)&gt;1000,MROUND('Global Precios'!J354*(1-I354)*(1+'Global Precios'!K354),100),MROUND('Global Precios'!J354*(1-I354)*(1+'Global Precios'!K354),10))</f>
        <v>2800</v>
      </c>
      <c r="M354" s="50">
        <v>1.0</v>
      </c>
      <c r="N354" s="50" t="s">
        <v>46</v>
      </c>
      <c r="O354" s="21"/>
      <c r="P354" s="35">
        <v>45261.0</v>
      </c>
      <c r="Q354" s="36">
        <f t="shared" si="7"/>
        <v>31</v>
      </c>
      <c r="R354" s="19">
        <v>30.0</v>
      </c>
      <c r="S354" s="21"/>
      <c r="T354" s="41" t="str">
        <f>IFERROR(VLOOKUP(D354,BUSCARV!$A$1:$C$5524,2,0),"")</f>
        <v/>
      </c>
      <c r="U354" s="63"/>
      <c r="V354" s="42" t="str">
        <f t="shared" si="3"/>
        <v/>
      </c>
      <c r="W354" s="44" t="str">
        <f t="shared" si="4"/>
        <v/>
      </c>
      <c r="X354" s="44"/>
      <c r="Y354" s="45">
        <f t="shared" si="5"/>
        <v>0</v>
      </c>
      <c r="Z354" s="46" t="s">
        <v>1075</v>
      </c>
      <c r="AA354" s="46"/>
    </row>
    <row r="355">
      <c r="A355" s="110">
        <v>380.0</v>
      </c>
      <c r="B355" s="21"/>
      <c r="C355" s="19" t="s">
        <v>3</v>
      </c>
      <c r="D355" s="19" t="s">
        <v>1196</v>
      </c>
      <c r="E355" s="21"/>
      <c r="F355" s="19" t="s">
        <v>1982</v>
      </c>
      <c r="G355" s="50" t="s">
        <v>2316</v>
      </c>
      <c r="H355" s="48">
        <v>867.0</v>
      </c>
      <c r="I355" s="21"/>
      <c r="J355" s="19">
        <v>4605.0</v>
      </c>
      <c r="K355" s="111">
        <v>0.8</v>
      </c>
      <c r="L355" s="33">
        <f>IF('Global Precios'!J355*(1-I355)*(1+'Global Precios'!K355)&gt;10000,MROUND('Global Precios'!J355*(1-I355)*(1+'Global Precios'!K355),1000),MROUND('Global Precios'!J355*(1-I355)*(1+'Global Precios'!K355),500))</f>
        <v>8500</v>
      </c>
      <c r="M355" s="50">
        <v>1.0</v>
      </c>
      <c r="N355" s="50" t="s">
        <v>46</v>
      </c>
      <c r="O355" s="21"/>
      <c r="P355" s="35">
        <v>45839.0</v>
      </c>
      <c r="Q355" s="36">
        <f t="shared" si="7"/>
        <v>25</v>
      </c>
      <c r="R355" s="19">
        <v>30.0</v>
      </c>
      <c r="S355" s="21"/>
      <c r="T355" s="41" t="str">
        <f>IFERROR(VLOOKUP(D355,BUSCARV!$A$1:$C$5524,2,0),"")</f>
        <v/>
      </c>
      <c r="U355" s="42"/>
      <c r="V355" s="42" t="str">
        <f t="shared" si="3"/>
        <v/>
      </c>
      <c r="W355" s="44" t="str">
        <f t="shared" si="4"/>
        <v/>
      </c>
      <c r="X355" s="44"/>
      <c r="Y355" s="45">
        <f t="shared" si="5"/>
        <v>0</v>
      </c>
      <c r="Z355" s="46" t="s">
        <v>449</v>
      </c>
      <c r="AA355" s="46" t="s">
        <v>4411</v>
      </c>
    </row>
    <row r="356">
      <c r="A356" s="110">
        <v>381.0</v>
      </c>
      <c r="B356" s="21"/>
      <c r="C356" s="19" t="s">
        <v>3</v>
      </c>
      <c r="D356" s="19" t="s">
        <v>1199</v>
      </c>
      <c r="E356" s="21"/>
      <c r="F356" s="19" t="s">
        <v>1982</v>
      </c>
      <c r="G356" s="50" t="s">
        <v>2316</v>
      </c>
      <c r="H356" s="48">
        <v>1017.0</v>
      </c>
      <c r="I356" s="21"/>
      <c r="J356" s="19">
        <v>5298.0</v>
      </c>
      <c r="K356" s="111">
        <v>0.8</v>
      </c>
      <c r="L356" s="33">
        <f>IF('Global Precios'!J356*(1-I356)*(1+'Global Precios'!K356)&gt;10000,MROUND('Global Precios'!J356*(1-I356)*(1+'Global Precios'!K356),1000),MROUND('Global Precios'!J356*(1-I356)*(1+'Global Precios'!K356),500))</f>
        <v>9500</v>
      </c>
      <c r="M356" s="50">
        <v>1.0</v>
      </c>
      <c r="N356" s="50" t="s">
        <v>46</v>
      </c>
      <c r="O356" s="21"/>
      <c r="P356" s="35">
        <v>45839.0</v>
      </c>
      <c r="Q356" s="36">
        <f t="shared" si="7"/>
        <v>25</v>
      </c>
      <c r="R356" s="19">
        <v>30.0</v>
      </c>
      <c r="S356" s="21"/>
      <c r="T356" s="41" t="str">
        <f>IFERROR(VLOOKUP(D356,BUSCARV!$A$1:$C$5524,2,0),"")</f>
        <v/>
      </c>
      <c r="U356" s="42"/>
      <c r="V356" s="42" t="str">
        <f t="shared" si="3"/>
        <v/>
      </c>
      <c r="W356" s="44" t="str">
        <f t="shared" si="4"/>
        <v/>
      </c>
      <c r="X356" s="44"/>
      <c r="Y356" s="45">
        <f t="shared" si="5"/>
        <v>0</v>
      </c>
      <c r="Z356" s="46" t="s">
        <v>449</v>
      </c>
      <c r="AA356" s="46" t="s">
        <v>4412</v>
      </c>
    </row>
    <row r="357">
      <c r="A357" s="110">
        <v>382.0</v>
      </c>
      <c r="B357" s="21"/>
      <c r="C357" s="19" t="s">
        <v>3</v>
      </c>
      <c r="D357" s="19" t="s">
        <v>1201</v>
      </c>
      <c r="E357" s="21"/>
      <c r="F357" s="19" t="s">
        <v>2308</v>
      </c>
      <c r="G357" s="19" t="s">
        <v>2339</v>
      </c>
      <c r="H357" s="31">
        <f t="shared" ref="H357:H360" si="20">IF(J357="","",J357/1.21)</f>
        <v>2145.454545</v>
      </c>
      <c r="I357" s="21"/>
      <c r="J357" s="50">
        <v>2596.0</v>
      </c>
      <c r="K357" s="111">
        <v>1.0</v>
      </c>
      <c r="L357" s="33">
        <f>IF('Global Precios'!J357*(1-I357)*(1+'Global Precios'!K357)&gt;10000,MROUND('Global Precios'!J357*(1-I357)*(1+'Global Precios'!K357),1000),MROUND('Global Precios'!J357*(1-I357)*(1+'Global Precios'!K357),500))</f>
        <v>5000</v>
      </c>
      <c r="M357" s="19">
        <v>10.0</v>
      </c>
      <c r="N357" s="19" t="s">
        <v>4413</v>
      </c>
      <c r="O357" s="21"/>
      <c r="P357" s="35">
        <v>45839.0</v>
      </c>
      <c r="Q357" s="36">
        <f t="shared" si="7"/>
        <v>34</v>
      </c>
      <c r="R357" s="19">
        <v>30.0</v>
      </c>
      <c r="S357" s="21"/>
      <c r="T357" s="41" t="str">
        <f>IFERROR(VLOOKUP(D357,BUSCARV!$A$1:$C$5524,2,0),"")</f>
        <v/>
      </c>
      <c r="U357" s="42"/>
      <c r="V357" s="42" t="str">
        <f t="shared" si="3"/>
        <v/>
      </c>
      <c r="W357" s="44" t="str">
        <f t="shared" si="4"/>
        <v/>
      </c>
      <c r="X357" s="44"/>
      <c r="Y357" s="45">
        <f t="shared" si="5"/>
        <v>0</v>
      </c>
      <c r="Z357" s="46" t="s">
        <v>449</v>
      </c>
      <c r="AA357" s="46"/>
    </row>
    <row r="358">
      <c r="A358" s="110">
        <v>383.0</v>
      </c>
      <c r="B358" s="21"/>
      <c r="C358" s="19" t="s">
        <v>3</v>
      </c>
      <c r="D358" s="19" t="s">
        <v>4414</v>
      </c>
      <c r="E358" s="19" t="s">
        <v>4334</v>
      </c>
      <c r="F358" s="19" t="s">
        <v>1795</v>
      </c>
      <c r="G358" s="50" t="s">
        <v>2321</v>
      </c>
      <c r="H358" s="31">
        <f t="shared" si="20"/>
        <v>3157.85124</v>
      </c>
      <c r="I358" s="111">
        <v>0.08</v>
      </c>
      <c r="J358" s="19">
        <v>3821.0</v>
      </c>
      <c r="K358" s="111">
        <v>0.4</v>
      </c>
      <c r="L358" s="33">
        <f>IF('Global Precios'!J358*(1-I358)*(1+'Global Precios'!K358)&gt;1000,MROUND('Global Precios'!J358*(1-I358)*(1+'Global Precios'!K358),100),MROUND('Global Precios'!J358*(1-I358)*(1+'Global Precios'!K358),10))</f>
        <v>4900</v>
      </c>
      <c r="M358" s="19">
        <v>1.0</v>
      </c>
      <c r="N358" s="19" t="s">
        <v>4415</v>
      </c>
      <c r="O358" s="21"/>
      <c r="P358" s="113">
        <v>45231.0</v>
      </c>
      <c r="Q358" s="36">
        <f t="shared" si="7"/>
        <v>28</v>
      </c>
      <c r="R358" s="19">
        <v>30.0</v>
      </c>
      <c r="S358" s="21"/>
      <c r="T358" s="41" t="str">
        <f>IFERROR(VLOOKUP(D358,BUSCARV!$A$1:$C$5524,2,0),"")</f>
        <v/>
      </c>
      <c r="U358" s="42"/>
      <c r="V358" s="42" t="str">
        <f t="shared" si="3"/>
        <v/>
      </c>
      <c r="W358" s="44" t="str">
        <f t="shared" si="4"/>
        <v/>
      </c>
      <c r="X358" s="44"/>
      <c r="Y358" s="45">
        <f t="shared" si="5"/>
        <v>0</v>
      </c>
      <c r="Z358" s="46" t="s">
        <v>1075</v>
      </c>
      <c r="AA358" s="46"/>
    </row>
    <row r="359">
      <c r="A359" s="110">
        <v>384.0</v>
      </c>
      <c r="B359" s="21"/>
      <c r="C359" s="19" t="s">
        <v>3</v>
      </c>
      <c r="D359" s="19" t="s">
        <v>1205</v>
      </c>
      <c r="E359" s="19" t="s">
        <v>4416</v>
      </c>
      <c r="F359" s="19" t="s">
        <v>1795</v>
      </c>
      <c r="G359" s="50" t="s">
        <v>2316</v>
      </c>
      <c r="H359" s="31">
        <f t="shared" si="20"/>
        <v>176.8595041</v>
      </c>
      <c r="I359" s="111">
        <v>0.08</v>
      </c>
      <c r="J359" s="66">
        <v>214.0</v>
      </c>
      <c r="K359" s="111">
        <v>0.3</v>
      </c>
      <c r="L359" s="33">
        <f>IF('Global Precios'!J359*(1-I359)*(1+'Global Precios'!K359)&gt;1000,MROUND('Global Precios'!J359*(1-I359)*(1+'Global Precios'!K359),100),MROUND('Global Precios'!J359*(1-I359)*(1+'Global Precios'!K359),10))</f>
        <v>260</v>
      </c>
      <c r="M359" s="19">
        <v>1.0</v>
      </c>
      <c r="N359" s="19" t="s">
        <v>46</v>
      </c>
      <c r="O359" s="21"/>
      <c r="P359" s="113">
        <v>44986.0</v>
      </c>
      <c r="Q359" s="36">
        <f t="shared" si="7"/>
        <v>37</v>
      </c>
      <c r="R359" s="19">
        <v>30.0</v>
      </c>
      <c r="S359" s="21"/>
      <c r="T359" s="41" t="str">
        <f>IFERROR(VLOOKUP(D359,BUSCARV!$A$1:$C$5524,2,0),"")</f>
        <v/>
      </c>
      <c r="U359" s="42"/>
      <c r="V359" s="42" t="str">
        <f t="shared" si="3"/>
        <v/>
      </c>
      <c r="W359" s="44" t="str">
        <f t="shared" si="4"/>
        <v/>
      </c>
      <c r="X359" s="44"/>
      <c r="Y359" s="45">
        <f t="shared" si="5"/>
        <v>0</v>
      </c>
      <c r="Z359" s="46" t="s">
        <v>1075</v>
      </c>
      <c r="AA359" s="46"/>
    </row>
    <row r="360">
      <c r="A360" s="110">
        <v>385.0</v>
      </c>
      <c r="B360" s="21"/>
      <c r="C360" s="19" t="s">
        <v>3</v>
      </c>
      <c r="D360" s="19" t="s">
        <v>1208</v>
      </c>
      <c r="E360" s="19" t="s">
        <v>4416</v>
      </c>
      <c r="F360" s="19" t="s">
        <v>1795</v>
      </c>
      <c r="G360" s="50" t="s">
        <v>2316</v>
      </c>
      <c r="H360" s="31">
        <f t="shared" si="20"/>
        <v>206.6115702</v>
      </c>
      <c r="I360" s="111">
        <v>0.08</v>
      </c>
      <c r="J360" s="19">
        <v>250.0</v>
      </c>
      <c r="K360" s="111">
        <v>0.3</v>
      </c>
      <c r="L360" s="33">
        <f>IF('Global Precios'!J360*(1-I360)*(1+'Global Precios'!K360)&gt;1000,MROUND('Global Precios'!J360*(1-I360)*(1+'Global Precios'!K360),100),MROUND('Global Precios'!J360*(1-I360)*(1+'Global Precios'!K360),10))</f>
        <v>300</v>
      </c>
      <c r="M360" s="19">
        <v>1.0</v>
      </c>
      <c r="N360" s="19" t="s">
        <v>46</v>
      </c>
      <c r="O360" s="21"/>
      <c r="P360" s="113">
        <v>44986.0</v>
      </c>
      <c r="Q360" s="36">
        <f t="shared" si="7"/>
        <v>37</v>
      </c>
      <c r="R360" s="19">
        <v>30.0</v>
      </c>
      <c r="S360" s="21"/>
      <c r="T360" s="41" t="str">
        <f>IFERROR(VLOOKUP(D360,BUSCARV!$A$1:$C$5524,2,0),"")</f>
        <v/>
      </c>
      <c r="U360" s="42"/>
      <c r="V360" s="42" t="str">
        <f t="shared" si="3"/>
        <v/>
      </c>
      <c r="W360" s="44" t="str">
        <f t="shared" si="4"/>
        <v/>
      </c>
      <c r="X360" s="44"/>
      <c r="Y360" s="45">
        <f t="shared" si="5"/>
        <v>0</v>
      </c>
      <c r="Z360" s="46" t="s">
        <v>1075</v>
      </c>
      <c r="AA360" s="46"/>
    </row>
    <row r="361">
      <c r="A361" s="110">
        <v>386.0</v>
      </c>
      <c r="B361" s="21"/>
      <c r="C361" s="19" t="s">
        <v>3</v>
      </c>
      <c r="D361" s="19" t="s">
        <v>1210</v>
      </c>
      <c r="E361" s="19" t="s">
        <v>4417</v>
      </c>
      <c r="F361" s="19" t="s">
        <v>1982</v>
      </c>
      <c r="G361" s="21"/>
      <c r="H361" s="48">
        <v>1819.0</v>
      </c>
      <c r="I361" s="21"/>
      <c r="J361" s="19">
        <v>6461.0</v>
      </c>
      <c r="K361" s="60">
        <v>0.7</v>
      </c>
      <c r="L361" s="33">
        <f>IF('Global Precios'!J361*(1-I361)*(1+'Global Precios'!K361)&gt;1000,MROUND('Global Precios'!J361*(1-I361)*(1+'Global Precios'!K361),100),MROUND('Global Precios'!J361*(1-I361)*(1+'Global Precios'!K361),10))</f>
        <v>11000</v>
      </c>
      <c r="M361" s="19">
        <v>1.0</v>
      </c>
      <c r="N361" s="19" t="s">
        <v>46</v>
      </c>
      <c r="O361" s="21"/>
      <c r="P361" s="35">
        <v>45413.0</v>
      </c>
      <c r="Q361" s="36">
        <f t="shared" si="7"/>
        <v>23</v>
      </c>
      <c r="R361" s="19">
        <v>30.0</v>
      </c>
      <c r="S361" s="21"/>
      <c r="T361" s="41" t="str">
        <f>IFERROR(VLOOKUP(D361,BUSCARV!$A$1:$C$5524,2,0),"")</f>
        <v/>
      </c>
      <c r="U361" s="63"/>
      <c r="V361" s="42" t="str">
        <f t="shared" si="3"/>
        <v/>
      </c>
      <c r="W361" s="44" t="str">
        <f t="shared" si="4"/>
        <v/>
      </c>
      <c r="X361" s="44"/>
      <c r="Y361" s="45">
        <f t="shared" si="5"/>
        <v>0</v>
      </c>
      <c r="Z361" s="46" t="s">
        <v>1075</v>
      </c>
      <c r="AA361" s="46"/>
    </row>
    <row r="362">
      <c r="A362" s="110">
        <v>387.0</v>
      </c>
      <c r="B362" s="21"/>
      <c r="C362" s="19" t="s">
        <v>3</v>
      </c>
      <c r="D362" s="19" t="s">
        <v>1212</v>
      </c>
      <c r="E362" s="19" t="s">
        <v>4417</v>
      </c>
      <c r="F362" s="19" t="s">
        <v>1982</v>
      </c>
      <c r="G362" s="21"/>
      <c r="H362" s="48">
        <v>2033.0</v>
      </c>
      <c r="I362" s="21"/>
      <c r="J362" s="19">
        <v>8787.0</v>
      </c>
      <c r="K362" s="60">
        <v>0.7</v>
      </c>
      <c r="L362" s="33">
        <f>IF('Global Precios'!J362*(1-I362)*(1+'Global Precios'!K362)&gt;1000,MROUND('Global Precios'!J362*(1-I362)*(1+'Global Precios'!K362),100),MROUND('Global Precios'!J362*(1-I362)*(1+'Global Precios'!K362),10))</f>
        <v>14900</v>
      </c>
      <c r="M362" s="19">
        <v>1.0</v>
      </c>
      <c r="N362" s="19" t="s">
        <v>46</v>
      </c>
      <c r="O362" s="21"/>
      <c r="P362" s="35">
        <v>45413.0</v>
      </c>
      <c r="Q362" s="36">
        <f t="shared" si="7"/>
        <v>23</v>
      </c>
      <c r="R362" s="19">
        <v>30.0</v>
      </c>
      <c r="S362" s="21"/>
      <c r="T362" s="41" t="str">
        <f>IFERROR(VLOOKUP(D362,BUSCARV!$A$1:$C$5524,2,0),"")</f>
        <v/>
      </c>
      <c r="U362" s="63"/>
      <c r="V362" s="42" t="str">
        <f t="shared" si="3"/>
        <v/>
      </c>
      <c r="W362" s="44" t="str">
        <f t="shared" si="4"/>
        <v/>
      </c>
      <c r="X362" s="44"/>
      <c r="Y362" s="45">
        <f t="shared" si="5"/>
        <v>0</v>
      </c>
      <c r="Z362" s="46" t="s">
        <v>1075</v>
      </c>
      <c r="AA362" s="46"/>
    </row>
    <row r="363">
      <c r="A363" s="110">
        <v>388.0</v>
      </c>
      <c r="B363" s="21"/>
      <c r="C363" s="19" t="s">
        <v>3</v>
      </c>
      <c r="D363" s="19" t="s">
        <v>1215</v>
      </c>
      <c r="E363" s="19" t="s">
        <v>4417</v>
      </c>
      <c r="F363" s="19" t="s">
        <v>1982</v>
      </c>
      <c r="G363" s="21"/>
      <c r="H363" s="48">
        <v>3424.0</v>
      </c>
      <c r="I363" s="21"/>
      <c r="J363" s="19">
        <v>16831.0</v>
      </c>
      <c r="K363" s="60">
        <v>0.7</v>
      </c>
      <c r="L363" s="33">
        <f>IF('Global Precios'!J363*(1-I363)*(1+'Global Precios'!K363)&gt;10000,MROUND('Global Precios'!J363*(1-I363)*(1+'Global Precios'!K363),1000),MROUND('Global Precios'!J363*(1-I363)*(1+'Global Precios'!K363),500))</f>
        <v>29000</v>
      </c>
      <c r="M363" s="19">
        <v>1.0</v>
      </c>
      <c r="N363" s="19" t="s">
        <v>46</v>
      </c>
      <c r="O363" s="21"/>
      <c r="P363" s="35">
        <v>45748.0</v>
      </c>
      <c r="Q363" s="36">
        <f t="shared" si="7"/>
        <v>23</v>
      </c>
      <c r="R363" s="19">
        <v>30.0</v>
      </c>
      <c r="S363" s="21"/>
      <c r="T363" s="41" t="str">
        <f>IFERROR(VLOOKUP(D363,BUSCARV!$A$1:$C$5524,2,0),"")</f>
        <v/>
      </c>
      <c r="U363" s="42"/>
      <c r="V363" s="42" t="str">
        <f t="shared" si="3"/>
        <v/>
      </c>
      <c r="W363" s="44" t="str">
        <f t="shared" si="4"/>
        <v/>
      </c>
      <c r="X363" s="44"/>
      <c r="Y363" s="45">
        <f t="shared" si="5"/>
        <v>0</v>
      </c>
      <c r="Z363" s="46" t="s">
        <v>1075</v>
      </c>
      <c r="AA363" s="46"/>
    </row>
    <row r="364">
      <c r="A364" s="110">
        <v>389.0</v>
      </c>
      <c r="B364" s="21"/>
      <c r="C364" s="19" t="s">
        <v>3</v>
      </c>
      <c r="D364" s="19" t="s">
        <v>1217</v>
      </c>
      <c r="E364" s="19" t="s">
        <v>4417</v>
      </c>
      <c r="F364" s="19" t="s">
        <v>1982</v>
      </c>
      <c r="G364" s="21"/>
      <c r="H364" s="48">
        <v>3210.0</v>
      </c>
      <c r="I364" s="21"/>
      <c r="J364" s="19">
        <v>18001.0</v>
      </c>
      <c r="K364" s="60">
        <v>0.7</v>
      </c>
      <c r="L364" s="33">
        <f>IF('Global Precios'!J364*(1-I364)*(1+'Global Precios'!K364)&gt;1000,MROUND('Global Precios'!J364*(1-I364)*(1+'Global Precios'!K364),100),MROUND('Global Precios'!J364*(1-I364)*(1+'Global Precios'!K364),10))</f>
        <v>30600</v>
      </c>
      <c r="M364" s="19">
        <v>1.0</v>
      </c>
      <c r="N364" s="19" t="s">
        <v>46</v>
      </c>
      <c r="O364" s="21"/>
      <c r="P364" s="35">
        <v>45474.0</v>
      </c>
      <c r="Q364" s="36">
        <f t="shared" si="7"/>
        <v>23</v>
      </c>
      <c r="R364" s="19">
        <v>30.0</v>
      </c>
      <c r="S364" s="21"/>
      <c r="T364" s="41" t="str">
        <f>IFERROR(VLOOKUP(D364,BUSCARV!$A$1:$C$5524,2,0),"")</f>
        <v/>
      </c>
      <c r="U364" s="42"/>
      <c r="V364" s="42" t="str">
        <f t="shared" si="3"/>
        <v/>
      </c>
      <c r="W364" s="44" t="str">
        <f t="shared" si="4"/>
        <v/>
      </c>
      <c r="X364" s="44"/>
      <c r="Y364" s="45">
        <f t="shared" si="5"/>
        <v>0</v>
      </c>
      <c r="Z364" s="46" t="s">
        <v>1075</v>
      </c>
      <c r="AA364" s="46"/>
    </row>
    <row r="365">
      <c r="A365" s="110">
        <v>390.0</v>
      </c>
      <c r="B365" s="21"/>
      <c r="C365" s="19" t="s">
        <v>3</v>
      </c>
      <c r="D365" s="19" t="s">
        <v>1220</v>
      </c>
      <c r="E365" s="21"/>
      <c r="F365" s="19" t="s">
        <v>1982</v>
      </c>
      <c r="G365" s="50" t="s">
        <v>2316</v>
      </c>
      <c r="H365" s="48">
        <v>2461.0</v>
      </c>
      <c r="I365" s="21"/>
      <c r="J365" s="19">
        <v>18040.0</v>
      </c>
      <c r="K365" s="60">
        <v>0.6</v>
      </c>
      <c r="L365" s="33">
        <f>IF('Global Precios'!J365*(1-I365)*(1+'Global Precios'!K365)&gt;10000,MROUND('Global Precios'!J365*(1-I365)*(1+'Global Precios'!K365),1000),MROUND('Global Precios'!J365*(1-I365)*(1+'Global Precios'!K365),500))</f>
        <v>29000</v>
      </c>
      <c r="M365" s="19">
        <v>1.0</v>
      </c>
      <c r="N365" s="19" t="s">
        <v>46</v>
      </c>
      <c r="O365" s="21"/>
      <c r="P365" s="35">
        <v>45839.0</v>
      </c>
      <c r="Q365" s="36">
        <f t="shared" si="7"/>
        <v>9</v>
      </c>
      <c r="R365" s="19">
        <v>30.0</v>
      </c>
      <c r="S365" s="21"/>
      <c r="T365" s="41" t="str">
        <f>IFERROR(VLOOKUP(D365,BUSCARV!$A$1:$C$5524,2,0),"")</f>
        <v/>
      </c>
      <c r="U365" s="42"/>
      <c r="V365" s="42" t="str">
        <f t="shared" si="3"/>
        <v/>
      </c>
      <c r="W365" s="44" t="str">
        <f t="shared" si="4"/>
        <v/>
      </c>
      <c r="X365" s="44"/>
      <c r="Y365" s="45">
        <f t="shared" si="5"/>
        <v>0</v>
      </c>
      <c r="Z365" s="46" t="s">
        <v>449</v>
      </c>
      <c r="AA365" s="46"/>
    </row>
    <row r="366">
      <c r="A366" s="110">
        <v>391.0</v>
      </c>
      <c r="B366" s="21"/>
      <c r="C366" s="19" t="s">
        <v>3</v>
      </c>
      <c r="D366" s="19" t="s">
        <v>1222</v>
      </c>
      <c r="E366" s="21"/>
      <c r="F366" s="19" t="s">
        <v>1982</v>
      </c>
      <c r="G366" s="50" t="s">
        <v>2316</v>
      </c>
      <c r="H366" s="48">
        <v>2782.0</v>
      </c>
      <c r="I366" s="21"/>
      <c r="J366" s="19">
        <v>21907.0</v>
      </c>
      <c r="K366" s="60">
        <v>0.6</v>
      </c>
      <c r="L366" s="33">
        <f>IF('Global Precios'!J366*(1-I366)*(1+'Global Precios'!K366)&gt;10000,MROUND('Global Precios'!J366*(1-I366)*(1+'Global Precios'!K366),1000),MROUND('Global Precios'!J366*(1-I366)*(1+'Global Precios'!K366),500))</f>
        <v>35000</v>
      </c>
      <c r="M366" s="19">
        <v>1.0</v>
      </c>
      <c r="N366" s="19" t="s">
        <v>46</v>
      </c>
      <c r="O366" s="21"/>
      <c r="P366" s="35">
        <v>45839.0</v>
      </c>
      <c r="Q366" s="36">
        <f t="shared" si="7"/>
        <v>9</v>
      </c>
      <c r="R366" s="19">
        <v>30.0</v>
      </c>
      <c r="S366" s="21"/>
      <c r="T366" s="41" t="str">
        <f>IFERROR(VLOOKUP(D366,BUSCARV!$A$1:$C$5524,2,0),"")</f>
        <v/>
      </c>
      <c r="U366" s="42"/>
      <c r="V366" s="42" t="str">
        <f t="shared" si="3"/>
        <v/>
      </c>
      <c r="W366" s="44" t="str">
        <f t="shared" si="4"/>
        <v/>
      </c>
      <c r="X366" s="44"/>
      <c r="Y366" s="45">
        <f t="shared" si="5"/>
        <v>0</v>
      </c>
      <c r="Z366" s="46" t="s">
        <v>449</v>
      </c>
      <c r="AA366" s="46"/>
    </row>
    <row r="367">
      <c r="A367" s="110">
        <v>392.0</v>
      </c>
      <c r="B367" s="21"/>
      <c r="C367" s="19" t="s">
        <v>3</v>
      </c>
      <c r="D367" s="19" t="s">
        <v>1224</v>
      </c>
      <c r="E367" s="21"/>
      <c r="F367" s="19" t="s">
        <v>1982</v>
      </c>
      <c r="G367" s="50" t="s">
        <v>2316</v>
      </c>
      <c r="H367" s="48">
        <v>2996.0</v>
      </c>
      <c r="I367" s="21"/>
      <c r="J367" s="19">
        <v>25771.0</v>
      </c>
      <c r="K367" s="60">
        <v>0.6</v>
      </c>
      <c r="L367" s="33">
        <f>IF('Global Precios'!J367*(1-I367)*(1+'Global Precios'!K367)&gt;10000,MROUND('Global Precios'!J367*(1-I367)*(1+'Global Precios'!K367),1000),MROUND('Global Precios'!J367*(1-I367)*(1+'Global Precios'!K367),500))</f>
        <v>41000</v>
      </c>
      <c r="M367" s="19">
        <v>1.0</v>
      </c>
      <c r="N367" s="19" t="s">
        <v>46</v>
      </c>
      <c r="O367" s="21"/>
      <c r="P367" s="35">
        <v>45839.0</v>
      </c>
      <c r="Q367" s="36">
        <f t="shared" si="7"/>
        <v>9</v>
      </c>
      <c r="R367" s="19">
        <v>30.0</v>
      </c>
      <c r="S367" s="21"/>
      <c r="T367" s="41" t="str">
        <f>IFERROR(VLOOKUP(D367,BUSCARV!$A$1:$C$5524,2,0),"")</f>
        <v/>
      </c>
      <c r="U367" s="42"/>
      <c r="V367" s="42" t="str">
        <f t="shared" si="3"/>
        <v/>
      </c>
      <c r="W367" s="44" t="str">
        <f t="shared" si="4"/>
        <v/>
      </c>
      <c r="X367" s="44"/>
      <c r="Y367" s="45">
        <f t="shared" si="5"/>
        <v>0</v>
      </c>
      <c r="Z367" s="46" t="s">
        <v>449</v>
      </c>
      <c r="AA367" s="46"/>
    </row>
    <row r="368">
      <c r="A368" s="110">
        <v>393.0</v>
      </c>
      <c r="B368" s="21"/>
      <c r="C368" s="19" t="s">
        <v>3</v>
      </c>
      <c r="D368" s="19" t="s">
        <v>1227</v>
      </c>
      <c r="E368" s="21"/>
      <c r="F368" s="19" t="s">
        <v>1982</v>
      </c>
      <c r="G368" s="50" t="s">
        <v>2316</v>
      </c>
      <c r="H368" s="48">
        <v>4655.0</v>
      </c>
      <c r="I368" s="21"/>
      <c r="J368" s="19">
        <v>9100.0</v>
      </c>
      <c r="K368" s="60">
        <v>0.7</v>
      </c>
      <c r="L368" s="33">
        <f>IF('Global Precios'!J368*(1-I368)*(1+'Global Precios'!K368)&gt;1000,MROUND('Global Precios'!J368*(1-I368)*(1+'Global Precios'!K368),100),MROUND('Global Precios'!J368*(1-I368)*(1+'Global Precios'!K368),10))</f>
        <v>15500</v>
      </c>
      <c r="M368" s="19">
        <v>1.0</v>
      </c>
      <c r="N368" s="19" t="s">
        <v>46</v>
      </c>
      <c r="O368" s="21"/>
      <c r="P368" s="35">
        <v>45261.0</v>
      </c>
      <c r="Q368" s="36">
        <f t="shared" si="7"/>
        <v>28</v>
      </c>
      <c r="R368" s="19">
        <v>30.0</v>
      </c>
      <c r="S368" s="21"/>
      <c r="T368" s="41" t="str">
        <f>IFERROR(VLOOKUP(D368,BUSCARV!$A$1:$C$5524,2,0),"")</f>
        <v/>
      </c>
      <c r="U368" s="63"/>
      <c r="V368" s="42" t="str">
        <f t="shared" si="3"/>
        <v/>
      </c>
      <c r="W368" s="44" t="str">
        <f t="shared" si="4"/>
        <v/>
      </c>
      <c r="X368" s="44"/>
      <c r="Y368" s="45">
        <f t="shared" si="5"/>
        <v>0</v>
      </c>
      <c r="Z368" s="46" t="s">
        <v>1075</v>
      </c>
      <c r="AA368" s="46"/>
    </row>
    <row r="369">
      <c r="A369" s="114">
        <v>394.0</v>
      </c>
      <c r="B369" s="21"/>
      <c r="C369" s="19" t="s">
        <v>3</v>
      </c>
      <c r="D369" s="114" t="s">
        <v>1230</v>
      </c>
      <c r="E369" s="21"/>
      <c r="F369" s="50" t="s">
        <v>1982</v>
      </c>
      <c r="G369" s="50" t="s">
        <v>2321</v>
      </c>
      <c r="H369" s="48">
        <v>375.0</v>
      </c>
      <c r="I369" s="21"/>
      <c r="J369" s="19">
        <v>1891.0</v>
      </c>
      <c r="K369" s="95">
        <v>1.0</v>
      </c>
      <c r="L369" s="33">
        <f>IF('Global Precios'!J369*(1-I369)*(1+'Global Precios'!K369)&gt;10000,MROUND('Global Precios'!J369*(1-I369)*(1+'Global Precios'!K369),1000),MROUND('Global Precios'!J369*(1-I369)*(1+'Global Precios'!K369),500))</f>
        <v>4000</v>
      </c>
      <c r="M369" s="50">
        <v>1.0</v>
      </c>
      <c r="N369" s="50" t="s">
        <v>46</v>
      </c>
      <c r="O369" s="21"/>
      <c r="P369" s="35">
        <v>45748.0</v>
      </c>
      <c r="Q369" s="21">
        <f t="shared" si="7"/>
        <v>22</v>
      </c>
      <c r="R369" s="19">
        <v>30.0</v>
      </c>
      <c r="S369" s="21"/>
      <c r="T369" s="41" t="str">
        <f>IFERROR(VLOOKUP(D369,BUSCARV!$A$1:$C$5524,2,0),"")</f>
        <v/>
      </c>
      <c r="U369" s="42"/>
      <c r="V369" s="42" t="str">
        <f t="shared" si="3"/>
        <v/>
      </c>
      <c r="W369" s="44" t="str">
        <f t="shared" si="4"/>
        <v/>
      </c>
      <c r="X369" s="44"/>
      <c r="Y369" s="45">
        <f t="shared" si="5"/>
        <v>0</v>
      </c>
      <c r="Z369" s="46" t="s">
        <v>1075</v>
      </c>
      <c r="AA369" s="46" t="s">
        <v>4403</v>
      </c>
    </row>
    <row r="370">
      <c r="A370" s="114">
        <v>395.0</v>
      </c>
      <c r="B370" s="21"/>
      <c r="C370" s="19" t="s">
        <v>3</v>
      </c>
      <c r="D370" s="114" t="s">
        <v>1232</v>
      </c>
      <c r="E370" s="21"/>
      <c r="F370" s="50" t="s">
        <v>1982</v>
      </c>
      <c r="G370" s="50" t="s">
        <v>2321</v>
      </c>
      <c r="H370" s="48">
        <v>476.0</v>
      </c>
      <c r="I370" s="21"/>
      <c r="J370" s="19">
        <v>876.0</v>
      </c>
      <c r="K370" s="95">
        <v>0.8</v>
      </c>
      <c r="L370" s="33">
        <f>IF('Global Precios'!J370*(1-I370)*(1+'Global Precios'!K370)&gt;1000,MROUND('Global Precios'!J370*(1-I370)*(1+'Global Precios'!K370),100),MROUND('Global Precios'!J370*(1-I370)*(1+'Global Precios'!K370),10))</f>
        <v>1600</v>
      </c>
      <c r="M370" s="50">
        <v>1.0</v>
      </c>
      <c r="N370" s="50" t="s">
        <v>46</v>
      </c>
      <c r="O370" s="21"/>
      <c r="P370" s="35">
        <v>45261.0</v>
      </c>
      <c r="Q370" s="21">
        <f t="shared" si="7"/>
        <v>17</v>
      </c>
      <c r="R370" s="50">
        <v>30.0</v>
      </c>
      <c r="S370" s="21"/>
      <c r="T370" s="41" t="str">
        <f>IFERROR(VLOOKUP(D370,BUSCARV!$A$1:$C$5524,2,0),"")</f>
        <v/>
      </c>
      <c r="U370" s="63"/>
      <c r="V370" s="42" t="str">
        <f t="shared" si="3"/>
        <v/>
      </c>
      <c r="W370" s="44" t="str">
        <f t="shared" si="4"/>
        <v/>
      </c>
      <c r="X370" s="80" t="s">
        <v>4418</v>
      </c>
      <c r="Y370" s="45">
        <f t="shared" si="5"/>
        <v>0</v>
      </c>
      <c r="Z370" s="46" t="s">
        <v>1075</v>
      </c>
      <c r="AA370" s="46" t="s">
        <v>4419</v>
      </c>
    </row>
    <row r="371">
      <c r="A371" s="114">
        <v>396.0</v>
      </c>
      <c r="B371" s="21"/>
      <c r="C371" s="19" t="s">
        <v>3</v>
      </c>
      <c r="D371" s="50" t="s">
        <v>1235</v>
      </c>
      <c r="E371" s="21"/>
      <c r="F371" s="50" t="s">
        <v>1982</v>
      </c>
      <c r="G371" s="50" t="s">
        <v>2316</v>
      </c>
      <c r="H371" s="48">
        <v>698.0</v>
      </c>
      <c r="I371" s="21"/>
      <c r="J371" s="19">
        <v>4202.0</v>
      </c>
      <c r="K371" s="95">
        <v>0.8</v>
      </c>
      <c r="L371" s="33">
        <f>IF('Global Precios'!J371*(1-I371)*(1+'Global Precios'!K371)&gt;10000,MROUND('Global Precios'!J371*(1-I371)*(1+'Global Precios'!K371),1000),MROUND('Global Precios'!J371*(1-I371)*(1+'Global Precios'!K371),500))</f>
        <v>7500</v>
      </c>
      <c r="M371" s="50">
        <v>1.0</v>
      </c>
      <c r="N371" s="50" t="s">
        <v>46</v>
      </c>
      <c r="O371" s="21"/>
      <c r="P371" s="35">
        <v>45839.0</v>
      </c>
      <c r="Q371" s="21">
        <f t="shared" si="7"/>
        <v>18</v>
      </c>
      <c r="R371" s="19">
        <v>30.0</v>
      </c>
      <c r="S371" s="21"/>
      <c r="T371" s="41" t="str">
        <f>IFERROR(VLOOKUP(D371,BUSCARV!$A$1:$C$5524,2,0),"")</f>
        <v/>
      </c>
      <c r="U371" s="42"/>
      <c r="V371" s="42" t="str">
        <f t="shared" si="3"/>
        <v/>
      </c>
      <c r="W371" s="44" t="str">
        <f t="shared" si="4"/>
        <v/>
      </c>
      <c r="X371" s="44"/>
      <c r="Y371" s="45">
        <f t="shared" si="5"/>
        <v>0</v>
      </c>
      <c r="Z371" s="46" t="s">
        <v>449</v>
      </c>
      <c r="AA371" s="96" t="s">
        <v>4420</v>
      </c>
    </row>
    <row r="372">
      <c r="A372" s="114">
        <v>397.0</v>
      </c>
      <c r="B372" s="21"/>
      <c r="C372" s="19" t="s">
        <v>3</v>
      </c>
      <c r="D372" s="50" t="s">
        <v>1238</v>
      </c>
      <c r="E372" s="21"/>
      <c r="F372" s="50" t="s">
        <v>1982</v>
      </c>
      <c r="G372" s="50" t="s">
        <v>2321</v>
      </c>
      <c r="H372" s="48">
        <v>366.0</v>
      </c>
      <c r="I372" s="21"/>
      <c r="J372" s="19">
        <v>787.0</v>
      </c>
      <c r="K372" s="95">
        <v>0.8</v>
      </c>
      <c r="L372" s="33">
        <f>IF('Global Precios'!J372*(1-I372)*(1+'Global Precios'!K372)&gt;1000,MROUND('Global Precios'!J372*(1-I372)*(1+'Global Precios'!K372),100),MROUND('Global Precios'!J372*(1-I372)*(1+'Global Precios'!K372),10))</f>
        <v>1400</v>
      </c>
      <c r="M372" s="50">
        <v>1.0</v>
      </c>
      <c r="N372" s="50" t="s">
        <v>46</v>
      </c>
      <c r="O372" s="21"/>
      <c r="P372" s="35">
        <v>45261.0</v>
      </c>
      <c r="Q372" s="21">
        <f t="shared" si="7"/>
        <v>24</v>
      </c>
      <c r="R372" s="50">
        <v>30.0</v>
      </c>
      <c r="S372" s="21"/>
      <c r="T372" s="41" t="str">
        <f>IFERROR(VLOOKUP(D372,BUSCARV!$A$1:$C$5524,2,0),"")</f>
        <v/>
      </c>
      <c r="U372" s="63"/>
      <c r="V372" s="42" t="str">
        <f t="shared" si="3"/>
        <v/>
      </c>
      <c r="W372" s="44" t="str">
        <f t="shared" si="4"/>
        <v/>
      </c>
      <c r="X372" s="44"/>
      <c r="Y372" s="45">
        <f t="shared" si="5"/>
        <v>0</v>
      </c>
      <c r="Z372" s="46" t="s">
        <v>1075</v>
      </c>
      <c r="AA372" s="46"/>
    </row>
    <row r="373">
      <c r="A373" s="114">
        <v>398.0</v>
      </c>
      <c r="B373" s="21"/>
      <c r="C373" s="19" t="s">
        <v>3</v>
      </c>
      <c r="D373" s="50" t="s">
        <v>1240</v>
      </c>
      <c r="E373" s="50" t="s">
        <v>2625</v>
      </c>
      <c r="F373" s="50" t="s">
        <v>1795</v>
      </c>
      <c r="G373" s="50" t="s">
        <v>2316</v>
      </c>
      <c r="H373" s="31">
        <f t="shared" ref="H373:H374" si="21">IF(J373="","",J373/1.21)</f>
        <v>13719.00826</v>
      </c>
      <c r="I373" s="21"/>
      <c r="J373" s="50">
        <v>16600.0</v>
      </c>
      <c r="K373" s="95">
        <v>0.4</v>
      </c>
      <c r="L373" s="33">
        <f>IF('Global Precios'!J373*(1-I373)*(1+'Global Precios'!K373)&gt;10000,MROUND('Global Precios'!J373*(1-I373)*(1+'Global Precios'!K373),1000),MROUND('Global Precios'!J373*(1-I373)*(1+'Global Precios'!K373),500))</f>
        <v>23000</v>
      </c>
      <c r="M373" s="50">
        <v>2.0</v>
      </c>
      <c r="N373" s="50" t="s">
        <v>1823</v>
      </c>
      <c r="O373" s="21"/>
      <c r="P373" s="115">
        <v>45748.0</v>
      </c>
      <c r="Q373" s="21">
        <f t="shared" si="7"/>
        <v>26</v>
      </c>
      <c r="R373" s="50">
        <v>30.0</v>
      </c>
      <c r="S373" s="21"/>
      <c r="T373" s="41" t="str">
        <f>IFERROR(VLOOKUP(D373,BUSCARV!$A$1:$C$5524,2,0),"")</f>
        <v/>
      </c>
      <c r="U373" s="42"/>
      <c r="V373" s="42" t="str">
        <f t="shared" si="3"/>
        <v/>
      </c>
      <c r="W373" s="44" t="str">
        <f t="shared" si="4"/>
        <v/>
      </c>
      <c r="X373" s="44"/>
      <c r="Y373" s="45">
        <f t="shared" si="5"/>
        <v>0</v>
      </c>
      <c r="Z373" s="46" t="s">
        <v>449</v>
      </c>
      <c r="AA373" s="46"/>
    </row>
    <row r="374">
      <c r="A374" s="114">
        <v>399.0</v>
      </c>
      <c r="B374" s="21"/>
      <c r="C374" s="19" t="s">
        <v>3</v>
      </c>
      <c r="D374" s="50" t="s">
        <v>4421</v>
      </c>
      <c r="E374" s="50" t="s">
        <v>4416</v>
      </c>
      <c r="F374" s="50" t="s">
        <v>1795</v>
      </c>
      <c r="G374" s="50" t="s">
        <v>2321</v>
      </c>
      <c r="H374" s="31">
        <f t="shared" si="21"/>
        <v>6710.743802</v>
      </c>
      <c r="I374" s="111">
        <v>0.08</v>
      </c>
      <c r="J374" s="50">
        <v>8120.0</v>
      </c>
      <c r="K374" s="95">
        <v>0.3</v>
      </c>
      <c r="L374" s="33">
        <f>IF('Global Precios'!J374*(1-I374)*(1+'Global Precios'!K374)&gt;1000,MROUND('Global Precios'!J374*(1-I374)*(1+'Global Precios'!K374),100),MROUND('Global Precios'!J374*(1-I374)*(1+'Global Precios'!K374),10))</f>
        <v>9700</v>
      </c>
      <c r="M374" s="50">
        <v>3.0</v>
      </c>
      <c r="N374" s="50" t="s">
        <v>1823</v>
      </c>
      <c r="O374" s="21"/>
      <c r="P374" s="115">
        <v>45292.0</v>
      </c>
      <c r="Q374" s="21">
        <f t="shared" si="7"/>
        <v>30</v>
      </c>
      <c r="R374" s="50">
        <v>30.0</v>
      </c>
      <c r="S374" s="21"/>
      <c r="T374" s="41" t="str">
        <f>IFERROR(VLOOKUP(D374,BUSCARV!$A$1:$C$5524,2,0),"")</f>
        <v/>
      </c>
      <c r="U374" s="42"/>
      <c r="V374" s="42" t="str">
        <f t="shared" si="3"/>
        <v/>
      </c>
      <c r="W374" s="44" t="str">
        <f t="shared" si="4"/>
        <v/>
      </c>
      <c r="X374" s="44"/>
      <c r="Y374" s="45">
        <f t="shared" si="5"/>
        <v>0</v>
      </c>
      <c r="Z374" s="46" t="s">
        <v>1075</v>
      </c>
      <c r="AA374" s="46"/>
    </row>
    <row r="375">
      <c r="A375" s="114">
        <v>400.0</v>
      </c>
      <c r="B375" s="21"/>
      <c r="C375" s="19" t="s">
        <v>3</v>
      </c>
      <c r="D375" s="50" t="s">
        <v>1245</v>
      </c>
      <c r="E375" s="21"/>
      <c r="F375" s="50" t="s">
        <v>1982</v>
      </c>
      <c r="G375" s="50" t="s">
        <v>2316</v>
      </c>
      <c r="H375" s="48">
        <v>183.0</v>
      </c>
      <c r="I375" s="21"/>
      <c r="J375" s="19">
        <v>393.0</v>
      </c>
      <c r="K375" s="95">
        <v>1.0</v>
      </c>
      <c r="L375" s="33">
        <f>IF('Global Precios'!J375*(1-I375)*(1+'Global Precios'!K375)&gt;1000,MROUND('Global Precios'!J375*(1-I375)*(1+'Global Precios'!K375),100),MROUND('Global Precios'!J375*(1-I375)*(1+'Global Precios'!K375),10))</f>
        <v>790</v>
      </c>
      <c r="M375" s="50">
        <v>1.0</v>
      </c>
      <c r="N375" s="50" t="s">
        <v>46</v>
      </c>
      <c r="O375" s="21"/>
      <c r="P375" s="35">
        <v>45261.0</v>
      </c>
      <c r="Q375" s="21">
        <f t="shared" si="7"/>
        <v>21</v>
      </c>
      <c r="R375" s="50">
        <v>30.0</v>
      </c>
      <c r="S375" s="21"/>
      <c r="T375" s="41" t="str">
        <f>IFERROR(VLOOKUP(D375,BUSCARV!$A$1:$C$5524,2,0),"")</f>
        <v/>
      </c>
      <c r="U375" s="63"/>
      <c r="V375" s="42" t="str">
        <f t="shared" si="3"/>
        <v/>
      </c>
      <c r="W375" s="44" t="str">
        <f t="shared" si="4"/>
        <v/>
      </c>
      <c r="X375" s="44"/>
      <c r="Y375" s="45">
        <f t="shared" si="5"/>
        <v>0</v>
      </c>
      <c r="Z375" s="46" t="s">
        <v>1075</v>
      </c>
      <c r="AA375" s="46"/>
    </row>
    <row r="376">
      <c r="A376" s="114">
        <v>401.0</v>
      </c>
      <c r="B376" s="21"/>
      <c r="C376" s="19" t="s">
        <v>3</v>
      </c>
      <c r="D376" s="50" t="s">
        <v>1248</v>
      </c>
      <c r="E376" s="21"/>
      <c r="F376" s="50" t="s">
        <v>1982</v>
      </c>
      <c r="G376" s="50" t="s">
        <v>2316</v>
      </c>
      <c r="H376" s="48">
        <v>717.0</v>
      </c>
      <c r="I376" s="21"/>
      <c r="J376" s="19">
        <v>4022.0</v>
      </c>
      <c r="K376" s="95">
        <v>0.8</v>
      </c>
      <c r="L376" s="33">
        <f>IF('Global Precios'!J376*(1-I376)*(1+'Global Precios'!K376)&gt;10000,MROUND('Global Precios'!J376*(1-I376)*(1+'Global Precios'!K376),1000),MROUND('Global Precios'!J376*(1-I376)*(1+'Global Precios'!K376),500))</f>
        <v>7000</v>
      </c>
      <c r="M376" s="50">
        <v>1.0</v>
      </c>
      <c r="N376" s="50" t="s">
        <v>46</v>
      </c>
      <c r="O376" s="21"/>
      <c r="P376" s="35">
        <v>45839.0</v>
      </c>
      <c r="Q376" s="21">
        <f t="shared" si="7"/>
        <v>20</v>
      </c>
      <c r="R376" s="50">
        <v>30.0</v>
      </c>
      <c r="S376" s="21"/>
      <c r="T376" s="41" t="str">
        <f>IFERROR(VLOOKUP(D376,BUSCARV!$A$1:$C$5524,2,0),"")</f>
        <v/>
      </c>
      <c r="U376" s="42"/>
      <c r="V376" s="42" t="str">
        <f t="shared" si="3"/>
        <v/>
      </c>
      <c r="W376" s="44" t="str">
        <f t="shared" si="4"/>
        <v/>
      </c>
      <c r="X376" s="44"/>
      <c r="Y376" s="45">
        <f t="shared" si="5"/>
        <v>0</v>
      </c>
      <c r="Z376" s="46" t="s">
        <v>449</v>
      </c>
      <c r="AA376" s="46" t="s">
        <v>4422</v>
      </c>
    </row>
    <row r="377">
      <c r="A377" s="114">
        <v>402.0</v>
      </c>
      <c r="B377" s="21"/>
      <c r="C377" s="19" t="s">
        <v>3</v>
      </c>
      <c r="D377" s="50" t="s">
        <v>1251</v>
      </c>
      <c r="E377" s="21"/>
      <c r="F377" s="50" t="s">
        <v>1982</v>
      </c>
      <c r="G377" s="50" t="s">
        <v>2316</v>
      </c>
      <c r="H377" s="48">
        <v>2675.0</v>
      </c>
      <c r="I377" s="21"/>
      <c r="J377" s="19">
        <v>5219.0</v>
      </c>
      <c r="K377" s="95">
        <v>0.8</v>
      </c>
      <c r="L377" s="33">
        <f>IF('Global Precios'!J377*(1-I377)*(1+'Global Precios'!K377)&gt;1000,MROUND('Global Precios'!J377*(1-I377)*(1+'Global Precios'!K377),100),MROUND('Global Precios'!J377*(1-I377)*(1+'Global Precios'!K377),10))</f>
        <v>9400</v>
      </c>
      <c r="M377" s="50">
        <v>1.0</v>
      </c>
      <c r="N377" s="50" t="s">
        <v>46</v>
      </c>
      <c r="O377" s="21"/>
      <c r="P377" s="35">
        <v>45261.0</v>
      </c>
      <c r="Q377" s="21">
        <f t="shared" si="7"/>
        <v>19</v>
      </c>
      <c r="R377" s="50">
        <v>30.0</v>
      </c>
      <c r="S377" s="21"/>
      <c r="T377" s="41" t="str">
        <f>IFERROR(VLOOKUP(D377,BUSCARV!$A$1:$C$5524,2,0),"")</f>
        <v/>
      </c>
      <c r="U377" s="63"/>
      <c r="V377" s="42" t="str">
        <f t="shared" si="3"/>
        <v/>
      </c>
      <c r="W377" s="44" t="str">
        <f t="shared" si="4"/>
        <v/>
      </c>
      <c r="X377" s="44"/>
      <c r="Y377" s="45">
        <f t="shared" si="5"/>
        <v>0</v>
      </c>
      <c r="Z377" s="46" t="s">
        <v>1075</v>
      </c>
      <c r="AA377" s="46"/>
    </row>
    <row r="378">
      <c r="A378" s="114">
        <v>403.0</v>
      </c>
      <c r="B378" s="21"/>
      <c r="C378" s="19" t="s">
        <v>3</v>
      </c>
      <c r="D378" s="50" t="s">
        <v>1253</v>
      </c>
      <c r="E378" s="21"/>
      <c r="F378" s="50" t="s">
        <v>1982</v>
      </c>
      <c r="G378" s="50" t="s">
        <v>2316</v>
      </c>
      <c r="H378" s="48">
        <v>642.0</v>
      </c>
      <c r="I378" s="21"/>
      <c r="J378" s="19">
        <v>1572.0</v>
      </c>
      <c r="K378" s="95">
        <v>0.8</v>
      </c>
      <c r="L378" s="33">
        <f>IF('Global Precios'!J378*(1-I378)*(1+'Global Precios'!K378)&gt;1000,MROUND('Global Precios'!J378*(1-I378)*(1+'Global Precios'!K378),100),MROUND('Global Precios'!J378*(1-I378)*(1+'Global Precios'!K378),10))</f>
        <v>2800</v>
      </c>
      <c r="M378" s="50">
        <v>1.0</v>
      </c>
      <c r="N378" s="50" t="s">
        <v>46</v>
      </c>
      <c r="O378" s="21"/>
      <c r="P378" s="35">
        <v>45292.0</v>
      </c>
      <c r="Q378" s="21">
        <f t="shared" si="7"/>
        <v>12</v>
      </c>
      <c r="R378" s="50">
        <v>30.0</v>
      </c>
      <c r="S378" s="21"/>
      <c r="T378" s="41" t="str">
        <f>IFERROR(VLOOKUP(D378,BUSCARV!$A$1:$C$5524,2,0),"")</f>
        <v/>
      </c>
      <c r="U378" s="63"/>
      <c r="V378" s="42" t="str">
        <f t="shared" si="3"/>
        <v/>
      </c>
      <c r="W378" s="44" t="str">
        <f t="shared" si="4"/>
        <v/>
      </c>
      <c r="X378" s="44"/>
      <c r="Y378" s="45">
        <f t="shared" si="5"/>
        <v>0</v>
      </c>
      <c r="Z378" s="46" t="s">
        <v>1075</v>
      </c>
      <c r="AA378" s="46" t="s">
        <v>4423</v>
      </c>
    </row>
    <row r="379">
      <c r="A379" s="114">
        <v>404.0</v>
      </c>
      <c r="B379" s="21"/>
      <c r="C379" s="19" t="s">
        <v>3</v>
      </c>
      <c r="D379" s="50" t="s">
        <v>1255</v>
      </c>
      <c r="E379" s="21"/>
      <c r="F379" s="50" t="s">
        <v>1982</v>
      </c>
      <c r="G379" s="50" t="s">
        <v>2321</v>
      </c>
      <c r="H379" s="48">
        <v>535.0</v>
      </c>
      <c r="I379" s="21"/>
      <c r="J379" s="19">
        <v>1343.0</v>
      </c>
      <c r="K379" s="95">
        <v>0.8</v>
      </c>
      <c r="L379" s="33">
        <f>IF('Global Precios'!J379*(1-I379)*(1+'Global Precios'!K379)&gt;1000,MROUND('Global Precios'!J379*(1-I379)*(1+'Global Precios'!K379),100),MROUND('Global Precios'!J379*(1-I379)*(1+'Global Precios'!K379),10))</f>
        <v>2400</v>
      </c>
      <c r="M379" s="50">
        <v>1.0</v>
      </c>
      <c r="N379" s="50" t="s">
        <v>46</v>
      </c>
      <c r="O379" s="21"/>
      <c r="P379" s="35">
        <v>45292.0</v>
      </c>
      <c r="Q379" s="21">
        <f t="shared" si="7"/>
        <v>31</v>
      </c>
      <c r="R379" s="50">
        <v>30.0</v>
      </c>
      <c r="S379" s="21"/>
      <c r="T379" s="41" t="str">
        <f>IFERROR(VLOOKUP(D379,BUSCARV!$A$1:$C$5524,2,0),"")</f>
        <v/>
      </c>
      <c r="U379" s="63"/>
      <c r="V379" s="42" t="str">
        <f t="shared" si="3"/>
        <v/>
      </c>
      <c r="W379" s="44" t="str">
        <f t="shared" si="4"/>
        <v/>
      </c>
      <c r="X379" s="44"/>
      <c r="Y379" s="45">
        <f t="shared" si="5"/>
        <v>0</v>
      </c>
      <c r="Z379" s="46" t="s">
        <v>1075</v>
      </c>
      <c r="AA379" s="46" t="s">
        <v>4424</v>
      </c>
    </row>
    <row r="380">
      <c r="A380" s="114">
        <v>405.0</v>
      </c>
      <c r="B380" s="21"/>
      <c r="C380" s="19" t="s">
        <v>3</v>
      </c>
      <c r="D380" s="50" t="s">
        <v>1258</v>
      </c>
      <c r="E380" s="21"/>
      <c r="F380" s="50" t="s">
        <v>1982</v>
      </c>
      <c r="G380" s="50" t="s">
        <v>2321</v>
      </c>
      <c r="H380" s="48">
        <v>214.0</v>
      </c>
      <c r="I380" s="21"/>
      <c r="J380" s="19">
        <v>418.0</v>
      </c>
      <c r="K380" s="95">
        <v>1.0</v>
      </c>
      <c r="L380" s="33">
        <f>IF('Global Precios'!J380*(1-I380)*(1+'Global Precios'!K380)&gt;1000,MROUND('Global Precios'!J380*(1-I380)*(1+'Global Precios'!K380),100),MROUND('Global Precios'!J380*(1-I380)*(1+'Global Precios'!K380),10))</f>
        <v>840</v>
      </c>
      <c r="M380" s="50">
        <v>1.0</v>
      </c>
      <c r="N380" s="50" t="s">
        <v>46</v>
      </c>
      <c r="O380" s="21"/>
      <c r="P380" s="35">
        <v>45261.0</v>
      </c>
      <c r="Q380" s="21">
        <f t="shared" si="7"/>
        <v>15</v>
      </c>
      <c r="R380" s="50">
        <v>30.0</v>
      </c>
      <c r="S380" s="21"/>
      <c r="T380" s="41" t="str">
        <f>IFERROR(VLOOKUP(D380,BUSCARV!$A$1:$C$5524,2,0),"")</f>
        <v/>
      </c>
      <c r="U380" s="63"/>
      <c r="V380" s="42" t="str">
        <f t="shared" si="3"/>
        <v/>
      </c>
      <c r="W380" s="44" t="str">
        <f t="shared" si="4"/>
        <v/>
      </c>
      <c r="X380" s="44"/>
      <c r="Y380" s="45">
        <f t="shared" si="5"/>
        <v>0</v>
      </c>
      <c r="Z380" s="46" t="s">
        <v>1075</v>
      </c>
      <c r="AA380" s="46"/>
    </row>
    <row r="381">
      <c r="A381" s="114">
        <v>406.0</v>
      </c>
      <c r="B381" s="21"/>
      <c r="C381" s="19" t="s">
        <v>3</v>
      </c>
      <c r="D381" s="50" t="s">
        <v>1260</v>
      </c>
      <c r="E381" s="21"/>
      <c r="F381" s="50" t="s">
        <v>1982</v>
      </c>
      <c r="G381" s="50" t="s">
        <v>2365</v>
      </c>
      <c r="H381" s="48">
        <v>830.0</v>
      </c>
      <c r="I381" s="21"/>
      <c r="J381" s="19">
        <v>4124.0</v>
      </c>
      <c r="K381" s="95">
        <v>1.0</v>
      </c>
      <c r="L381" s="33">
        <f>IF('Global Precios'!J381*(1-I381)*(1+'Global Precios'!K381)&gt;10000,MROUND('Global Precios'!J381*(1-I381)*(1+'Global Precios'!K381),1000),MROUND('Global Precios'!J381*(1-I381)*(1+'Global Precios'!K381),500))</f>
        <v>8000</v>
      </c>
      <c r="M381" s="50">
        <v>1.0</v>
      </c>
      <c r="N381" s="50" t="s">
        <v>46</v>
      </c>
      <c r="O381" s="21"/>
      <c r="P381" s="35">
        <v>45839.0</v>
      </c>
      <c r="Q381" s="21">
        <f t="shared" si="7"/>
        <v>38</v>
      </c>
      <c r="R381" s="50">
        <v>30.0</v>
      </c>
      <c r="S381" s="21"/>
      <c r="T381" s="41" t="str">
        <f>IFERROR(VLOOKUP(D381,BUSCARV!$A$1:$C$5524,2,0),"")</f>
        <v/>
      </c>
      <c r="U381" s="42"/>
      <c r="V381" s="42" t="str">
        <f t="shared" si="3"/>
        <v/>
      </c>
      <c r="W381" s="44" t="str">
        <f t="shared" si="4"/>
        <v/>
      </c>
      <c r="X381" s="44"/>
      <c r="Y381" s="45">
        <f t="shared" si="5"/>
        <v>0</v>
      </c>
      <c r="Z381" s="46" t="s">
        <v>449</v>
      </c>
      <c r="AA381" s="46" t="s">
        <v>4425</v>
      </c>
    </row>
    <row r="382">
      <c r="A382" s="114">
        <v>407.0</v>
      </c>
      <c r="B382" s="21"/>
      <c r="C382" s="19" t="s">
        <v>3</v>
      </c>
      <c r="D382" s="50" t="s">
        <v>1263</v>
      </c>
      <c r="E382" s="21"/>
      <c r="F382" s="50" t="s">
        <v>1982</v>
      </c>
      <c r="G382" s="50" t="s">
        <v>2316</v>
      </c>
      <c r="H382" s="48">
        <v>366.0</v>
      </c>
      <c r="I382" s="21"/>
      <c r="J382" s="19">
        <v>1967.0</v>
      </c>
      <c r="K382" s="95">
        <v>0.8</v>
      </c>
      <c r="L382" s="33">
        <f>IF('Global Precios'!J382*(1-I382)*(1+'Global Precios'!K382)&gt;10000,MROUND('Global Precios'!J382*(1-I382)*(1+'Global Precios'!K382),1000),MROUND('Global Precios'!J382*(1-I382)*(1+'Global Precios'!K382),500))</f>
        <v>3500</v>
      </c>
      <c r="M382" s="50">
        <v>1.0</v>
      </c>
      <c r="N382" s="50" t="s">
        <v>46</v>
      </c>
      <c r="O382" s="21"/>
      <c r="P382" s="35">
        <v>45839.0</v>
      </c>
      <c r="Q382" s="21">
        <f t="shared" si="7"/>
        <v>20</v>
      </c>
      <c r="R382" s="50">
        <v>30.0</v>
      </c>
      <c r="S382" s="21"/>
      <c r="T382" s="41" t="str">
        <f>IFERROR(VLOOKUP(D382,BUSCARV!$A$1:$C$5524,2,0),"")</f>
        <v/>
      </c>
      <c r="U382" s="42"/>
      <c r="V382" s="42" t="str">
        <f t="shared" si="3"/>
        <v/>
      </c>
      <c r="W382" s="44" t="str">
        <f t="shared" si="4"/>
        <v/>
      </c>
      <c r="X382" s="44"/>
      <c r="Y382" s="45">
        <f t="shared" si="5"/>
        <v>0</v>
      </c>
      <c r="Z382" s="46" t="s">
        <v>449</v>
      </c>
      <c r="AA382" s="46" t="s">
        <v>4426</v>
      </c>
    </row>
    <row r="383">
      <c r="A383" s="114">
        <v>408.0</v>
      </c>
      <c r="B383" s="21"/>
      <c r="C383" s="19" t="s">
        <v>3</v>
      </c>
      <c r="D383" s="50" t="s">
        <v>1266</v>
      </c>
      <c r="E383" s="21"/>
      <c r="F383" s="50" t="s">
        <v>1982</v>
      </c>
      <c r="G383" s="50" t="s">
        <v>2316</v>
      </c>
      <c r="H383" s="48">
        <v>316.0</v>
      </c>
      <c r="I383" s="21"/>
      <c r="J383" s="19">
        <v>1741.0</v>
      </c>
      <c r="K383" s="95">
        <v>0.8</v>
      </c>
      <c r="L383" s="33">
        <f>IF('Global Precios'!J383*(1-I383)*(1+'Global Precios'!K383)&gt;10000,MROUND('Global Precios'!J383*(1-I383)*(1+'Global Precios'!K383),1000),MROUND('Global Precios'!J383*(1-I383)*(1+'Global Precios'!K383),500))</f>
        <v>3000</v>
      </c>
      <c r="M383" s="50">
        <v>1.0</v>
      </c>
      <c r="N383" s="50" t="s">
        <v>46</v>
      </c>
      <c r="O383" s="21"/>
      <c r="P383" s="35">
        <v>45839.0</v>
      </c>
      <c r="Q383" s="21">
        <f t="shared" si="7"/>
        <v>7</v>
      </c>
      <c r="R383" s="50">
        <v>30.0</v>
      </c>
      <c r="S383" s="21"/>
      <c r="T383" s="41" t="str">
        <f>IFERROR(VLOOKUP(D383,BUSCARV!$A$1:$C$5524,2,0),"")</f>
        <v/>
      </c>
      <c r="U383" s="42"/>
      <c r="V383" s="42" t="str">
        <f t="shared" si="3"/>
        <v/>
      </c>
      <c r="W383" s="44" t="str">
        <f t="shared" si="4"/>
        <v/>
      </c>
      <c r="X383" s="44"/>
      <c r="Y383" s="45">
        <f t="shared" si="5"/>
        <v>0</v>
      </c>
      <c r="Z383" s="46" t="s">
        <v>449</v>
      </c>
      <c r="AA383" s="46" t="s">
        <v>4427</v>
      </c>
    </row>
    <row r="384">
      <c r="A384" s="114">
        <v>409.0</v>
      </c>
      <c r="B384" s="21"/>
      <c r="C384" s="19" t="s">
        <v>3</v>
      </c>
      <c r="D384" s="50" t="s">
        <v>1269</v>
      </c>
      <c r="E384" s="21"/>
      <c r="F384" s="50" t="s">
        <v>1982</v>
      </c>
      <c r="G384" s="50" t="s">
        <v>2316</v>
      </c>
      <c r="H384" s="48">
        <v>952.0</v>
      </c>
      <c r="I384" s="21"/>
      <c r="J384" s="19">
        <v>1858.0</v>
      </c>
      <c r="K384" s="95">
        <v>0.8</v>
      </c>
      <c r="L384" s="33">
        <f>IF('Global Precios'!J384*(1-I384)*(1+'Global Precios'!K384)&gt;1000,MROUND('Global Precios'!J384*(1-I384)*(1+'Global Precios'!K384),100),MROUND('Global Precios'!J384*(1-I384)*(1+'Global Precios'!K384),10))</f>
        <v>3300</v>
      </c>
      <c r="M384" s="50">
        <v>1.0</v>
      </c>
      <c r="N384" s="50" t="s">
        <v>46</v>
      </c>
      <c r="O384" s="21"/>
      <c r="P384" s="35">
        <v>45261.0</v>
      </c>
      <c r="Q384" s="21">
        <f t="shared" si="7"/>
        <v>17</v>
      </c>
      <c r="R384" s="50">
        <v>30.0</v>
      </c>
      <c r="S384" s="21"/>
      <c r="T384" s="41" t="str">
        <f>IFERROR(VLOOKUP(D384,BUSCARV!$A$1:$C$5524,2,0),"")</f>
        <v/>
      </c>
      <c r="U384" s="63"/>
      <c r="V384" s="42" t="str">
        <f t="shared" si="3"/>
        <v/>
      </c>
      <c r="W384" s="44" t="str">
        <f t="shared" si="4"/>
        <v/>
      </c>
      <c r="X384" s="44"/>
      <c r="Y384" s="45">
        <f t="shared" si="5"/>
        <v>0</v>
      </c>
      <c r="Z384" s="46" t="s">
        <v>1075</v>
      </c>
      <c r="AA384" s="46"/>
    </row>
    <row r="385">
      <c r="A385" s="114">
        <v>410.0</v>
      </c>
      <c r="B385" s="21"/>
      <c r="C385" s="19" t="s">
        <v>3</v>
      </c>
      <c r="D385" s="19" t="s">
        <v>1271</v>
      </c>
      <c r="E385" s="50" t="s">
        <v>2899</v>
      </c>
      <c r="F385" s="50" t="s">
        <v>2308</v>
      </c>
      <c r="G385" s="50" t="s">
        <v>2346</v>
      </c>
      <c r="H385" s="31">
        <f t="shared" ref="H385:H399" si="22">IF(J385="","",J385/1.21)</f>
        <v>1854.545455</v>
      </c>
      <c r="I385" s="21"/>
      <c r="J385" s="116">
        <v>2244.0</v>
      </c>
      <c r="K385" s="95">
        <v>0.8</v>
      </c>
      <c r="L385" s="33">
        <f>IF('Global Precios'!J385*(1-I385)*(1+'Global Precios'!K385)&gt;10000,MROUND('Global Precios'!J385*(1-I385)*(1+'Global Precios'!K385),1000),MROUND('Global Precios'!J385*(1-I385)*(1+'Global Precios'!K385),500))</f>
        <v>4000</v>
      </c>
      <c r="M385" s="50">
        <v>3.0</v>
      </c>
      <c r="N385" s="50" t="s">
        <v>4383</v>
      </c>
      <c r="O385" s="21"/>
      <c r="P385" s="35">
        <v>45839.0</v>
      </c>
      <c r="Q385" s="21">
        <f t="shared" si="7"/>
        <v>23</v>
      </c>
      <c r="R385" s="50">
        <v>30.0</v>
      </c>
      <c r="S385" s="21"/>
      <c r="T385" s="41" t="str">
        <f>IFERROR(VLOOKUP(D385,BUSCARV!$A$1:$C$5524,2,0),"")</f>
        <v/>
      </c>
      <c r="U385" s="42"/>
      <c r="V385" s="42" t="str">
        <f t="shared" si="3"/>
        <v/>
      </c>
      <c r="W385" s="44" t="str">
        <f t="shared" si="4"/>
        <v/>
      </c>
      <c r="X385" s="44"/>
      <c r="Y385" s="45">
        <f t="shared" si="5"/>
        <v>0</v>
      </c>
      <c r="Z385" s="46" t="s">
        <v>449</v>
      </c>
      <c r="AA385" s="46"/>
    </row>
    <row r="386">
      <c r="A386" s="114">
        <v>411.0</v>
      </c>
      <c r="B386" s="21"/>
      <c r="C386" s="19" t="s">
        <v>3</v>
      </c>
      <c r="D386" s="19" t="s">
        <v>1273</v>
      </c>
      <c r="E386" s="50" t="s">
        <v>4428</v>
      </c>
      <c r="F386" s="50" t="s">
        <v>2308</v>
      </c>
      <c r="G386" s="50" t="s">
        <v>2336</v>
      </c>
      <c r="H386" s="31">
        <f t="shared" si="22"/>
        <v>1900.826446</v>
      </c>
      <c r="I386" s="21"/>
      <c r="J386" s="116">
        <v>2300.0</v>
      </c>
      <c r="K386" s="95">
        <v>0.8</v>
      </c>
      <c r="L386" s="33">
        <f>IF('Global Precios'!J386*(1-I386)*(1+'Global Precios'!K386)&gt;10000,MROUND('Global Precios'!J386*(1-I386)*(1+'Global Precios'!K386),1000),MROUND('Global Precios'!J386*(1-I386)*(1+'Global Precios'!K386),500))</f>
        <v>4000</v>
      </c>
      <c r="M386" s="19">
        <v>1.0</v>
      </c>
      <c r="N386" s="50" t="s">
        <v>4383</v>
      </c>
      <c r="O386" s="21"/>
      <c r="P386" s="35">
        <v>46082.0</v>
      </c>
      <c r="Q386" s="21">
        <f t="shared" si="7"/>
        <v>27</v>
      </c>
      <c r="R386" s="50">
        <v>30.0</v>
      </c>
      <c r="S386" s="21"/>
      <c r="T386" s="41" t="str">
        <f>IFERROR(VLOOKUP(D386,BUSCARV!$A$1:$C$5524,2,0),"")</f>
        <v/>
      </c>
      <c r="U386" s="42"/>
      <c r="V386" s="42" t="str">
        <f t="shared" si="3"/>
        <v/>
      </c>
      <c r="W386" s="44" t="str">
        <f t="shared" si="4"/>
        <v/>
      </c>
      <c r="X386" s="44"/>
      <c r="Y386" s="45">
        <f t="shared" si="5"/>
        <v>0</v>
      </c>
      <c r="Z386" s="46" t="s">
        <v>449</v>
      </c>
      <c r="AA386" s="46"/>
    </row>
    <row r="387">
      <c r="A387" s="114">
        <v>412.0</v>
      </c>
      <c r="B387" s="21"/>
      <c r="C387" s="19" t="s">
        <v>3</v>
      </c>
      <c r="D387" s="19" t="s">
        <v>1276</v>
      </c>
      <c r="E387" s="50" t="s">
        <v>3278</v>
      </c>
      <c r="F387" s="50" t="s">
        <v>2308</v>
      </c>
      <c r="G387" s="50" t="s">
        <v>2339</v>
      </c>
      <c r="H387" s="31">
        <f t="shared" si="22"/>
        <v>2556.198347</v>
      </c>
      <c r="I387" s="21"/>
      <c r="J387" s="19">
        <v>3093.0</v>
      </c>
      <c r="K387" s="95">
        <v>1.0</v>
      </c>
      <c r="L387" s="33">
        <f>IF('Global Precios'!J387*(1-I387)*(1+'Global Precios'!K387)&gt;10000,MROUND('Global Precios'!J387*(1-I387)*(1+'Global Precios'!K387),1000),MROUND('Global Precios'!J387*(1-I387)*(1+'Global Precios'!K387),500))</f>
        <v>6000</v>
      </c>
      <c r="M387" s="19">
        <v>10.0</v>
      </c>
      <c r="N387" s="50" t="s">
        <v>4383</v>
      </c>
      <c r="O387" s="21"/>
      <c r="P387" s="35">
        <v>45839.0</v>
      </c>
      <c r="Q387" s="21">
        <f t="shared" si="7"/>
        <v>25</v>
      </c>
      <c r="R387" s="50">
        <v>30.0</v>
      </c>
      <c r="S387" s="21"/>
      <c r="T387" s="41" t="str">
        <f>IFERROR(VLOOKUP(D387,BUSCARV!$A$1:$C$5524,2,0),"")</f>
        <v/>
      </c>
      <c r="U387" s="42"/>
      <c r="V387" s="42" t="str">
        <f t="shared" si="3"/>
        <v/>
      </c>
      <c r="W387" s="44" t="str">
        <f t="shared" si="4"/>
        <v/>
      </c>
      <c r="X387" s="44"/>
      <c r="Y387" s="45">
        <f t="shared" si="5"/>
        <v>0</v>
      </c>
      <c r="Z387" s="46" t="s">
        <v>449</v>
      </c>
      <c r="AA387" s="46"/>
    </row>
    <row r="388">
      <c r="A388" s="114">
        <v>413.0</v>
      </c>
      <c r="B388" s="21"/>
      <c r="C388" s="19" t="s">
        <v>3</v>
      </c>
      <c r="D388" s="117" t="s">
        <v>850</v>
      </c>
      <c r="E388" s="50" t="s">
        <v>4429</v>
      </c>
      <c r="F388" s="50" t="s">
        <v>2308</v>
      </c>
      <c r="G388" s="50" t="s">
        <v>2350</v>
      </c>
      <c r="H388" s="31">
        <f t="shared" si="22"/>
        <v>4861.157025</v>
      </c>
      <c r="I388" s="21"/>
      <c r="J388" s="19">
        <v>5882.0</v>
      </c>
      <c r="K388" s="95">
        <v>1.0</v>
      </c>
      <c r="L388" s="33">
        <f>IF('Global Precios'!J388*(1-I388)*(1+'Global Precios'!K388)&gt;10000,MROUND('Global Precios'!J388*(1-I388)*(1+'Global Precios'!K388),1000),MROUND('Global Precios'!J388*(1-I388)*(1+'Global Precios'!K388),500))</f>
        <v>12000</v>
      </c>
      <c r="M388" s="50">
        <v>1.0</v>
      </c>
      <c r="N388" s="50" t="s">
        <v>46</v>
      </c>
      <c r="O388" s="21"/>
      <c r="P388" s="35">
        <v>45839.0</v>
      </c>
      <c r="Q388" s="21">
        <f t="shared" si="7"/>
        <v>18</v>
      </c>
      <c r="R388" s="50">
        <v>30.0</v>
      </c>
      <c r="S388" s="21"/>
      <c r="T388" s="41">
        <f>IFERROR(VLOOKUP(D388,BUSCARV!$A$1:$C$5524,2,0),"")</f>
        <v>5882</v>
      </c>
      <c r="U388" s="42"/>
      <c r="V388" s="42">
        <f t="shared" si="3"/>
        <v>5882</v>
      </c>
      <c r="W388" s="44">
        <f t="shared" si="4"/>
        <v>0</v>
      </c>
      <c r="X388" s="44"/>
      <c r="Y388" s="45">
        <f t="shared" si="5"/>
        <v>0</v>
      </c>
      <c r="Z388" s="46" t="s">
        <v>449</v>
      </c>
      <c r="AA388" s="46"/>
    </row>
    <row r="389">
      <c r="A389" s="114">
        <v>414.0</v>
      </c>
      <c r="B389" s="21"/>
      <c r="C389" s="19" t="s">
        <v>3</v>
      </c>
      <c r="D389" s="118" t="s">
        <v>1280</v>
      </c>
      <c r="E389" s="50" t="s">
        <v>2899</v>
      </c>
      <c r="F389" s="50" t="s">
        <v>2308</v>
      </c>
      <c r="G389" s="50" t="s">
        <v>2325</v>
      </c>
      <c r="H389" s="31">
        <f t="shared" si="22"/>
        <v>3387.603306</v>
      </c>
      <c r="I389" s="21"/>
      <c r="J389" s="19">
        <v>4099.0</v>
      </c>
      <c r="K389" s="95">
        <v>0.8</v>
      </c>
      <c r="L389" s="33">
        <f>IF('Global Precios'!J389*(1-I389)*(1+'Global Precios'!K389)&gt;10000,MROUND('Global Precios'!J389*(1-I389)*(1+'Global Precios'!K389),1000),MROUND('Global Precios'!J389*(1-I389)*(1+'Global Precios'!K389),500))</f>
        <v>7500</v>
      </c>
      <c r="M389" s="50">
        <v>100.0</v>
      </c>
      <c r="N389" s="50" t="s">
        <v>2496</v>
      </c>
      <c r="O389" s="21"/>
      <c r="P389" s="35">
        <v>45839.0</v>
      </c>
      <c r="Q389" s="21">
        <f t="shared" si="7"/>
        <v>22</v>
      </c>
      <c r="R389" s="50">
        <v>30.0</v>
      </c>
      <c r="S389" s="21"/>
      <c r="T389" s="41">
        <f>IFERROR(VLOOKUP(D389,BUSCARV!$A$1:$C$5524,2,0),"")</f>
        <v>4099</v>
      </c>
      <c r="U389" s="42"/>
      <c r="V389" s="42">
        <f t="shared" si="3"/>
        <v>4099</v>
      </c>
      <c r="W389" s="44">
        <f t="shared" si="4"/>
        <v>0</v>
      </c>
      <c r="X389" s="44"/>
      <c r="Y389" s="45">
        <f t="shared" si="5"/>
        <v>0</v>
      </c>
      <c r="Z389" s="46" t="s">
        <v>449</v>
      </c>
      <c r="AA389" s="46"/>
    </row>
    <row r="390">
      <c r="A390" s="114">
        <v>415.0</v>
      </c>
      <c r="B390" s="21"/>
      <c r="C390" s="19" t="s">
        <v>3</v>
      </c>
      <c r="D390" s="118" t="s">
        <v>1283</v>
      </c>
      <c r="E390" s="50" t="s">
        <v>4430</v>
      </c>
      <c r="F390" s="50" t="s">
        <v>2308</v>
      </c>
      <c r="G390" s="50" t="s">
        <v>2358</v>
      </c>
      <c r="H390" s="31">
        <f t="shared" si="22"/>
        <v>6628.92562</v>
      </c>
      <c r="I390" s="21"/>
      <c r="J390" s="19">
        <v>8021.0</v>
      </c>
      <c r="K390" s="60">
        <v>0.8</v>
      </c>
      <c r="L390" s="33">
        <f>IF('Global Precios'!J390*(1-I390)*(1+'Global Precios'!K390)&gt;10000,MROUND('Global Precios'!J390*(1-I390)*(1+'Global Precios'!K390),1000),MROUND('Global Precios'!J390*(1-I390)*(1+'Global Precios'!K390),500))</f>
        <v>14000</v>
      </c>
      <c r="M390" s="50">
        <v>162.0</v>
      </c>
      <c r="N390" s="50" t="s">
        <v>4431</v>
      </c>
      <c r="O390" s="21"/>
      <c r="P390" s="35">
        <v>45839.0</v>
      </c>
      <c r="Q390" s="21">
        <f t="shared" si="7"/>
        <v>32</v>
      </c>
      <c r="R390" s="50">
        <v>30.0</v>
      </c>
      <c r="S390" s="21"/>
      <c r="T390" s="41">
        <f>IFERROR(VLOOKUP(D390,BUSCARV!$A$1:$C$5524,2,0),"")</f>
        <v>7732</v>
      </c>
      <c r="U390" s="42"/>
      <c r="V390" s="42">
        <f t="shared" si="3"/>
        <v>7732</v>
      </c>
      <c r="W390" s="44">
        <f t="shared" si="4"/>
        <v>-0.03603042015</v>
      </c>
      <c r="X390" s="44"/>
      <c r="Y390" s="45">
        <f t="shared" si="5"/>
        <v>0</v>
      </c>
      <c r="Z390" s="46" t="s">
        <v>449</v>
      </c>
      <c r="AA390" s="46"/>
    </row>
    <row r="391">
      <c r="A391" s="114">
        <v>416.0</v>
      </c>
      <c r="B391" s="21"/>
      <c r="C391" s="19" t="s">
        <v>3</v>
      </c>
      <c r="D391" s="19" t="s">
        <v>1287</v>
      </c>
      <c r="E391" s="50" t="s">
        <v>4432</v>
      </c>
      <c r="F391" s="50" t="s">
        <v>2308</v>
      </c>
      <c r="G391" s="50" t="s">
        <v>2350</v>
      </c>
      <c r="H391" s="31">
        <f t="shared" si="22"/>
        <v>24963.63636</v>
      </c>
      <c r="I391" s="21"/>
      <c r="J391" s="50">
        <v>30206.0</v>
      </c>
      <c r="K391" s="95">
        <v>0.3</v>
      </c>
      <c r="L391" s="33">
        <f>IF('Global Precios'!J391*(1-I391)*(1+'Global Precios'!K391)&gt;10000,MROUND('Global Precios'!J391*(1-I391)*(1+'Global Precios'!K391),1000),MROUND('Global Precios'!J391*(1-I391)*(1+'Global Precios'!K391),500))</f>
        <v>39000</v>
      </c>
      <c r="M391" s="50">
        <v>1.0</v>
      </c>
      <c r="N391" s="50" t="s">
        <v>4383</v>
      </c>
      <c r="O391" s="21"/>
      <c r="P391" s="35">
        <v>45627.0</v>
      </c>
      <c r="Q391" s="21">
        <f t="shared" si="7"/>
        <v>34</v>
      </c>
      <c r="R391" s="50">
        <v>30.0</v>
      </c>
      <c r="S391" s="21"/>
      <c r="T391" s="41" t="str">
        <f>IFERROR(VLOOKUP(D391,BUSCARV!$A$1:$C$5524,2,0),"")</f>
        <v/>
      </c>
      <c r="U391" s="42"/>
      <c r="V391" s="42" t="str">
        <f t="shared" si="3"/>
        <v/>
      </c>
      <c r="W391" s="44" t="str">
        <f t="shared" si="4"/>
        <v/>
      </c>
      <c r="X391" s="44"/>
      <c r="Y391" s="45">
        <f t="shared" si="5"/>
        <v>0</v>
      </c>
      <c r="Z391" s="46" t="s">
        <v>1075</v>
      </c>
      <c r="AA391" s="46"/>
    </row>
    <row r="392">
      <c r="A392" s="114">
        <v>417.0</v>
      </c>
      <c r="B392" s="21"/>
      <c r="C392" s="19" t="s">
        <v>3</v>
      </c>
      <c r="D392" s="50" t="s">
        <v>1289</v>
      </c>
      <c r="E392" s="50" t="s">
        <v>4433</v>
      </c>
      <c r="F392" s="50" t="s">
        <v>2308</v>
      </c>
      <c r="G392" s="50" t="s">
        <v>2346</v>
      </c>
      <c r="H392" s="31">
        <f t="shared" si="22"/>
        <v>3006.61157</v>
      </c>
      <c r="I392" s="21"/>
      <c r="J392" s="50">
        <v>3638.0</v>
      </c>
      <c r="K392" s="95">
        <v>1.0</v>
      </c>
      <c r="L392" s="33">
        <f>IF('Global Precios'!J392*(1-I392)*(1+'Global Precios'!K392)&gt;10000,MROUND('Global Precios'!J392*(1-I392)*(1+'Global Precios'!K392),1000),MROUND('Global Precios'!J392*(1-I392)*(1+'Global Precios'!K392),500))</f>
        <v>7500</v>
      </c>
      <c r="M392" s="50">
        <v>15.0</v>
      </c>
      <c r="N392" s="50" t="s">
        <v>2496</v>
      </c>
      <c r="O392" s="21"/>
      <c r="P392" s="35">
        <v>45627.0</v>
      </c>
      <c r="Q392" s="21">
        <f t="shared" si="7"/>
        <v>20</v>
      </c>
      <c r="R392" s="50">
        <v>30.0</v>
      </c>
      <c r="S392" s="21"/>
      <c r="T392" s="41" t="str">
        <f>IFERROR(VLOOKUP(D392,BUSCARV!$A$1:$C$5524,2,0),"")</f>
        <v/>
      </c>
      <c r="U392" s="42"/>
      <c r="V392" s="42" t="str">
        <f t="shared" si="3"/>
        <v/>
      </c>
      <c r="W392" s="44" t="str">
        <f t="shared" si="4"/>
        <v/>
      </c>
      <c r="X392" s="44"/>
      <c r="Y392" s="45">
        <f t="shared" si="5"/>
        <v>0</v>
      </c>
      <c r="Z392" s="46" t="s">
        <v>1075</v>
      </c>
      <c r="AA392" s="46"/>
    </row>
    <row r="393">
      <c r="A393" s="114">
        <v>418.0</v>
      </c>
      <c r="B393" s="21"/>
      <c r="C393" s="19" t="s">
        <v>3</v>
      </c>
      <c r="D393" s="50" t="s">
        <v>1291</v>
      </c>
      <c r="E393" s="50" t="s">
        <v>4434</v>
      </c>
      <c r="F393" s="50" t="s">
        <v>1795</v>
      </c>
      <c r="G393" s="50" t="s">
        <v>2321</v>
      </c>
      <c r="H393" s="31">
        <f t="shared" si="22"/>
        <v>1764.46281</v>
      </c>
      <c r="I393" s="21"/>
      <c r="J393" s="50">
        <v>2135.0</v>
      </c>
      <c r="K393" s="95">
        <v>0.3</v>
      </c>
      <c r="L393" s="33">
        <f>IF('Global Precios'!J393*(1-I393)*(1+'Global Precios'!K393)&gt;1000,MROUND('Global Precios'!J393*(1-I393)*(1+'Global Precios'!K393),100),MROUND('Global Precios'!J393*(1-I393)*(1+'Global Precios'!K393),10))</f>
        <v>2800</v>
      </c>
      <c r="M393" s="50">
        <v>1.0</v>
      </c>
      <c r="N393" s="50" t="s">
        <v>4431</v>
      </c>
      <c r="O393" s="21"/>
      <c r="P393" s="115">
        <v>45352.0</v>
      </c>
      <c r="Q393" s="21">
        <f t="shared" si="7"/>
        <v>29</v>
      </c>
      <c r="R393" s="50">
        <v>30.0</v>
      </c>
      <c r="S393" s="21"/>
      <c r="T393" s="41" t="str">
        <f>IFERROR(VLOOKUP(D393,BUSCARV!$A$1:$C$5524,2,0),"")</f>
        <v/>
      </c>
      <c r="U393" s="42"/>
      <c r="V393" s="42" t="str">
        <f t="shared" si="3"/>
        <v/>
      </c>
      <c r="W393" s="44" t="str">
        <f t="shared" si="4"/>
        <v/>
      </c>
      <c r="X393" s="44"/>
      <c r="Y393" s="45">
        <f t="shared" si="5"/>
        <v>0</v>
      </c>
      <c r="Z393" s="46" t="s">
        <v>1075</v>
      </c>
      <c r="AA393" s="46"/>
    </row>
    <row r="394">
      <c r="A394" s="114">
        <v>419.0</v>
      </c>
      <c r="B394" s="21"/>
      <c r="C394" s="19" t="s">
        <v>3</v>
      </c>
      <c r="D394" s="50" t="s">
        <v>1294</v>
      </c>
      <c r="E394" s="50" t="s">
        <v>4434</v>
      </c>
      <c r="F394" s="50" t="s">
        <v>1795</v>
      </c>
      <c r="G394" s="50" t="s">
        <v>2321</v>
      </c>
      <c r="H394" s="31">
        <f t="shared" si="22"/>
        <v>2314.049587</v>
      </c>
      <c r="I394" s="21"/>
      <c r="J394" s="50">
        <v>2800.0</v>
      </c>
      <c r="K394" s="95">
        <v>0.35</v>
      </c>
      <c r="L394" s="33">
        <f>IF('Global Precios'!J394*(1-I394)*(1+'Global Precios'!K394)&gt;10000,MROUND('Global Precios'!J394*(1-I394)*(1+'Global Precios'!K394),1000),MROUND('Global Precios'!J394*(1-I394)*(1+'Global Precios'!K394),500))</f>
        <v>4000</v>
      </c>
      <c r="M394" s="50">
        <v>1.0</v>
      </c>
      <c r="N394" s="50" t="s">
        <v>4431</v>
      </c>
      <c r="O394" s="21"/>
      <c r="P394" s="115">
        <v>45778.0</v>
      </c>
      <c r="Q394" s="21">
        <f t="shared" si="7"/>
        <v>29</v>
      </c>
      <c r="R394" s="50">
        <v>30.0</v>
      </c>
      <c r="S394" s="21"/>
      <c r="T394" s="41" t="str">
        <f>IFERROR(VLOOKUP(D394,BUSCARV!$A$1:$C$5524,2,0),"")</f>
        <v/>
      </c>
      <c r="U394" s="42"/>
      <c r="V394" s="42" t="str">
        <f t="shared" si="3"/>
        <v/>
      </c>
      <c r="W394" s="44" t="str">
        <f t="shared" si="4"/>
        <v/>
      </c>
      <c r="X394" s="44"/>
      <c r="Y394" s="45">
        <f t="shared" si="5"/>
        <v>0</v>
      </c>
      <c r="Z394" s="46" t="s">
        <v>449</v>
      </c>
      <c r="AA394" s="46"/>
    </row>
    <row r="395">
      <c r="A395" s="114">
        <v>420.0</v>
      </c>
      <c r="B395" s="21"/>
      <c r="C395" s="19" t="s">
        <v>3</v>
      </c>
      <c r="D395" s="50" t="s">
        <v>4435</v>
      </c>
      <c r="E395" s="50" t="s">
        <v>4434</v>
      </c>
      <c r="F395" s="50" t="s">
        <v>1795</v>
      </c>
      <c r="G395" s="50" t="s">
        <v>2321</v>
      </c>
      <c r="H395" s="31">
        <f t="shared" si="22"/>
        <v>747.9338843</v>
      </c>
      <c r="I395" s="21"/>
      <c r="J395" s="50">
        <v>905.0</v>
      </c>
      <c r="K395" s="95">
        <v>0.3</v>
      </c>
      <c r="L395" s="33">
        <f>IF('Global Precios'!J395*(1-I395)*(1+'Global Precios'!K395)&gt;1000,MROUND('Global Precios'!J395*(1-I395)*(1+'Global Precios'!K395),100),MROUND('Global Precios'!J395*(1-I395)*(1+'Global Precios'!K395),10))</f>
        <v>1200</v>
      </c>
      <c r="M395" s="50">
        <v>1.0</v>
      </c>
      <c r="N395" s="50" t="s">
        <v>4431</v>
      </c>
      <c r="O395" s="21"/>
      <c r="P395" s="115">
        <v>45323.0</v>
      </c>
      <c r="Q395" s="21">
        <f t="shared" si="7"/>
        <v>29</v>
      </c>
      <c r="R395" s="50">
        <v>30.0</v>
      </c>
      <c r="S395" s="21"/>
      <c r="T395" s="41" t="str">
        <f>IFERROR(VLOOKUP(D395,BUSCARV!$A$1:$C$5524,2,0),"")</f>
        <v/>
      </c>
      <c r="U395" s="42"/>
      <c r="V395" s="42" t="str">
        <f t="shared" si="3"/>
        <v/>
      </c>
      <c r="W395" s="44" t="str">
        <f t="shared" si="4"/>
        <v/>
      </c>
      <c r="X395" s="44"/>
      <c r="Y395" s="45">
        <f t="shared" si="5"/>
        <v>0</v>
      </c>
      <c r="Z395" s="46" t="s">
        <v>1075</v>
      </c>
      <c r="AA395" s="46"/>
    </row>
    <row r="396">
      <c r="A396" s="114">
        <v>421.0</v>
      </c>
      <c r="B396" s="21"/>
      <c r="C396" s="19" t="s">
        <v>3</v>
      </c>
      <c r="D396" s="50" t="s">
        <v>1299</v>
      </c>
      <c r="E396" s="50" t="s">
        <v>4345</v>
      </c>
      <c r="F396" s="50" t="s">
        <v>1795</v>
      </c>
      <c r="G396" s="50" t="s">
        <v>2316</v>
      </c>
      <c r="H396" s="31">
        <f t="shared" si="22"/>
        <v>2665.289256</v>
      </c>
      <c r="I396" s="21"/>
      <c r="J396" s="50">
        <v>3225.0</v>
      </c>
      <c r="K396" s="95">
        <v>0.3</v>
      </c>
      <c r="L396" s="33">
        <f>IF('Global Precios'!J396*(1-I396)*(1+'Global Precios'!K396)&gt;1000,MROUND('Global Precios'!J396*(1-I396)*(1+'Global Precios'!K396),100),MROUND('Global Precios'!J396*(1-I396)*(1+'Global Precios'!K396),10))</f>
        <v>4200</v>
      </c>
      <c r="M396" s="50">
        <v>3.0</v>
      </c>
      <c r="N396" s="50" t="s">
        <v>1823</v>
      </c>
      <c r="O396" s="21"/>
      <c r="P396" s="115">
        <v>45017.0</v>
      </c>
      <c r="Q396" s="21">
        <f t="shared" si="7"/>
        <v>22</v>
      </c>
      <c r="R396" s="50">
        <v>30.0</v>
      </c>
      <c r="S396" s="21"/>
      <c r="T396" s="41" t="str">
        <f>IFERROR(VLOOKUP(D396,BUSCARV!$A$1:$C$5524,2,0),"")</f>
        <v/>
      </c>
      <c r="U396" s="42"/>
      <c r="V396" s="42" t="str">
        <f t="shared" si="3"/>
        <v/>
      </c>
      <c r="W396" s="44" t="str">
        <f t="shared" si="4"/>
        <v/>
      </c>
      <c r="X396" s="44"/>
      <c r="Y396" s="45">
        <f t="shared" si="5"/>
        <v>0</v>
      </c>
      <c r="Z396" s="46" t="s">
        <v>1075</v>
      </c>
      <c r="AA396" s="46"/>
    </row>
    <row r="397">
      <c r="A397" s="114">
        <v>424.0</v>
      </c>
      <c r="B397" s="21"/>
      <c r="C397" s="19" t="s">
        <v>3</v>
      </c>
      <c r="D397" s="19" t="s">
        <v>1302</v>
      </c>
      <c r="E397" s="21"/>
      <c r="F397" s="50" t="s">
        <v>2308</v>
      </c>
      <c r="G397" s="50" t="s">
        <v>2339</v>
      </c>
      <c r="H397" s="31">
        <f t="shared" si="22"/>
        <v>2707.438017</v>
      </c>
      <c r="I397" s="21"/>
      <c r="J397" s="50">
        <v>3276.0</v>
      </c>
      <c r="K397" s="95">
        <v>1.0</v>
      </c>
      <c r="L397" s="33">
        <f>IF('Global Precios'!J397*(1-I397)*(1+'Global Precios'!K397)&gt;1000,MROUND('Global Precios'!J397*(1-I397)*(1+'Global Precios'!K397),100),MROUND('Global Precios'!J397*(1-I397)*(1+'Global Precios'!K397),10))</f>
        <v>6600</v>
      </c>
      <c r="M397" s="50">
        <v>10.0</v>
      </c>
      <c r="N397" s="50" t="s">
        <v>4383</v>
      </c>
      <c r="O397" s="21"/>
      <c r="P397" s="115">
        <v>45505.0</v>
      </c>
      <c r="Q397" s="21">
        <f t="shared" si="7"/>
        <v>33</v>
      </c>
      <c r="R397" s="50">
        <v>30.0</v>
      </c>
      <c r="S397" s="21"/>
      <c r="T397" s="41" t="str">
        <f>IFERROR(VLOOKUP(D397,BUSCARV!$A$1:$C$5524,2,0),"")</f>
        <v/>
      </c>
      <c r="U397" s="42"/>
      <c r="V397" s="42" t="str">
        <f t="shared" si="3"/>
        <v/>
      </c>
      <c r="W397" s="44" t="str">
        <f t="shared" si="4"/>
        <v/>
      </c>
      <c r="X397" s="44"/>
      <c r="Y397" s="45">
        <f t="shared" si="5"/>
        <v>0</v>
      </c>
      <c r="Z397" s="46" t="s">
        <v>1075</v>
      </c>
      <c r="AA397" s="46"/>
    </row>
    <row r="398">
      <c r="A398" s="110">
        <v>425.0</v>
      </c>
      <c r="B398" s="21"/>
      <c r="C398" s="19" t="s">
        <v>182</v>
      </c>
      <c r="D398" s="19" t="s">
        <v>1305</v>
      </c>
      <c r="E398" s="21"/>
      <c r="F398" s="19" t="s">
        <v>204</v>
      </c>
      <c r="G398" s="21"/>
      <c r="H398" s="31">
        <f t="shared" si="22"/>
        <v>16746.28099</v>
      </c>
      <c r="I398" s="21"/>
      <c r="J398" s="47">
        <v>20263.0</v>
      </c>
      <c r="K398" s="111">
        <v>0.01</v>
      </c>
      <c r="L398" s="33">
        <f>IF('Global Precios'!J398*(1-I398)*(1+'Global Precios'!K398)&gt;10000,MROUND('Global Precios'!J398*(1-I398)*(1+'Global Precios'!K398),1000),MROUND('Global Precios'!J398*(1-I398)*(1+'Global Precios'!K398),500))</f>
        <v>20000</v>
      </c>
      <c r="M398" s="19">
        <v>1.0</v>
      </c>
      <c r="N398" s="50" t="s">
        <v>46</v>
      </c>
      <c r="O398" s="21"/>
      <c r="P398" s="35">
        <v>45809.0</v>
      </c>
      <c r="Q398" s="21">
        <f t="shared" si="7"/>
        <v>9</v>
      </c>
      <c r="R398" s="37">
        <v>60.0</v>
      </c>
      <c r="S398" s="39"/>
      <c r="T398" s="41" t="str">
        <f>IFERROR(VLOOKUP(D398,BUSCARV!$A$1:$C$5524,2,0),"")</f>
        <v/>
      </c>
      <c r="U398" s="42"/>
      <c r="V398" s="42" t="str">
        <f t="shared" si="3"/>
        <v/>
      </c>
      <c r="W398" s="44" t="str">
        <f t="shared" si="4"/>
        <v/>
      </c>
      <c r="X398" s="44"/>
      <c r="Y398" s="45">
        <f t="shared" si="5"/>
        <v>0</v>
      </c>
      <c r="Z398" s="46" t="s">
        <v>449</v>
      </c>
      <c r="AA398" s="46"/>
    </row>
    <row r="399">
      <c r="A399" s="110">
        <v>426.0</v>
      </c>
      <c r="B399" s="21"/>
      <c r="C399" s="19" t="s">
        <v>182</v>
      </c>
      <c r="D399" s="19" t="s">
        <v>1308</v>
      </c>
      <c r="E399" s="21"/>
      <c r="F399" s="19" t="s">
        <v>204</v>
      </c>
      <c r="G399" s="21"/>
      <c r="H399" s="31">
        <f t="shared" si="22"/>
        <v>3352.066116</v>
      </c>
      <c r="I399" s="21"/>
      <c r="J399" s="47">
        <v>4056.0</v>
      </c>
      <c r="K399" s="111">
        <v>0.01</v>
      </c>
      <c r="L399" s="33">
        <f>IF('Global Precios'!J399*(1-I399)*(1+'Global Precios'!K399)&gt;1000,MROUND('Global Precios'!J399*(1-I399)*(1+'Global Precios'!K399),100),MROUND('Global Precios'!J399*(1-I399)*(1+'Global Precios'!K399),10))</f>
        <v>4100</v>
      </c>
      <c r="M399" s="19">
        <v>1.0</v>
      </c>
      <c r="N399" s="50" t="s">
        <v>46</v>
      </c>
      <c r="O399" s="21"/>
      <c r="P399" s="35">
        <v>45809.0</v>
      </c>
      <c r="Q399" s="21">
        <f t="shared" si="7"/>
        <v>8</v>
      </c>
      <c r="R399" s="37">
        <v>60.0</v>
      </c>
      <c r="S399" s="39"/>
      <c r="T399" s="41" t="str">
        <f>IFERROR(VLOOKUP(D399,BUSCARV!$A$1:$C$5524,2,0),"")</f>
        <v/>
      </c>
      <c r="U399" s="42"/>
      <c r="V399" s="42" t="str">
        <f t="shared" si="3"/>
        <v/>
      </c>
      <c r="W399" s="44" t="str">
        <f t="shared" si="4"/>
        <v/>
      </c>
      <c r="X399" s="44"/>
      <c r="Y399" s="45">
        <f t="shared" si="5"/>
        <v>0</v>
      </c>
      <c r="Z399" s="46" t="s">
        <v>1075</v>
      </c>
      <c r="AA399" s="46"/>
    </row>
    <row r="400">
      <c r="A400" s="114">
        <v>427.0</v>
      </c>
      <c r="B400" s="21"/>
      <c r="C400" s="19" t="s">
        <v>3</v>
      </c>
      <c r="D400" s="50" t="s">
        <v>1311</v>
      </c>
      <c r="E400" s="21"/>
      <c r="F400" s="50" t="s">
        <v>1982</v>
      </c>
      <c r="G400" s="50" t="s">
        <v>2316</v>
      </c>
      <c r="H400" s="48">
        <v>321.0</v>
      </c>
      <c r="I400" s="21"/>
      <c r="J400" s="19">
        <v>1967.0</v>
      </c>
      <c r="K400" s="95">
        <v>0.8</v>
      </c>
      <c r="L400" s="33">
        <f>IF('Global Precios'!J400*(1-I400)*(1+'Global Precios'!K400)&gt;10000,MROUND('Global Precios'!J400*(1-I400)*(1+'Global Precios'!K400),1000),MROUND('Global Precios'!J400*(1-I400)*(1+'Global Precios'!K400),500))</f>
        <v>3500</v>
      </c>
      <c r="M400" s="50">
        <v>1.0</v>
      </c>
      <c r="N400" s="50" t="s">
        <v>46</v>
      </c>
      <c r="O400" s="21"/>
      <c r="P400" s="35">
        <v>45839.0</v>
      </c>
      <c r="Q400" s="21">
        <f t="shared" si="7"/>
        <v>17</v>
      </c>
      <c r="R400" s="50">
        <v>30.0</v>
      </c>
      <c r="S400" s="21"/>
      <c r="T400" s="41" t="str">
        <f>IFERROR(VLOOKUP(D400,BUSCARV!$A$1:$C$5524,2,0),"")</f>
        <v/>
      </c>
      <c r="U400" s="42"/>
      <c r="V400" s="42" t="str">
        <f t="shared" si="3"/>
        <v/>
      </c>
      <c r="W400" s="44" t="str">
        <f t="shared" si="4"/>
        <v/>
      </c>
      <c r="X400" s="44"/>
      <c r="Y400" s="45">
        <f t="shared" si="5"/>
        <v>0</v>
      </c>
      <c r="Z400" s="46" t="s">
        <v>449</v>
      </c>
      <c r="AA400" s="46" t="s">
        <v>4436</v>
      </c>
    </row>
    <row r="401">
      <c r="A401" s="114">
        <v>428.0</v>
      </c>
      <c r="B401" s="21"/>
      <c r="C401" s="19" t="s">
        <v>3</v>
      </c>
      <c r="D401" s="50" t="s">
        <v>1314</v>
      </c>
      <c r="E401" s="21"/>
      <c r="F401" s="50" t="s">
        <v>1982</v>
      </c>
      <c r="G401" s="50" t="s">
        <v>2316</v>
      </c>
      <c r="H401" s="48">
        <v>321.0</v>
      </c>
      <c r="I401" s="21"/>
      <c r="J401" s="19">
        <v>576.0</v>
      </c>
      <c r="K401" s="95">
        <v>0.8</v>
      </c>
      <c r="L401" s="33">
        <f>IF('Global Precios'!J401*(1-I401)*(1+'Global Precios'!K401)&gt;1000,MROUND('Global Precios'!J401*(1-I401)*(1+'Global Precios'!K401),100),MROUND('Global Precios'!J401*(1-I401)*(1+'Global Precios'!K401),10))</f>
        <v>1000</v>
      </c>
      <c r="M401" s="50">
        <v>1.0</v>
      </c>
      <c r="N401" s="50" t="s">
        <v>46</v>
      </c>
      <c r="O401" s="21"/>
      <c r="P401" s="35">
        <v>45261.0</v>
      </c>
      <c r="Q401" s="21">
        <f t="shared" si="7"/>
        <v>16</v>
      </c>
      <c r="R401" s="50">
        <v>30.0</v>
      </c>
      <c r="S401" s="21"/>
      <c r="T401" s="41" t="str">
        <f>IFERROR(VLOOKUP(D401,BUSCARV!$A$1:$C$5524,2,0),"")</f>
        <v/>
      </c>
      <c r="U401" s="63"/>
      <c r="V401" s="42" t="str">
        <f t="shared" si="3"/>
        <v/>
      </c>
      <c r="W401" s="44" t="str">
        <f t="shared" si="4"/>
        <v/>
      </c>
      <c r="X401" s="80" t="s">
        <v>4437</v>
      </c>
      <c r="Y401" s="45">
        <f t="shared" si="5"/>
        <v>0</v>
      </c>
      <c r="Z401" s="46" t="s">
        <v>1075</v>
      </c>
      <c r="AA401" s="46" t="s">
        <v>4436</v>
      </c>
    </row>
    <row r="402">
      <c r="A402" s="114">
        <v>429.0</v>
      </c>
      <c r="B402" s="21"/>
      <c r="C402" s="19" t="s">
        <v>3</v>
      </c>
      <c r="D402" s="50" t="s">
        <v>1317</v>
      </c>
      <c r="E402" s="21"/>
      <c r="F402" s="50" t="s">
        <v>1982</v>
      </c>
      <c r="G402" s="50" t="s">
        <v>2316</v>
      </c>
      <c r="H402" s="48">
        <v>330.0</v>
      </c>
      <c r="I402" s="21"/>
      <c r="J402" s="19">
        <v>790.0</v>
      </c>
      <c r="K402" s="95">
        <v>1.0</v>
      </c>
      <c r="L402" s="33">
        <f>IF('Global Precios'!J402*(1-I402)*(1+'Global Precios'!K402)&gt;1000,MROUND('Global Precios'!J402*(1-I402)*(1+'Global Precios'!K402),100),MROUND('Global Precios'!J402*(1-I402)*(1+'Global Precios'!K402),10))</f>
        <v>1600</v>
      </c>
      <c r="M402" s="50">
        <v>1.0</v>
      </c>
      <c r="N402" s="50" t="s">
        <v>46</v>
      </c>
      <c r="O402" s="21"/>
      <c r="P402" s="35">
        <v>45292.0</v>
      </c>
      <c r="Q402" s="21">
        <f t="shared" si="7"/>
        <v>19</v>
      </c>
      <c r="R402" s="50">
        <v>30.0</v>
      </c>
      <c r="S402" s="21"/>
      <c r="T402" s="41" t="str">
        <f>IFERROR(VLOOKUP(D402,BUSCARV!$A$1:$C$5524,2,0),"")</f>
        <v/>
      </c>
      <c r="U402" s="63"/>
      <c r="V402" s="42" t="str">
        <f t="shared" si="3"/>
        <v/>
      </c>
      <c r="W402" s="44" t="str">
        <f t="shared" si="4"/>
        <v/>
      </c>
      <c r="X402" s="80" t="s">
        <v>4438</v>
      </c>
      <c r="Y402" s="45">
        <f t="shared" si="5"/>
        <v>0</v>
      </c>
      <c r="Z402" s="46" t="s">
        <v>1075</v>
      </c>
      <c r="AA402" s="46" t="s">
        <v>4439</v>
      </c>
    </row>
    <row r="403">
      <c r="A403" s="114">
        <v>430.0</v>
      </c>
      <c r="B403" s="21"/>
      <c r="C403" s="19" t="s">
        <v>3</v>
      </c>
      <c r="D403" s="50" t="s">
        <v>1320</v>
      </c>
      <c r="E403" s="21"/>
      <c r="F403" s="50" t="s">
        <v>1795</v>
      </c>
      <c r="G403" s="50" t="s">
        <v>2321</v>
      </c>
      <c r="H403" s="31">
        <f t="shared" ref="H403:H408" si="23">IF(J403="","",J403/1.21)</f>
        <v>3099.173554</v>
      </c>
      <c r="I403" s="21"/>
      <c r="J403" s="50">
        <v>3750.0</v>
      </c>
      <c r="K403" s="95">
        <v>0.3</v>
      </c>
      <c r="L403" s="33">
        <f>IF('Global Precios'!J403*(1-I403)*(1+'Global Precios'!K403)&gt;1000,MROUND('Global Precios'!J403*(1-I403)*(1+'Global Precios'!K403),100),MROUND('Global Precios'!J403*(1-I403)*(1+'Global Precios'!K403),10))</f>
        <v>4900</v>
      </c>
      <c r="M403" s="50">
        <v>1.0</v>
      </c>
      <c r="N403" s="50" t="s">
        <v>1823</v>
      </c>
      <c r="O403" s="21"/>
      <c r="P403" s="119">
        <v>45017.0</v>
      </c>
      <c r="Q403" s="21">
        <f t="shared" si="7"/>
        <v>29</v>
      </c>
      <c r="R403" s="50">
        <v>30.0</v>
      </c>
      <c r="S403" s="21"/>
      <c r="T403" s="41" t="str">
        <f>IFERROR(VLOOKUP(D403,BUSCARV!$A$1:$C$5524,2,0),"")</f>
        <v/>
      </c>
      <c r="U403" s="42"/>
      <c r="V403" s="42" t="str">
        <f t="shared" si="3"/>
        <v/>
      </c>
      <c r="W403" s="44" t="str">
        <f t="shared" si="4"/>
        <v/>
      </c>
      <c r="X403" s="44"/>
      <c r="Y403" s="45">
        <f t="shared" si="5"/>
        <v>0</v>
      </c>
      <c r="Z403" s="46" t="s">
        <v>1075</v>
      </c>
      <c r="AA403" s="46"/>
    </row>
    <row r="404">
      <c r="A404" s="110">
        <v>432.0</v>
      </c>
      <c r="B404" s="21"/>
      <c r="C404" s="19" t="s">
        <v>3</v>
      </c>
      <c r="D404" s="19" t="s">
        <v>1322</v>
      </c>
      <c r="E404" s="21"/>
      <c r="F404" s="19" t="s">
        <v>2308</v>
      </c>
      <c r="G404" s="19" t="s">
        <v>2351</v>
      </c>
      <c r="H404" s="31">
        <f t="shared" si="23"/>
        <v>295.8677686</v>
      </c>
      <c r="I404" s="21"/>
      <c r="J404" s="19">
        <v>358.0</v>
      </c>
      <c r="K404" s="111">
        <v>1.0</v>
      </c>
      <c r="L404" s="33">
        <f>IF('Global Precios'!J404*(1-I404)*(1+'Global Precios'!K404)&gt;1000,MROUND('Global Precios'!J404*(1-I404)*(1+'Global Precios'!K404),100),MROUND('Global Precios'!J404*(1-I404)*(1+'Global Precios'!K404),10))</f>
        <v>720</v>
      </c>
      <c r="M404" s="50">
        <v>20.0</v>
      </c>
      <c r="N404" s="50" t="s">
        <v>4383</v>
      </c>
      <c r="O404" s="21"/>
      <c r="P404" s="119">
        <v>45200.0</v>
      </c>
      <c r="Q404" s="21">
        <f t="shared" si="7"/>
        <v>33</v>
      </c>
      <c r="R404" s="50">
        <v>30.0</v>
      </c>
      <c r="S404" s="21"/>
      <c r="T404" s="41" t="str">
        <f>IFERROR(VLOOKUP(D404,BUSCARV!$A$1:$C$5524,2,0),"")</f>
        <v/>
      </c>
      <c r="U404" s="42"/>
      <c r="V404" s="42" t="str">
        <f t="shared" si="3"/>
        <v/>
      </c>
      <c r="W404" s="44" t="str">
        <f t="shared" si="4"/>
        <v/>
      </c>
      <c r="X404" s="44"/>
      <c r="Y404" s="45">
        <f t="shared" si="5"/>
        <v>0</v>
      </c>
      <c r="Z404" s="46" t="s">
        <v>1075</v>
      </c>
      <c r="AA404" s="46"/>
    </row>
    <row r="405">
      <c r="A405" s="114">
        <v>433.0</v>
      </c>
      <c r="B405" s="21"/>
      <c r="C405" s="19" t="s">
        <v>3</v>
      </c>
      <c r="D405" s="50" t="s">
        <v>1325</v>
      </c>
      <c r="E405" s="50" t="s">
        <v>4440</v>
      </c>
      <c r="F405" s="50" t="s">
        <v>2308</v>
      </c>
      <c r="G405" s="50" t="s">
        <v>2321</v>
      </c>
      <c r="H405" s="31">
        <f t="shared" si="23"/>
        <v>21074.38017</v>
      </c>
      <c r="I405" s="21"/>
      <c r="J405" s="50">
        <v>25500.0</v>
      </c>
      <c r="K405" s="95">
        <v>0.3</v>
      </c>
      <c r="L405" s="33">
        <f>IF('Global Precios'!J405*(1-I405)*(1+'Global Precios'!K405)&gt;1000,MROUND('Global Precios'!J405*(1-I405)*(1+'Global Precios'!K405),100),MROUND('Global Precios'!J405*(1-I405)*(1+'Global Precios'!K405),10))</f>
        <v>33200</v>
      </c>
      <c r="M405" s="50">
        <v>70.0</v>
      </c>
      <c r="N405" s="50" t="s">
        <v>2496</v>
      </c>
      <c r="O405" s="21"/>
      <c r="P405" s="35">
        <v>45839.0</v>
      </c>
      <c r="Q405" s="21">
        <f t="shared" si="7"/>
        <v>29</v>
      </c>
      <c r="R405" s="50">
        <v>30.0</v>
      </c>
      <c r="S405" s="21"/>
      <c r="T405" s="41" t="str">
        <f>IFERROR(VLOOKUP(D405,BUSCARV!$A$1:$C$5524,2,0),"")</f>
        <v/>
      </c>
      <c r="U405" s="42"/>
      <c r="V405" s="42" t="str">
        <f t="shared" si="3"/>
        <v/>
      </c>
      <c r="W405" s="44" t="str">
        <f t="shared" si="4"/>
        <v/>
      </c>
      <c r="X405" s="44"/>
      <c r="Y405" s="45">
        <f t="shared" si="5"/>
        <v>0</v>
      </c>
      <c r="Z405" s="46" t="s">
        <v>449</v>
      </c>
      <c r="AA405" s="46"/>
    </row>
    <row r="406">
      <c r="A406" s="114">
        <v>434.0</v>
      </c>
      <c r="B406" s="21"/>
      <c r="C406" s="19" t="s">
        <v>3</v>
      </c>
      <c r="D406" s="50" t="s">
        <v>4441</v>
      </c>
      <c r="E406" s="50" t="s">
        <v>4442</v>
      </c>
      <c r="F406" s="50" t="s">
        <v>1795</v>
      </c>
      <c r="G406" s="50" t="s">
        <v>2316</v>
      </c>
      <c r="H406" s="31">
        <f t="shared" si="23"/>
        <v>11171.90083</v>
      </c>
      <c r="I406" s="21"/>
      <c r="J406" s="50">
        <v>13518.0</v>
      </c>
      <c r="K406" s="95">
        <v>0.3</v>
      </c>
      <c r="L406" s="33">
        <f>IF('Global Precios'!J406*(1-I406)*(1+'Global Precios'!K406)&gt;10000,MROUND('Global Precios'!J406*(1-I406)*(1+'Global Precios'!K406),1000),MROUND('Global Precios'!J406*(1-I406)*(1+'Global Precios'!K406),500))</f>
        <v>18000</v>
      </c>
      <c r="M406" s="50">
        <v>3.0</v>
      </c>
      <c r="N406" s="50" t="s">
        <v>1823</v>
      </c>
      <c r="O406" s="21"/>
      <c r="P406" s="115">
        <v>45839.0</v>
      </c>
      <c r="Q406" s="21">
        <f t="shared" si="7"/>
        <v>39</v>
      </c>
      <c r="R406" s="50">
        <v>30.0</v>
      </c>
      <c r="S406" s="21"/>
      <c r="T406" s="41" t="str">
        <f>IFERROR(VLOOKUP(D406,BUSCARV!$A$1:$C$5524,2,0),"")</f>
        <v/>
      </c>
      <c r="U406" s="42"/>
      <c r="V406" s="42" t="str">
        <f t="shared" si="3"/>
        <v/>
      </c>
      <c r="W406" s="44" t="str">
        <f t="shared" si="4"/>
        <v/>
      </c>
      <c r="X406" s="44"/>
      <c r="Y406" s="45">
        <f t="shared" si="5"/>
        <v>0</v>
      </c>
      <c r="Z406" s="46" t="s">
        <v>449</v>
      </c>
      <c r="AA406" s="46"/>
    </row>
    <row r="407">
      <c r="A407" s="114">
        <v>435.0</v>
      </c>
      <c r="B407" s="21"/>
      <c r="C407" s="19" t="s">
        <v>3</v>
      </c>
      <c r="D407" s="50" t="s">
        <v>1335</v>
      </c>
      <c r="E407" s="50" t="s">
        <v>4442</v>
      </c>
      <c r="F407" s="50" t="s">
        <v>1795</v>
      </c>
      <c r="G407" s="50" t="s">
        <v>2316</v>
      </c>
      <c r="H407" s="31">
        <f t="shared" si="23"/>
        <v>7077.68595</v>
      </c>
      <c r="I407" s="21"/>
      <c r="J407" s="50">
        <v>8564.0</v>
      </c>
      <c r="K407" s="95">
        <v>0.3</v>
      </c>
      <c r="L407" s="33">
        <f>IF('Global Precios'!J407*(1-I407)*(1+'Global Precios'!K407)&gt;1000,MROUND('Global Precios'!J407*(1-I407)*(1+'Global Precios'!K407),100),MROUND('Global Precios'!J407*(1-I407)*(1+'Global Precios'!K407),10))</f>
        <v>11100</v>
      </c>
      <c r="M407" s="50">
        <v>3.0</v>
      </c>
      <c r="N407" s="50" t="s">
        <v>1823</v>
      </c>
      <c r="O407" s="21"/>
      <c r="P407" s="115">
        <v>45292.0</v>
      </c>
      <c r="Q407" s="21">
        <f t="shared" si="7"/>
        <v>34</v>
      </c>
      <c r="R407" s="50">
        <v>30.0</v>
      </c>
      <c r="S407" s="21"/>
      <c r="T407" s="41" t="str">
        <f>IFERROR(VLOOKUP(D407,BUSCARV!$A$1:$C$5524,2,0),"")</f>
        <v/>
      </c>
      <c r="U407" s="42"/>
      <c r="V407" s="42" t="str">
        <f t="shared" si="3"/>
        <v/>
      </c>
      <c r="W407" s="44" t="str">
        <f t="shared" si="4"/>
        <v/>
      </c>
      <c r="X407" s="44"/>
      <c r="Y407" s="45">
        <f t="shared" si="5"/>
        <v>0</v>
      </c>
      <c r="Z407" s="46" t="s">
        <v>1075</v>
      </c>
      <c r="AA407" s="46"/>
    </row>
    <row r="408">
      <c r="A408" s="114">
        <v>436.0</v>
      </c>
      <c r="B408" s="21"/>
      <c r="C408" s="19" t="s">
        <v>3</v>
      </c>
      <c r="D408" s="50" t="s">
        <v>1338</v>
      </c>
      <c r="E408" s="50" t="s">
        <v>4443</v>
      </c>
      <c r="F408" s="50" t="s">
        <v>1795</v>
      </c>
      <c r="G408" s="50" t="s">
        <v>2316</v>
      </c>
      <c r="H408" s="31">
        <f t="shared" si="23"/>
        <v>20059.50413</v>
      </c>
      <c r="I408" s="21"/>
      <c r="J408" s="19">
        <v>24272.0</v>
      </c>
      <c r="K408" s="111">
        <v>0.3</v>
      </c>
      <c r="L408" s="33">
        <f>IF('Global Precios'!J408*(1-I408)*(1+'Global Precios'!K408)&gt;1000,MROUND('Global Precios'!J408*(1-I408)*(1+'Global Precios'!K408),100),MROUND('Global Precios'!J408*(1-I408)*(1+'Global Precios'!K408),10))</f>
        <v>31600</v>
      </c>
      <c r="M408" s="50">
        <v>15.0</v>
      </c>
      <c r="N408" s="50" t="s">
        <v>1823</v>
      </c>
      <c r="O408" s="21"/>
      <c r="P408" s="115">
        <v>45261.0</v>
      </c>
      <c r="Q408" s="21">
        <f t="shared" si="7"/>
        <v>41</v>
      </c>
      <c r="R408" s="50">
        <v>30.0</v>
      </c>
      <c r="S408" s="21"/>
      <c r="T408" s="41" t="str">
        <f>IFERROR(VLOOKUP(D408,BUSCARV!$A$1:$C$5524,2,0),"")</f>
        <v/>
      </c>
      <c r="U408" s="42"/>
      <c r="V408" s="42" t="str">
        <f t="shared" si="3"/>
        <v/>
      </c>
      <c r="W408" s="44" t="str">
        <f t="shared" si="4"/>
        <v/>
      </c>
      <c r="X408" s="44"/>
      <c r="Y408" s="45">
        <f t="shared" si="5"/>
        <v>0</v>
      </c>
      <c r="Z408" s="46" t="s">
        <v>1075</v>
      </c>
      <c r="AA408" s="46"/>
    </row>
    <row r="409">
      <c r="A409" s="114">
        <v>437.0</v>
      </c>
      <c r="B409" s="21"/>
      <c r="C409" s="19" t="s">
        <v>3</v>
      </c>
      <c r="D409" s="50" t="s">
        <v>1341</v>
      </c>
      <c r="E409" s="21"/>
      <c r="F409" s="50" t="s">
        <v>1982</v>
      </c>
      <c r="G409" s="50" t="s">
        <v>2316</v>
      </c>
      <c r="H409" s="48">
        <v>793.0</v>
      </c>
      <c r="I409" s="21"/>
      <c r="J409" s="19">
        <v>3441.0</v>
      </c>
      <c r="K409" s="95">
        <v>1.0</v>
      </c>
      <c r="L409" s="33">
        <f>IF('Global Precios'!J409*(1-I409)*(1+'Global Precios'!K409)&gt;1000,MROUND('Global Precios'!J409*(1-I409)*(1+'Global Precios'!K409),100),MROUND('Global Precios'!J409*(1-I409)*(1+'Global Precios'!K409),10))</f>
        <v>6900</v>
      </c>
      <c r="M409" s="50">
        <v>1.0</v>
      </c>
      <c r="N409" s="50" t="s">
        <v>46</v>
      </c>
      <c r="O409" s="21"/>
      <c r="P409" s="35">
        <v>45261.0</v>
      </c>
      <c r="Q409" s="21">
        <f t="shared" si="7"/>
        <v>21</v>
      </c>
      <c r="R409" s="50">
        <v>30.0</v>
      </c>
      <c r="S409" s="21"/>
      <c r="T409" s="41" t="str">
        <f>IFERROR(VLOOKUP(D409,BUSCARV!$A$1:$C$5524,2,0),"")</f>
        <v/>
      </c>
      <c r="U409" s="63"/>
      <c r="V409" s="42" t="str">
        <f t="shared" si="3"/>
        <v/>
      </c>
      <c r="W409" s="44" t="str">
        <f t="shared" si="4"/>
        <v/>
      </c>
      <c r="X409" s="44"/>
      <c r="Y409" s="45">
        <f t="shared" si="5"/>
        <v>0</v>
      </c>
      <c r="Z409" s="46" t="s">
        <v>1075</v>
      </c>
      <c r="AA409" s="46"/>
    </row>
    <row r="410">
      <c r="A410" s="114">
        <v>438.0</v>
      </c>
      <c r="B410" s="21"/>
      <c r="C410" s="19" t="s">
        <v>3</v>
      </c>
      <c r="D410" s="50" t="s">
        <v>1343</v>
      </c>
      <c r="E410" s="21"/>
      <c r="F410" s="50" t="s">
        <v>1982</v>
      </c>
      <c r="G410" s="50" t="s">
        <v>2316</v>
      </c>
      <c r="H410" s="48">
        <v>854.0</v>
      </c>
      <c r="I410" s="21"/>
      <c r="J410" s="19">
        <v>3740.0</v>
      </c>
      <c r="K410" s="95">
        <v>1.0</v>
      </c>
      <c r="L410" s="33">
        <f>IF('Global Precios'!J410*(1-I410)*(1+'Global Precios'!K410)&gt;1000,MROUND('Global Precios'!J410*(1-I410)*(1+'Global Precios'!K410),100),MROUND('Global Precios'!J410*(1-I410)*(1+'Global Precios'!K410),10))</f>
        <v>7500</v>
      </c>
      <c r="M410" s="50">
        <v>1.0</v>
      </c>
      <c r="N410" s="50" t="s">
        <v>46</v>
      </c>
      <c r="O410" s="21"/>
      <c r="P410" s="35">
        <v>45261.0</v>
      </c>
      <c r="Q410" s="21">
        <f t="shared" si="7"/>
        <v>21</v>
      </c>
      <c r="R410" s="50">
        <v>30.0</v>
      </c>
      <c r="S410" s="21"/>
      <c r="T410" s="41" t="str">
        <f>IFERROR(VLOOKUP(D410,BUSCARV!$A$1:$C$5524,2,0),"")</f>
        <v/>
      </c>
      <c r="U410" s="63"/>
      <c r="V410" s="42" t="str">
        <f t="shared" si="3"/>
        <v/>
      </c>
      <c r="W410" s="44" t="str">
        <f t="shared" si="4"/>
        <v/>
      </c>
      <c r="X410" s="44"/>
      <c r="Y410" s="45">
        <f t="shared" si="5"/>
        <v>0</v>
      </c>
      <c r="Z410" s="46" t="s">
        <v>1075</v>
      </c>
      <c r="AA410" s="46"/>
    </row>
    <row r="411">
      <c r="A411" s="114">
        <v>439.0</v>
      </c>
      <c r="B411" s="21"/>
      <c r="C411" s="19" t="s">
        <v>3</v>
      </c>
      <c r="D411" s="50" t="s">
        <v>1346</v>
      </c>
      <c r="E411" s="21"/>
      <c r="F411" s="50" t="s">
        <v>1982</v>
      </c>
      <c r="G411" s="50" t="s">
        <v>2316</v>
      </c>
      <c r="H411" s="48">
        <v>385.0</v>
      </c>
      <c r="I411" s="21"/>
      <c r="J411" s="19">
        <v>982.0</v>
      </c>
      <c r="K411" s="95">
        <v>1.0</v>
      </c>
      <c r="L411" s="33">
        <f>IF('Global Precios'!J411*(1-I411)*(1+'Global Precios'!K411)&gt;1000,MROUND('Global Precios'!J411*(1-I411)*(1+'Global Precios'!K411),100),MROUND('Global Precios'!J411*(1-I411)*(1+'Global Precios'!K411),10))</f>
        <v>2000</v>
      </c>
      <c r="M411" s="50">
        <v>1.0</v>
      </c>
      <c r="N411" s="50" t="s">
        <v>46</v>
      </c>
      <c r="O411" s="21"/>
      <c r="P411" s="35">
        <v>45261.0</v>
      </c>
      <c r="Q411" s="21">
        <f t="shared" si="7"/>
        <v>24</v>
      </c>
      <c r="R411" s="50">
        <v>30.0</v>
      </c>
      <c r="S411" s="21"/>
      <c r="T411" s="41" t="str">
        <f>IFERROR(VLOOKUP(D411,BUSCARV!$A$1:$C$5524,2,0),"")</f>
        <v/>
      </c>
      <c r="U411" s="63"/>
      <c r="V411" s="42" t="str">
        <f t="shared" si="3"/>
        <v/>
      </c>
      <c r="W411" s="44" t="str">
        <f t="shared" si="4"/>
        <v/>
      </c>
      <c r="X411" s="44"/>
      <c r="Y411" s="45">
        <f t="shared" si="5"/>
        <v>0</v>
      </c>
      <c r="Z411" s="46" t="s">
        <v>1075</v>
      </c>
      <c r="AA411" s="46"/>
    </row>
    <row r="412">
      <c r="A412" s="114">
        <v>440.0</v>
      </c>
      <c r="B412" s="21"/>
      <c r="C412" s="19" t="s">
        <v>3</v>
      </c>
      <c r="D412" s="50" t="s">
        <v>1349</v>
      </c>
      <c r="E412" s="21"/>
      <c r="F412" s="50" t="s">
        <v>1982</v>
      </c>
      <c r="G412" s="50" t="s">
        <v>2321</v>
      </c>
      <c r="H412" s="48">
        <v>524.0</v>
      </c>
      <c r="I412" s="21"/>
      <c r="J412" s="19">
        <v>2512.0</v>
      </c>
      <c r="K412" s="95">
        <v>0.8</v>
      </c>
      <c r="L412" s="33">
        <f>IF('Global Precios'!J412*(1-I412)*(1+'Global Precios'!K412)&gt;10000,MROUND('Global Precios'!J412*(1-I412)*(1+'Global Precios'!K412),1000),MROUND('Global Precios'!J412*(1-I412)*(1+'Global Precios'!K412),500))</f>
        <v>4500</v>
      </c>
      <c r="M412" s="50">
        <v>1.0</v>
      </c>
      <c r="N412" s="50" t="s">
        <v>46</v>
      </c>
      <c r="O412" s="21"/>
      <c r="P412" s="35">
        <v>45839.0</v>
      </c>
      <c r="Q412" s="21">
        <f t="shared" si="7"/>
        <v>14</v>
      </c>
      <c r="R412" s="50">
        <v>30.0</v>
      </c>
      <c r="S412" s="21"/>
      <c r="T412" s="41" t="str">
        <f>IFERROR(VLOOKUP(D412,BUSCARV!$A$1:$C$5524,2,0),"")</f>
        <v/>
      </c>
      <c r="U412" s="42"/>
      <c r="V412" s="42" t="str">
        <f t="shared" si="3"/>
        <v/>
      </c>
      <c r="W412" s="44" t="str">
        <f t="shared" si="4"/>
        <v/>
      </c>
      <c r="X412" s="44"/>
      <c r="Y412" s="45">
        <f t="shared" si="5"/>
        <v>0</v>
      </c>
      <c r="Z412" s="46" t="s">
        <v>449</v>
      </c>
      <c r="AA412" s="46" t="s">
        <v>4444</v>
      </c>
    </row>
    <row r="413">
      <c r="A413" s="110">
        <v>441.0</v>
      </c>
      <c r="B413" s="21"/>
      <c r="C413" s="19" t="s">
        <v>3</v>
      </c>
      <c r="D413" s="19" t="s">
        <v>1352</v>
      </c>
      <c r="E413" s="21"/>
      <c r="F413" s="19" t="s">
        <v>2308</v>
      </c>
      <c r="G413" s="19" t="s">
        <v>2336</v>
      </c>
      <c r="H413" s="31">
        <f t="shared" ref="H413:H415" si="24">IF(J413="","",J413/1.21)</f>
        <v>100</v>
      </c>
      <c r="I413" s="21"/>
      <c r="J413" s="19">
        <v>121.0</v>
      </c>
      <c r="K413" s="111">
        <v>1.5</v>
      </c>
      <c r="L413" s="33">
        <f>IF('Global Precios'!J413*(1-I413)*(1+'Global Precios'!K413)&gt;1000,MROUND('Global Precios'!J413*(1-I413)*(1+'Global Precios'!K413),100),MROUND('Global Precios'!J413*(1-I413)*(1+'Global Precios'!K413),10))</f>
        <v>300</v>
      </c>
      <c r="M413" s="19">
        <v>1.0</v>
      </c>
      <c r="N413" s="19" t="s">
        <v>4445</v>
      </c>
      <c r="O413" s="21"/>
      <c r="P413" s="35">
        <v>45505.0</v>
      </c>
      <c r="Q413" s="21">
        <f t="shared" si="7"/>
        <v>20</v>
      </c>
      <c r="R413" s="19">
        <v>30.0</v>
      </c>
      <c r="S413" s="21"/>
      <c r="T413" s="41" t="str">
        <f>IFERROR(VLOOKUP(D413,BUSCARV!$A$1:$C$5524,2,0),"")</f>
        <v/>
      </c>
      <c r="U413" s="42"/>
      <c r="V413" s="42" t="str">
        <f t="shared" si="3"/>
        <v/>
      </c>
      <c r="W413" s="44" t="str">
        <f t="shared" si="4"/>
        <v/>
      </c>
      <c r="X413" s="44"/>
      <c r="Y413" s="45">
        <f t="shared" si="5"/>
        <v>0</v>
      </c>
      <c r="Z413" s="46" t="s">
        <v>1075</v>
      </c>
      <c r="AA413" s="46"/>
    </row>
    <row r="414">
      <c r="A414" s="110">
        <v>442.0</v>
      </c>
      <c r="B414" s="21"/>
      <c r="C414" s="19" t="s">
        <v>3</v>
      </c>
      <c r="D414" s="50" t="s">
        <v>1355</v>
      </c>
      <c r="E414" s="21"/>
      <c r="F414" s="19" t="s">
        <v>2308</v>
      </c>
      <c r="G414" s="19" t="s">
        <v>2325</v>
      </c>
      <c r="H414" s="31">
        <f t="shared" si="24"/>
        <v>9215.702479</v>
      </c>
      <c r="I414" s="21"/>
      <c r="J414" s="19">
        <v>11151.0</v>
      </c>
      <c r="K414" s="111">
        <v>0.8</v>
      </c>
      <c r="L414" s="33">
        <f>IF('Global Precios'!J414*(1-I414)*(1+'Global Precios'!K414)&gt;10000,MROUND('Global Precios'!J414*(1-I414)*(1+'Global Precios'!K414),1000),MROUND('Global Precios'!J414*(1-I414)*(1+'Global Precios'!K414),500))</f>
        <v>20000</v>
      </c>
      <c r="M414" s="21"/>
      <c r="N414" s="21"/>
      <c r="O414" s="21"/>
      <c r="P414" s="35">
        <v>45839.0</v>
      </c>
      <c r="Q414" s="21">
        <f t="shared" si="7"/>
        <v>35</v>
      </c>
      <c r="R414" s="19">
        <v>30.0</v>
      </c>
      <c r="S414" s="21"/>
      <c r="T414" s="41">
        <f>IFERROR(VLOOKUP(D414,BUSCARV!$A$1:$C$5524,2,0),"")</f>
        <v>12025</v>
      </c>
      <c r="U414" s="42"/>
      <c r="V414" s="42">
        <f t="shared" si="3"/>
        <v>12025</v>
      </c>
      <c r="W414" s="44">
        <f t="shared" si="4"/>
        <v>0.07837862075</v>
      </c>
      <c r="X414" s="44"/>
      <c r="Y414" s="45">
        <f t="shared" si="5"/>
        <v>0</v>
      </c>
      <c r="Z414" s="46" t="s">
        <v>449</v>
      </c>
      <c r="AA414" s="46"/>
    </row>
    <row r="415">
      <c r="A415" s="114">
        <v>443.0</v>
      </c>
      <c r="B415" s="21"/>
      <c r="C415" s="19" t="s">
        <v>3</v>
      </c>
      <c r="D415" s="19" t="s">
        <v>4446</v>
      </c>
      <c r="E415" s="21"/>
      <c r="F415" s="50" t="s">
        <v>2308</v>
      </c>
      <c r="G415" s="50" t="s">
        <v>2336</v>
      </c>
      <c r="H415" s="31">
        <f t="shared" si="24"/>
        <v>909.0909091</v>
      </c>
      <c r="I415" s="21"/>
      <c r="J415" s="50">
        <v>1100.0</v>
      </c>
      <c r="K415" s="95">
        <v>0.8</v>
      </c>
      <c r="L415" s="33">
        <f>IF('Global Precios'!J415*(1-I415)*(1+'Global Precios'!K415)&gt;10000,MROUND('Global Precios'!J415*(1-I415)*(1+'Global Precios'!K415),1000),MROUND('Global Precios'!J415*(1-I415)*(1+'Global Precios'!K415),500))</f>
        <v>2000</v>
      </c>
      <c r="M415" s="50">
        <v>1.0</v>
      </c>
      <c r="N415" s="50" t="s">
        <v>4383</v>
      </c>
      <c r="O415" s="21"/>
      <c r="P415" s="35">
        <v>46054.0</v>
      </c>
      <c r="Q415" s="21">
        <f t="shared" si="7"/>
        <v>28</v>
      </c>
      <c r="R415" s="50">
        <v>30.0</v>
      </c>
      <c r="S415" s="21"/>
      <c r="T415" s="41" t="str">
        <f>IFERROR(VLOOKUP(D415,BUSCARV!$A$1:$C$5524,2,0),"")</f>
        <v/>
      </c>
      <c r="U415" s="42"/>
      <c r="V415" s="42" t="str">
        <f t="shared" si="3"/>
        <v/>
      </c>
      <c r="W415" s="44" t="str">
        <f t="shared" si="4"/>
        <v/>
      </c>
      <c r="X415" s="44"/>
      <c r="Y415" s="45">
        <f t="shared" si="5"/>
        <v>0</v>
      </c>
      <c r="Z415" s="46" t="s">
        <v>449</v>
      </c>
      <c r="AA415" s="46"/>
    </row>
    <row r="416">
      <c r="A416" s="110">
        <v>444.0</v>
      </c>
      <c r="B416" s="21"/>
      <c r="C416" s="19" t="s">
        <v>3</v>
      </c>
      <c r="D416" s="19" t="s">
        <v>1360</v>
      </c>
      <c r="E416" s="29"/>
      <c r="F416" s="19" t="s">
        <v>1982</v>
      </c>
      <c r="G416" s="19" t="s">
        <v>2316</v>
      </c>
      <c r="H416" s="48">
        <v>1177.0</v>
      </c>
      <c r="I416" s="21"/>
      <c r="J416" s="99">
        <v>5527.0</v>
      </c>
      <c r="K416" s="111">
        <v>0.8</v>
      </c>
      <c r="L416" s="33">
        <f>IF('Global Precios'!J416*(1-I416)*(1+'Global Precios'!K416)&gt;10000,MROUND('Global Precios'!J416*(1-I416)*(1+'Global Precios'!K416),1000),MROUND('Global Precios'!J416*(1-I416)*(1+'Global Precios'!K416),500))</f>
        <v>10000</v>
      </c>
      <c r="M416" s="91">
        <v>1.0</v>
      </c>
      <c r="N416" s="19" t="s">
        <v>46</v>
      </c>
      <c r="O416" s="21"/>
      <c r="P416" s="35">
        <v>45839.0</v>
      </c>
      <c r="Q416" s="36">
        <f t="shared" si="7"/>
        <v>22</v>
      </c>
      <c r="R416" s="37">
        <v>30.0</v>
      </c>
      <c r="S416" s="21"/>
      <c r="T416" s="41" t="str">
        <f>IFERROR(VLOOKUP(D416,BUSCARV!$A$1:$C$5524,2,0),"")</f>
        <v/>
      </c>
      <c r="U416" s="42"/>
      <c r="V416" s="42" t="str">
        <f t="shared" si="3"/>
        <v/>
      </c>
      <c r="W416" s="44" t="str">
        <f t="shared" si="4"/>
        <v/>
      </c>
      <c r="X416" s="44"/>
      <c r="Y416" s="45">
        <f t="shared" si="5"/>
        <v>0</v>
      </c>
      <c r="Z416" s="46" t="s">
        <v>449</v>
      </c>
      <c r="AA416" s="46" t="s">
        <v>4447</v>
      </c>
    </row>
    <row r="417">
      <c r="A417" s="110">
        <v>445.0</v>
      </c>
      <c r="B417" s="21"/>
      <c r="C417" s="19" t="s">
        <v>3</v>
      </c>
      <c r="D417" s="120" t="s">
        <v>785</v>
      </c>
      <c r="E417" s="29" t="s">
        <v>4342</v>
      </c>
      <c r="F417" s="19" t="s">
        <v>2308</v>
      </c>
      <c r="G417" s="29" t="s">
        <v>2350</v>
      </c>
      <c r="H417" s="31">
        <f t="shared" ref="H417:H438" si="25">IF(J417="","",J417/1.21)</f>
        <v>16415.70248</v>
      </c>
      <c r="I417" s="21"/>
      <c r="J417" s="99">
        <v>19863.0</v>
      </c>
      <c r="K417" s="60">
        <v>0.8</v>
      </c>
      <c r="L417" s="33">
        <f>IF('Global Precios'!J417*(1-I417)*(1+'Global Precios'!K417)&gt;10000,MROUND('Global Precios'!J417*(1-I417)*(1+'Global Precios'!K417),1000),MROUND('Global Precios'!J417*(1-I417)*(1+'Global Precios'!K417),500))</f>
        <v>36000</v>
      </c>
      <c r="M417" s="91">
        <v>1.0</v>
      </c>
      <c r="N417" s="29" t="s">
        <v>313</v>
      </c>
      <c r="O417" s="21"/>
      <c r="P417" s="35">
        <v>46054.0</v>
      </c>
      <c r="Q417" s="36">
        <f t="shared" si="7"/>
        <v>23</v>
      </c>
      <c r="R417" s="37">
        <v>30.0</v>
      </c>
      <c r="S417" s="21"/>
      <c r="T417" s="41">
        <f>IFERROR(VLOOKUP(D417,BUSCARV!$A$1:$C$5524,2,0),"")</f>
        <v>16614</v>
      </c>
      <c r="U417" s="42"/>
      <c r="V417" s="42">
        <f t="shared" si="3"/>
        <v>16614</v>
      </c>
      <c r="W417" s="44">
        <f t="shared" si="4"/>
        <v>-0.1635704576</v>
      </c>
      <c r="X417" s="44"/>
      <c r="Y417" s="45">
        <f t="shared" si="5"/>
        <v>0</v>
      </c>
      <c r="Z417" s="46" t="s">
        <v>449</v>
      </c>
      <c r="AA417" s="46"/>
    </row>
    <row r="418">
      <c r="A418" s="114">
        <v>446.0</v>
      </c>
      <c r="B418" s="21"/>
      <c r="C418" s="19" t="s">
        <v>3</v>
      </c>
      <c r="D418" s="50" t="s">
        <v>1365</v>
      </c>
      <c r="E418" s="50" t="s">
        <v>4448</v>
      </c>
      <c r="F418" s="50" t="s">
        <v>2308</v>
      </c>
      <c r="G418" s="50" t="s">
        <v>2325</v>
      </c>
      <c r="H418" s="31">
        <f t="shared" si="25"/>
        <v>652.0661157</v>
      </c>
      <c r="I418" s="21"/>
      <c r="J418" s="50">
        <v>789.0</v>
      </c>
      <c r="K418" s="95">
        <v>0.8</v>
      </c>
      <c r="L418" s="33">
        <f>IF('Global Precios'!J418*(1-I418)*(1+'Global Precios'!K418)&gt;1000,MROUND('Global Precios'!J418*(1-I418)*(1+'Global Precios'!K418),100),MROUND('Global Precios'!J418*(1-I418)*(1+'Global Precios'!K418),10))</f>
        <v>1400</v>
      </c>
      <c r="M418" s="50">
        <v>10.0</v>
      </c>
      <c r="N418" s="50" t="s">
        <v>4383</v>
      </c>
      <c r="O418" s="21"/>
      <c r="P418" s="115">
        <v>44986.0</v>
      </c>
      <c r="Q418" s="21">
        <f t="shared" si="7"/>
        <v>9</v>
      </c>
      <c r="R418" s="50">
        <v>30.0</v>
      </c>
      <c r="S418" s="21"/>
      <c r="T418" s="41" t="str">
        <f>IFERROR(VLOOKUP(D418,BUSCARV!$A$1:$C$5524,2,0),"")</f>
        <v/>
      </c>
      <c r="U418" s="42"/>
      <c r="V418" s="42" t="str">
        <f t="shared" si="3"/>
        <v/>
      </c>
      <c r="W418" s="44" t="str">
        <f t="shared" si="4"/>
        <v/>
      </c>
      <c r="X418" s="44"/>
      <c r="Y418" s="45">
        <f t="shared" si="5"/>
        <v>0</v>
      </c>
      <c r="Z418" s="46" t="s">
        <v>1075</v>
      </c>
      <c r="AA418" s="46"/>
    </row>
    <row r="419">
      <c r="A419" s="107">
        <v>447.0</v>
      </c>
      <c r="B419" s="21"/>
      <c r="C419" s="19" t="s">
        <v>3</v>
      </c>
      <c r="D419" s="19" t="s">
        <v>1368</v>
      </c>
      <c r="E419" s="50" t="s">
        <v>4448</v>
      </c>
      <c r="F419" s="50" t="s">
        <v>2308</v>
      </c>
      <c r="G419" s="50" t="s">
        <v>2336</v>
      </c>
      <c r="H419" s="31">
        <f t="shared" si="25"/>
        <v>836.3636364</v>
      </c>
      <c r="I419" s="21"/>
      <c r="J419" s="50">
        <v>1012.0</v>
      </c>
      <c r="K419" s="95">
        <v>0.8</v>
      </c>
      <c r="L419" s="33">
        <f>IF('Global Precios'!J419*(1-I419)*(1+'Global Precios'!K419)&gt;1000,MROUND('Global Precios'!J419*(1-I419)*(1+'Global Precios'!K419),100),MROUND('Global Precios'!J419*(1-I419)*(1+'Global Precios'!K419),10))</f>
        <v>1800</v>
      </c>
      <c r="M419" s="50">
        <v>10.0</v>
      </c>
      <c r="N419" s="50" t="s">
        <v>4383</v>
      </c>
      <c r="O419" s="21"/>
      <c r="P419" s="115">
        <v>45200.0</v>
      </c>
      <c r="Q419" s="21">
        <f t="shared" si="7"/>
        <v>26</v>
      </c>
      <c r="R419" s="50">
        <v>30.0</v>
      </c>
      <c r="S419" s="21"/>
      <c r="T419" s="41" t="str">
        <f>IFERROR(VLOOKUP(D419,BUSCARV!$A$1:$C$5524,2,0),"")</f>
        <v/>
      </c>
      <c r="U419" s="42"/>
      <c r="V419" s="42" t="str">
        <f t="shared" si="3"/>
        <v/>
      </c>
      <c r="W419" s="44" t="str">
        <f t="shared" si="4"/>
        <v/>
      </c>
      <c r="X419" s="44"/>
      <c r="Y419" s="45">
        <f t="shared" si="5"/>
        <v>0</v>
      </c>
      <c r="Z419" s="46" t="s">
        <v>1075</v>
      </c>
      <c r="AA419" s="46"/>
    </row>
    <row r="420">
      <c r="A420" s="121">
        <v>448.0</v>
      </c>
      <c r="B420" s="21"/>
      <c r="C420" s="19" t="s">
        <v>3</v>
      </c>
      <c r="D420" s="19" t="s">
        <v>1372</v>
      </c>
      <c r="E420" s="50" t="s">
        <v>4449</v>
      </c>
      <c r="F420" s="50" t="s">
        <v>1795</v>
      </c>
      <c r="G420" s="50" t="s">
        <v>2316</v>
      </c>
      <c r="H420" s="31">
        <f t="shared" si="25"/>
        <v>13595.04132</v>
      </c>
      <c r="I420" s="21"/>
      <c r="J420" s="50">
        <v>16450.0</v>
      </c>
      <c r="K420" s="95">
        <v>0.4</v>
      </c>
      <c r="L420" s="33">
        <f>IF('Global Precios'!J420*(1-I420)*(1+'Global Precios'!K420)&gt;10000,MROUND('Global Precios'!J420*(1-I420)*(1+'Global Precios'!K420),1000),MROUND('Global Precios'!J420*(1-I420)*(1+'Global Precios'!K420),500))</f>
        <v>23000</v>
      </c>
      <c r="M420" s="50">
        <v>2.0</v>
      </c>
      <c r="N420" s="50" t="s">
        <v>1823</v>
      </c>
      <c r="O420" s="21"/>
      <c r="P420" s="115">
        <v>45748.0</v>
      </c>
      <c r="Q420" s="21">
        <f t="shared" si="7"/>
        <v>23</v>
      </c>
      <c r="R420" s="50">
        <v>30.0</v>
      </c>
      <c r="S420" s="21"/>
      <c r="T420" s="41" t="str">
        <f>IFERROR(VLOOKUP(D420,BUSCARV!$A$1:$C$5524,2,0),"")</f>
        <v/>
      </c>
      <c r="U420" s="42"/>
      <c r="V420" s="42" t="str">
        <f t="shared" si="3"/>
        <v/>
      </c>
      <c r="W420" s="44" t="str">
        <f t="shared" si="4"/>
        <v/>
      </c>
      <c r="X420" s="44"/>
      <c r="Y420" s="45">
        <f t="shared" si="5"/>
        <v>0</v>
      </c>
      <c r="Z420" s="46" t="s">
        <v>449</v>
      </c>
      <c r="AA420" s="46"/>
    </row>
    <row r="421">
      <c r="A421" s="121">
        <v>449.0</v>
      </c>
      <c r="B421" s="21"/>
      <c r="C421" s="19" t="s">
        <v>3</v>
      </c>
      <c r="D421" s="114" t="s">
        <v>1376</v>
      </c>
      <c r="E421" s="50" t="s">
        <v>4450</v>
      </c>
      <c r="F421" s="50" t="s">
        <v>1795</v>
      </c>
      <c r="G421" s="50" t="s">
        <v>2316</v>
      </c>
      <c r="H421" s="31">
        <f t="shared" si="25"/>
        <v>3471.07438</v>
      </c>
      <c r="I421" s="21"/>
      <c r="J421" s="50">
        <v>4200.0</v>
      </c>
      <c r="K421" s="95">
        <v>0.3</v>
      </c>
      <c r="L421" s="33">
        <f>IF('Global Precios'!J421*(1-I421)*(1+'Global Precios'!K421)&gt;10000,MROUND('Global Precios'!J421*(1-I421)*(1+'Global Precios'!K421),1000),MROUND('Global Precios'!J421*(1-I421)*(1+'Global Precios'!K421),500))</f>
        <v>5500</v>
      </c>
      <c r="M421" s="50">
        <v>1.0</v>
      </c>
      <c r="N421" s="50" t="s">
        <v>46</v>
      </c>
      <c r="O421" s="21"/>
      <c r="P421" s="115">
        <v>45839.0</v>
      </c>
      <c r="Q421" s="21">
        <f t="shared" si="7"/>
        <v>13</v>
      </c>
      <c r="R421" s="50">
        <v>30.0</v>
      </c>
      <c r="S421" s="21"/>
      <c r="T421" s="41" t="str">
        <f>IFERROR(VLOOKUP(D421,BUSCARV!$A$1:$C$5524,2,0),"")</f>
        <v/>
      </c>
      <c r="U421" s="42"/>
      <c r="V421" s="42" t="str">
        <f t="shared" si="3"/>
        <v/>
      </c>
      <c r="W421" s="44" t="str">
        <f t="shared" si="4"/>
        <v/>
      </c>
      <c r="X421" s="44"/>
      <c r="Y421" s="45">
        <f t="shared" si="5"/>
        <v>0</v>
      </c>
      <c r="Z421" s="46" t="s">
        <v>449</v>
      </c>
      <c r="AA421" s="46"/>
    </row>
    <row r="422">
      <c r="A422" s="121">
        <v>450.0</v>
      </c>
      <c r="B422" s="21"/>
      <c r="C422" s="19" t="s">
        <v>3</v>
      </c>
      <c r="D422" s="19" t="s">
        <v>1377</v>
      </c>
      <c r="E422" s="50" t="s">
        <v>4451</v>
      </c>
      <c r="F422" s="50" t="s">
        <v>2308</v>
      </c>
      <c r="G422" s="50" t="s">
        <v>2339</v>
      </c>
      <c r="H422" s="31">
        <f t="shared" si="25"/>
        <v>4792.561983</v>
      </c>
      <c r="I422" s="21"/>
      <c r="J422" s="50">
        <v>5799.0</v>
      </c>
      <c r="K422" s="95">
        <v>1.0</v>
      </c>
      <c r="L422" s="33">
        <f>IF('Global Precios'!J422*(1-I422)*(1+'Global Precios'!K422)&gt;1000,MROUND('Global Precios'!J422*(1-I422)*(1+'Global Precios'!K422),100),MROUND('Global Precios'!J422*(1-I422)*(1+'Global Precios'!K422),10))</f>
        <v>11600</v>
      </c>
      <c r="M422" s="50">
        <v>20.0</v>
      </c>
      <c r="N422" s="50" t="s">
        <v>2496</v>
      </c>
      <c r="O422" s="21"/>
      <c r="P422" s="35">
        <v>45505.0</v>
      </c>
      <c r="Q422" s="21">
        <f t="shared" si="7"/>
        <v>30</v>
      </c>
      <c r="R422" s="50">
        <v>30.0</v>
      </c>
      <c r="S422" s="21"/>
      <c r="T422" s="41" t="str">
        <f>IFERROR(VLOOKUP(D422,BUSCARV!$A$1:$C$5524,2,0),"")</f>
        <v/>
      </c>
      <c r="U422" s="42"/>
      <c r="V422" s="42" t="str">
        <f t="shared" si="3"/>
        <v/>
      </c>
      <c r="W422" s="44" t="str">
        <f t="shared" si="4"/>
        <v/>
      </c>
      <c r="X422" s="44"/>
      <c r="Y422" s="45">
        <f t="shared" si="5"/>
        <v>0</v>
      </c>
      <c r="Z422" s="46" t="s">
        <v>1075</v>
      </c>
      <c r="AA422" s="46"/>
    </row>
    <row r="423">
      <c r="A423" s="121">
        <v>451.0</v>
      </c>
      <c r="B423" s="21"/>
      <c r="C423" s="19" t="s">
        <v>3</v>
      </c>
      <c r="D423" s="114" t="s">
        <v>1378</v>
      </c>
      <c r="E423" s="50" t="s">
        <v>4452</v>
      </c>
      <c r="F423" s="50" t="s">
        <v>1795</v>
      </c>
      <c r="G423" s="50" t="s">
        <v>2316</v>
      </c>
      <c r="H423" s="31">
        <f t="shared" si="25"/>
        <v>264.4628099</v>
      </c>
      <c r="I423" s="21"/>
      <c r="J423" s="50">
        <v>320.0</v>
      </c>
      <c r="K423" s="95">
        <v>1.0</v>
      </c>
      <c r="L423" s="33">
        <f>IF('Global Precios'!J423*(1-I423)*(1+'Global Precios'!K423)&gt;1000,MROUND('Global Precios'!J423*(1-I423)*(1+'Global Precios'!K423),100),MROUND('Global Precios'!J423*(1-I423)*(1+'Global Precios'!K423),10))</f>
        <v>640</v>
      </c>
      <c r="M423" s="50">
        <v>3.0</v>
      </c>
      <c r="N423" s="50" t="s">
        <v>46</v>
      </c>
      <c r="O423" s="21"/>
      <c r="P423" s="115">
        <v>45231.0</v>
      </c>
      <c r="Q423" s="21">
        <f t="shared" si="7"/>
        <v>28</v>
      </c>
      <c r="R423" s="50">
        <v>30.0</v>
      </c>
      <c r="S423" s="21"/>
      <c r="T423" s="41" t="str">
        <f>IFERROR(VLOOKUP(D423,BUSCARV!$A$1:$C$5524,2,0),"")</f>
        <v/>
      </c>
      <c r="U423" s="42"/>
      <c r="V423" s="42" t="str">
        <f t="shared" si="3"/>
        <v/>
      </c>
      <c r="W423" s="44" t="str">
        <f t="shared" si="4"/>
        <v/>
      </c>
      <c r="X423" s="44"/>
      <c r="Y423" s="45">
        <f t="shared" si="5"/>
        <v>0</v>
      </c>
      <c r="Z423" s="46" t="s">
        <v>1075</v>
      </c>
      <c r="AA423" s="46"/>
    </row>
    <row r="424">
      <c r="A424" s="121">
        <v>452.0</v>
      </c>
      <c r="B424" s="21"/>
      <c r="C424" s="19" t="s">
        <v>3</v>
      </c>
      <c r="D424" s="114" t="s">
        <v>1379</v>
      </c>
      <c r="E424" s="50" t="s">
        <v>4452</v>
      </c>
      <c r="F424" s="19" t="s">
        <v>1795</v>
      </c>
      <c r="G424" s="50" t="s">
        <v>2316</v>
      </c>
      <c r="H424" s="31">
        <f t="shared" si="25"/>
        <v>289.2561983</v>
      </c>
      <c r="I424" s="21"/>
      <c r="J424" s="50">
        <v>350.0</v>
      </c>
      <c r="K424" s="95">
        <v>1.0</v>
      </c>
      <c r="L424" s="33">
        <f>IF('Global Precios'!J424*(1-I424)*(1+'Global Precios'!K424)&gt;1000,MROUND('Global Precios'!J424*(1-I424)*(1+'Global Precios'!K424),100),MROUND('Global Precios'!J424*(1-I424)*(1+'Global Precios'!K424),10))</f>
        <v>700</v>
      </c>
      <c r="M424" s="50">
        <v>3.0</v>
      </c>
      <c r="N424" s="50" t="s">
        <v>46</v>
      </c>
      <c r="O424" s="21"/>
      <c r="P424" s="115">
        <v>45231.0</v>
      </c>
      <c r="Q424" s="21">
        <f t="shared" si="7"/>
        <v>28</v>
      </c>
      <c r="R424" s="50">
        <v>30.0</v>
      </c>
      <c r="S424" s="21"/>
      <c r="T424" s="41" t="str">
        <f>IFERROR(VLOOKUP(D424,BUSCARV!$A$1:$C$5524,2,0),"")</f>
        <v/>
      </c>
      <c r="U424" s="42"/>
      <c r="V424" s="42" t="str">
        <f t="shared" si="3"/>
        <v/>
      </c>
      <c r="W424" s="44" t="str">
        <f t="shared" si="4"/>
        <v/>
      </c>
      <c r="X424" s="44"/>
      <c r="Y424" s="45">
        <f t="shared" si="5"/>
        <v>0</v>
      </c>
      <c r="Z424" s="46" t="s">
        <v>1075</v>
      </c>
      <c r="AA424" s="46"/>
    </row>
    <row r="425">
      <c r="A425" s="121">
        <v>453.0</v>
      </c>
      <c r="B425" s="21"/>
      <c r="C425" s="19" t="s">
        <v>3</v>
      </c>
      <c r="D425" s="114" t="s">
        <v>1382</v>
      </c>
      <c r="E425" s="50" t="s">
        <v>4452</v>
      </c>
      <c r="F425" s="19" t="s">
        <v>1795</v>
      </c>
      <c r="G425" s="50" t="s">
        <v>2316</v>
      </c>
      <c r="H425" s="31">
        <f t="shared" si="25"/>
        <v>264.4628099</v>
      </c>
      <c r="I425" s="21"/>
      <c r="J425" s="50">
        <v>320.0</v>
      </c>
      <c r="K425" s="95">
        <v>1.0</v>
      </c>
      <c r="L425" s="33">
        <f>IF('Global Precios'!J425*(1-I425)*(1+'Global Precios'!K425)&gt;1000,MROUND('Global Precios'!J425*(1-I425)*(1+'Global Precios'!K425),100),MROUND('Global Precios'!J425*(1-I425)*(1+'Global Precios'!K425),10))</f>
        <v>640</v>
      </c>
      <c r="M425" s="50">
        <v>3.0</v>
      </c>
      <c r="N425" s="50" t="s">
        <v>46</v>
      </c>
      <c r="O425" s="21"/>
      <c r="P425" s="115">
        <v>45231.0</v>
      </c>
      <c r="Q425" s="21">
        <f t="shared" si="7"/>
        <v>17</v>
      </c>
      <c r="R425" s="50">
        <v>30.0</v>
      </c>
      <c r="S425" s="21"/>
      <c r="T425" s="41" t="str">
        <f>IFERROR(VLOOKUP(D425,BUSCARV!$A$1:$C$5524,2,0),"")</f>
        <v/>
      </c>
      <c r="U425" s="42"/>
      <c r="V425" s="42" t="str">
        <f t="shared" si="3"/>
        <v/>
      </c>
      <c r="W425" s="44" t="str">
        <f t="shared" si="4"/>
        <v/>
      </c>
      <c r="X425" s="44"/>
      <c r="Y425" s="45">
        <f t="shared" si="5"/>
        <v>0</v>
      </c>
      <c r="Z425" s="46" t="s">
        <v>1075</v>
      </c>
      <c r="AA425" s="46"/>
    </row>
    <row r="426">
      <c r="A426" s="121">
        <v>454.0</v>
      </c>
      <c r="B426" s="21"/>
      <c r="C426" s="19" t="s">
        <v>3</v>
      </c>
      <c r="D426" s="114" t="s">
        <v>1385</v>
      </c>
      <c r="E426" s="50" t="s">
        <v>4449</v>
      </c>
      <c r="F426" s="19" t="s">
        <v>1795</v>
      </c>
      <c r="G426" s="50" t="s">
        <v>2321</v>
      </c>
      <c r="H426" s="31">
        <f t="shared" si="25"/>
        <v>14834.71074</v>
      </c>
      <c r="I426" s="21"/>
      <c r="J426" s="50">
        <v>17950.0</v>
      </c>
      <c r="K426" s="95">
        <v>0.4</v>
      </c>
      <c r="L426" s="33">
        <f>IF('Global Precios'!J426*(1-I426)*(1+'Global Precios'!K426)&gt;10000,MROUND('Global Precios'!J426*(1-I426)*(1+'Global Precios'!K426),1000),MROUND('Global Precios'!J426*(1-I426)*(1+'Global Precios'!K426),500))</f>
        <v>25000</v>
      </c>
      <c r="M426" s="50">
        <v>2.0</v>
      </c>
      <c r="N426" s="50" t="s">
        <v>1823</v>
      </c>
      <c r="O426" s="21"/>
      <c r="P426" s="115">
        <v>45748.0</v>
      </c>
      <c r="Q426" s="21">
        <f t="shared" si="7"/>
        <v>16</v>
      </c>
      <c r="R426" s="50">
        <v>30.0</v>
      </c>
      <c r="S426" s="21"/>
      <c r="T426" s="41" t="str">
        <f>IFERROR(VLOOKUP(D426,BUSCARV!$A$1:$C$5524,2,0),"")</f>
        <v/>
      </c>
      <c r="U426" s="42"/>
      <c r="V426" s="42" t="str">
        <f t="shared" si="3"/>
        <v/>
      </c>
      <c r="W426" s="44" t="str">
        <f t="shared" si="4"/>
        <v/>
      </c>
      <c r="X426" s="44"/>
      <c r="Y426" s="45">
        <f t="shared" si="5"/>
        <v>0</v>
      </c>
      <c r="Z426" s="46" t="s">
        <v>449</v>
      </c>
      <c r="AA426" s="46"/>
    </row>
    <row r="427">
      <c r="A427" s="121">
        <v>455.0</v>
      </c>
      <c r="B427" s="21"/>
      <c r="C427" s="19" t="s">
        <v>3</v>
      </c>
      <c r="D427" s="50" t="s">
        <v>1388</v>
      </c>
      <c r="E427" s="50" t="s">
        <v>4453</v>
      </c>
      <c r="F427" s="50" t="s">
        <v>2308</v>
      </c>
      <c r="G427" s="50" t="s">
        <v>2321</v>
      </c>
      <c r="H427" s="31">
        <f t="shared" si="25"/>
        <v>19109.91736</v>
      </c>
      <c r="I427" s="21"/>
      <c r="J427" s="19">
        <v>23123.0</v>
      </c>
      <c r="K427" s="95">
        <v>0.3</v>
      </c>
      <c r="L427" s="33">
        <f>IF('Global Precios'!J427*(1-I427)*(1+'Global Precios'!K427)&gt;10000,MROUND('Global Precios'!J427*(1-I427)*(1+'Global Precios'!K427),1000),MROUND('Global Precios'!J427*(1-I427)*(1+'Global Precios'!K427),500))</f>
        <v>30000</v>
      </c>
      <c r="M427" s="50">
        <v>1.0</v>
      </c>
      <c r="N427" s="50" t="s">
        <v>46</v>
      </c>
      <c r="O427" s="21"/>
      <c r="P427" s="35">
        <v>45839.0</v>
      </c>
      <c r="Q427" s="21">
        <f t="shared" si="7"/>
        <v>35</v>
      </c>
      <c r="R427" s="50">
        <v>30.0</v>
      </c>
      <c r="S427" s="21"/>
      <c r="T427" s="41">
        <f>IFERROR(VLOOKUP(D427,BUSCARV!$A$1:$C$5524,2,0),"")</f>
        <v>21539</v>
      </c>
      <c r="U427" s="42"/>
      <c r="V427" s="42">
        <f t="shared" si="3"/>
        <v>21539</v>
      </c>
      <c r="W427" s="44">
        <f t="shared" si="4"/>
        <v>-0.0685032219</v>
      </c>
      <c r="X427" s="44"/>
      <c r="Y427" s="45">
        <f t="shared" si="5"/>
        <v>0</v>
      </c>
      <c r="Z427" s="46" t="s">
        <v>449</v>
      </c>
      <c r="AA427" s="46"/>
    </row>
    <row r="428">
      <c r="A428" s="110">
        <v>456.0</v>
      </c>
      <c r="B428" s="21"/>
      <c r="C428" s="19" t="s">
        <v>182</v>
      </c>
      <c r="D428" s="110" t="s">
        <v>1392</v>
      </c>
      <c r="E428" s="21"/>
      <c r="F428" s="19" t="s">
        <v>2323</v>
      </c>
      <c r="G428" s="19" t="s">
        <v>2316</v>
      </c>
      <c r="H428" s="31">
        <f t="shared" si="25"/>
        <v>4623.140496</v>
      </c>
      <c r="I428" s="21"/>
      <c r="J428" s="47">
        <v>5594.0</v>
      </c>
      <c r="K428" s="111">
        <v>1.0</v>
      </c>
      <c r="L428" s="33">
        <f>IF('Global Precios'!J428*(1-I428)*(1+'Global Precios'!K428)&gt;1000,MROUND('Global Precios'!J428*(1-I428)*(1+'Global Precios'!K428),100),MROUND('Global Precios'!J428*(1-I428)*(1+'Global Precios'!K428),10))</f>
        <v>11200</v>
      </c>
      <c r="M428" s="50">
        <v>1.0</v>
      </c>
      <c r="N428" s="50" t="s">
        <v>46</v>
      </c>
      <c r="O428" s="21"/>
      <c r="P428" s="35">
        <v>45809.0</v>
      </c>
      <c r="Q428" s="36">
        <f t="shared" si="7"/>
        <v>43</v>
      </c>
      <c r="R428" s="37">
        <v>60.0</v>
      </c>
      <c r="S428" s="39"/>
      <c r="T428" s="41" t="str">
        <f>IFERROR(VLOOKUP(D428,BUSCARV!$A$1:$C$5524,2,0),"")</f>
        <v/>
      </c>
      <c r="U428" s="42"/>
      <c r="V428" s="42" t="str">
        <f t="shared" si="3"/>
        <v/>
      </c>
      <c r="W428" s="44" t="str">
        <f t="shared" si="4"/>
        <v/>
      </c>
      <c r="X428" s="44"/>
      <c r="Y428" s="45">
        <f t="shared" si="5"/>
        <v>0</v>
      </c>
      <c r="Z428" s="46" t="s">
        <v>1075</v>
      </c>
      <c r="AA428" s="46"/>
    </row>
    <row r="429">
      <c r="A429" s="110">
        <v>457.0</v>
      </c>
      <c r="B429" s="21"/>
      <c r="C429" s="19" t="s">
        <v>182</v>
      </c>
      <c r="D429" s="19" t="s">
        <v>1395</v>
      </c>
      <c r="E429" s="21"/>
      <c r="F429" s="19" t="s">
        <v>2323</v>
      </c>
      <c r="G429" s="19" t="s">
        <v>2316</v>
      </c>
      <c r="H429" s="31">
        <f t="shared" si="25"/>
        <v>1204.958678</v>
      </c>
      <c r="I429" s="21"/>
      <c r="J429" s="47">
        <v>1458.0</v>
      </c>
      <c r="K429" s="111">
        <v>1.0</v>
      </c>
      <c r="L429" s="33">
        <f>IF('Global Precios'!J429*(1-I429)*(1+'Global Precios'!K429)&gt;1000,MROUND('Global Precios'!J429*(1-I429)*(1+'Global Precios'!K429),100),MROUND('Global Precios'!J429*(1-I429)*(1+'Global Precios'!K429),10))</f>
        <v>2900</v>
      </c>
      <c r="M429" s="50">
        <v>1.0</v>
      </c>
      <c r="N429" s="50" t="s">
        <v>46</v>
      </c>
      <c r="O429" s="21"/>
      <c r="P429" s="35">
        <v>45809.0</v>
      </c>
      <c r="Q429" s="36">
        <f t="shared" si="7"/>
        <v>45</v>
      </c>
      <c r="R429" s="37">
        <v>60.0</v>
      </c>
      <c r="S429" s="39"/>
      <c r="T429" s="41" t="str">
        <f>IFERROR(VLOOKUP(D429,BUSCARV!$A$1:$C$5524,2,0),"")</f>
        <v/>
      </c>
      <c r="U429" s="42"/>
      <c r="V429" s="42" t="str">
        <f t="shared" si="3"/>
        <v/>
      </c>
      <c r="W429" s="44" t="str">
        <f t="shared" si="4"/>
        <v/>
      </c>
      <c r="X429" s="44"/>
      <c r="Y429" s="45">
        <f t="shared" si="5"/>
        <v>0</v>
      </c>
      <c r="Z429" s="46" t="s">
        <v>1075</v>
      </c>
      <c r="AA429" s="46"/>
    </row>
    <row r="430">
      <c r="A430" s="110">
        <v>458.0</v>
      </c>
      <c r="B430" s="21"/>
      <c r="C430" s="19" t="s">
        <v>182</v>
      </c>
      <c r="D430" s="19" t="s">
        <v>1398</v>
      </c>
      <c r="E430" s="21"/>
      <c r="F430" s="19" t="s">
        <v>2323</v>
      </c>
      <c r="G430" s="19" t="s">
        <v>2316</v>
      </c>
      <c r="H430" s="31">
        <f t="shared" si="25"/>
        <v>1966.115702</v>
      </c>
      <c r="I430" s="21"/>
      <c r="J430" s="47">
        <v>2379.0</v>
      </c>
      <c r="K430" s="111">
        <v>1.0</v>
      </c>
      <c r="L430" s="33">
        <f>IF('Global Precios'!J430*(1-I430)*(1+'Global Precios'!K430)&gt;1000,MROUND('Global Precios'!J430*(1-I430)*(1+'Global Precios'!K430),100),MROUND('Global Precios'!J430*(1-I430)*(1+'Global Precios'!K430),10))</f>
        <v>4800</v>
      </c>
      <c r="M430" s="50">
        <v>1.0</v>
      </c>
      <c r="N430" s="50" t="s">
        <v>46</v>
      </c>
      <c r="O430" s="21"/>
      <c r="P430" s="35">
        <v>45809.0</v>
      </c>
      <c r="Q430" s="36">
        <f t="shared" si="7"/>
        <v>44</v>
      </c>
      <c r="R430" s="37">
        <v>60.0</v>
      </c>
      <c r="S430" s="39"/>
      <c r="T430" s="41" t="str">
        <f>IFERROR(VLOOKUP(D430,BUSCARV!$A$1:$C$5524,2,0),"")</f>
        <v/>
      </c>
      <c r="U430" s="42"/>
      <c r="V430" s="42" t="str">
        <f t="shared" si="3"/>
        <v/>
      </c>
      <c r="W430" s="44" t="str">
        <f t="shared" si="4"/>
        <v/>
      </c>
      <c r="X430" s="44"/>
      <c r="Y430" s="45">
        <f t="shared" si="5"/>
        <v>0</v>
      </c>
      <c r="Z430" s="46" t="s">
        <v>1075</v>
      </c>
      <c r="AA430" s="46"/>
    </row>
    <row r="431">
      <c r="A431" s="121">
        <v>459.0</v>
      </c>
      <c r="B431" s="21"/>
      <c r="C431" s="19" t="s">
        <v>3</v>
      </c>
      <c r="D431" s="19" t="s">
        <v>1400</v>
      </c>
      <c r="E431" s="50" t="s">
        <v>4454</v>
      </c>
      <c r="F431" s="50" t="s">
        <v>2308</v>
      </c>
      <c r="G431" s="50" t="s">
        <v>2350</v>
      </c>
      <c r="H431" s="31">
        <f t="shared" si="25"/>
        <v>3636.363636</v>
      </c>
      <c r="I431" s="21"/>
      <c r="J431" s="50">
        <v>4400.0</v>
      </c>
      <c r="K431" s="60">
        <v>0.8</v>
      </c>
      <c r="L431" s="33">
        <f>IF('Global Precios'!J431*(1-I431)*(1+'Global Precios'!K431)&gt;10000,MROUND('Global Precios'!J431*(1-I431)*(1+'Global Precios'!K431),1000),MROUND('Global Precios'!J431*(1-I431)*(1+'Global Precios'!K431),500))</f>
        <v>8000</v>
      </c>
      <c r="M431" s="50">
        <v>1.0</v>
      </c>
      <c r="N431" s="50" t="s">
        <v>4383</v>
      </c>
      <c r="O431" s="21"/>
      <c r="P431" s="35">
        <v>45689.0</v>
      </c>
      <c r="Q431" s="36">
        <f t="shared" si="7"/>
        <v>32</v>
      </c>
      <c r="R431" s="50">
        <v>30.0</v>
      </c>
      <c r="S431" s="21"/>
      <c r="T431" s="41" t="str">
        <f>IFERROR(VLOOKUP(D431,BUSCARV!$A$1:$C$5524,2,0),"")</f>
        <v/>
      </c>
      <c r="U431" s="42"/>
      <c r="V431" s="42" t="str">
        <f t="shared" si="3"/>
        <v/>
      </c>
      <c r="W431" s="44" t="str">
        <f t="shared" si="4"/>
        <v/>
      </c>
      <c r="X431" s="44"/>
      <c r="Y431" s="45">
        <f t="shared" si="5"/>
        <v>0</v>
      </c>
      <c r="Z431" s="46" t="s">
        <v>1075</v>
      </c>
      <c r="AA431" s="46"/>
    </row>
    <row r="432">
      <c r="A432" s="121">
        <v>460.0</v>
      </c>
      <c r="B432" s="21"/>
      <c r="C432" s="19" t="s">
        <v>3</v>
      </c>
      <c r="D432" s="19" t="s">
        <v>1404</v>
      </c>
      <c r="E432" s="50" t="s">
        <v>4454</v>
      </c>
      <c r="F432" s="50" t="s">
        <v>2308</v>
      </c>
      <c r="G432" s="50" t="s">
        <v>2350</v>
      </c>
      <c r="H432" s="31">
        <f t="shared" si="25"/>
        <v>3223.140496</v>
      </c>
      <c r="I432" s="21"/>
      <c r="J432" s="50">
        <v>3900.0</v>
      </c>
      <c r="K432" s="60">
        <v>0.8</v>
      </c>
      <c r="L432" s="33">
        <f>IF('Global Precios'!J432*(1-I432)*(1+'Global Precios'!K432)&gt;10000,MROUND('Global Precios'!J432*(1-I432)*(1+'Global Precios'!K432),1000),MROUND('Global Precios'!J432*(1-I432)*(1+'Global Precios'!K432),500))</f>
        <v>7000</v>
      </c>
      <c r="M432" s="50">
        <v>1.0</v>
      </c>
      <c r="N432" s="50" t="s">
        <v>4383</v>
      </c>
      <c r="O432" s="21"/>
      <c r="P432" s="35">
        <v>45689.0</v>
      </c>
      <c r="Q432" s="21">
        <f t="shared" si="7"/>
        <v>35</v>
      </c>
      <c r="R432" s="50">
        <v>30.0</v>
      </c>
      <c r="S432" s="21"/>
      <c r="T432" s="41" t="str">
        <f>IFERROR(VLOOKUP(D432,BUSCARV!$A$1:$C$5524,2,0),"")</f>
        <v/>
      </c>
      <c r="U432" s="42"/>
      <c r="V432" s="42" t="str">
        <f t="shared" si="3"/>
        <v/>
      </c>
      <c r="W432" s="44" t="str">
        <f t="shared" si="4"/>
        <v/>
      </c>
      <c r="X432" s="44"/>
      <c r="Y432" s="45">
        <f t="shared" si="5"/>
        <v>0</v>
      </c>
      <c r="Z432" s="46" t="s">
        <v>1075</v>
      </c>
      <c r="AA432" s="46"/>
    </row>
    <row r="433">
      <c r="A433" s="121">
        <v>461.0</v>
      </c>
      <c r="B433" s="21"/>
      <c r="C433" s="19" t="s">
        <v>3</v>
      </c>
      <c r="D433" s="19" t="s">
        <v>1407</v>
      </c>
      <c r="E433" s="50" t="s">
        <v>4455</v>
      </c>
      <c r="F433" s="50" t="s">
        <v>2308</v>
      </c>
      <c r="G433" s="50" t="s">
        <v>2321</v>
      </c>
      <c r="H433" s="31">
        <f t="shared" si="25"/>
        <v>21917.35537</v>
      </c>
      <c r="I433" s="21"/>
      <c r="J433" s="50">
        <v>26520.0</v>
      </c>
      <c r="K433" s="60">
        <v>0.7</v>
      </c>
      <c r="L433" s="33">
        <f>IF('Global Precios'!J433*(1-I433)*(1+'Global Precios'!K433)&gt;10000,MROUND('Global Precios'!J433*(1-I433)*(1+'Global Precios'!K433),1000),MROUND('Global Precios'!J433*(1-I433)*(1+'Global Precios'!K433),500))</f>
        <v>45000</v>
      </c>
      <c r="M433" s="50">
        <v>1.0</v>
      </c>
      <c r="N433" s="50" t="s">
        <v>46</v>
      </c>
      <c r="O433" s="21"/>
      <c r="P433" s="115">
        <v>45839.0</v>
      </c>
      <c r="Q433" s="21">
        <f t="shared" si="7"/>
        <v>23</v>
      </c>
      <c r="R433" s="50">
        <v>30.0</v>
      </c>
      <c r="S433" s="21"/>
      <c r="T433" s="41" t="str">
        <f>IFERROR(VLOOKUP(D433,BUSCARV!$A$1:$C$5524,2,0),"")</f>
        <v/>
      </c>
      <c r="U433" s="42"/>
      <c r="V433" s="42" t="str">
        <f t="shared" si="3"/>
        <v/>
      </c>
      <c r="W433" s="44" t="str">
        <f t="shared" si="4"/>
        <v/>
      </c>
      <c r="X433" s="44"/>
      <c r="Y433" s="45">
        <f t="shared" si="5"/>
        <v>0</v>
      </c>
      <c r="Z433" s="46" t="s">
        <v>449</v>
      </c>
      <c r="AA433" s="46"/>
    </row>
    <row r="434">
      <c r="A434" s="121">
        <v>462.0</v>
      </c>
      <c r="B434" s="21"/>
      <c r="C434" s="19" t="s">
        <v>3</v>
      </c>
      <c r="D434" s="50" t="s">
        <v>1410</v>
      </c>
      <c r="E434" s="50" t="s">
        <v>4456</v>
      </c>
      <c r="F434" s="50" t="s">
        <v>2308</v>
      </c>
      <c r="G434" s="50" t="s">
        <v>2321</v>
      </c>
      <c r="H434" s="31">
        <f t="shared" si="25"/>
        <v>3046.280992</v>
      </c>
      <c r="I434" s="21"/>
      <c r="J434" s="50">
        <v>3686.0</v>
      </c>
      <c r="K434" s="95">
        <v>1.2</v>
      </c>
      <c r="L434" s="33">
        <f>IF('Global Precios'!J434*(1-I434)*(1+'Global Precios'!K434)&gt;1000,MROUND('Global Precios'!J434*(1-I434)*(1+'Global Precios'!K434),100),MROUND('Global Precios'!J434*(1-I434)*(1+'Global Precios'!K434),10))</f>
        <v>8100</v>
      </c>
      <c r="M434" s="50">
        <v>1.0</v>
      </c>
      <c r="N434" s="50" t="s">
        <v>46</v>
      </c>
      <c r="O434" s="21"/>
      <c r="P434" s="115">
        <v>45323.0</v>
      </c>
      <c r="Q434" s="21">
        <f t="shared" si="7"/>
        <v>19</v>
      </c>
      <c r="R434" s="50">
        <v>30.0</v>
      </c>
      <c r="S434" s="21"/>
      <c r="T434" s="41" t="str">
        <f>IFERROR(VLOOKUP(D434,BUSCARV!$A$1:$C$5524,2,0),"")</f>
        <v/>
      </c>
      <c r="U434" s="42"/>
      <c r="V434" s="42" t="str">
        <f t="shared" si="3"/>
        <v/>
      </c>
      <c r="W434" s="44" t="str">
        <f t="shared" si="4"/>
        <v/>
      </c>
      <c r="X434" s="44"/>
      <c r="Y434" s="45">
        <f t="shared" si="5"/>
        <v>0</v>
      </c>
      <c r="Z434" s="46" t="s">
        <v>1075</v>
      </c>
      <c r="AA434" s="46"/>
    </row>
    <row r="435">
      <c r="A435" s="121">
        <v>463.0</v>
      </c>
      <c r="B435" s="21"/>
      <c r="C435" s="19" t="s">
        <v>3</v>
      </c>
      <c r="D435" s="50" t="s">
        <v>1413</v>
      </c>
      <c r="E435" s="50" t="s">
        <v>1793</v>
      </c>
      <c r="F435" s="50" t="s">
        <v>1795</v>
      </c>
      <c r="G435" s="50" t="s">
        <v>2321</v>
      </c>
      <c r="H435" s="31">
        <f t="shared" si="25"/>
        <v>9181.818182</v>
      </c>
      <c r="I435" s="56">
        <v>0.065</v>
      </c>
      <c r="J435" s="66">
        <v>11110.0</v>
      </c>
      <c r="K435" s="95">
        <v>0.35</v>
      </c>
      <c r="L435" s="33">
        <f>IF('Global Precios'!J435*(1-I435)*(1+'Global Precios'!K435)&gt;10000,MROUND('Global Precios'!J435*(1-I435)*(1+'Global Precios'!K435),1000),MROUND('Global Precios'!J435*(1-I435)*(1+'Global Precios'!K435),500))</f>
        <v>14000</v>
      </c>
      <c r="M435" s="50">
        <v>1.0</v>
      </c>
      <c r="N435" s="50" t="s">
        <v>1823</v>
      </c>
      <c r="O435" s="21"/>
      <c r="P435" s="115">
        <v>46174.0</v>
      </c>
      <c r="Q435" s="21">
        <f t="shared" si="7"/>
        <v>27</v>
      </c>
      <c r="R435" s="50">
        <v>30.0</v>
      </c>
      <c r="S435" s="21"/>
      <c r="T435" s="41" t="str">
        <f>IFERROR(VLOOKUP(D435,BUSCARV!$A$1:$C$5524,2,0),"")</f>
        <v/>
      </c>
      <c r="U435" s="42"/>
      <c r="V435" s="42" t="str">
        <f t="shared" si="3"/>
        <v/>
      </c>
      <c r="W435" s="44" t="str">
        <f t="shared" si="4"/>
        <v/>
      </c>
      <c r="X435" s="44"/>
      <c r="Y435" s="45">
        <f t="shared" si="5"/>
        <v>0</v>
      </c>
      <c r="Z435" s="46" t="s">
        <v>449</v>
      </c>
      <c r="AA435" s="46"/>
    </row>
    <row r="436">
      <c r="A436" s="121">
        <v>464.0</v>
      </c>
      <c r="B436" s="21"/>
      <c r="C436" s="19" t="s">
        <v>3</v>
      </c>
      <c r="D436" s="50" t="s">
        <v>1416</v>
      </c>
      <c r="E436" s="50" t="s">
        <v>2292</v>
      </c>
      <c r="F436" s="50" t="s">
        <v>1795</v>
      </c>
      <c r="G436" s="50" t="s">
        <v>2321</v>
      </c>
      <c r="H436" s="31">
        <f t="shared" si="25"/>
        <v>1225.289256</v>
      </c>
      <c r="I436" s="21"/>
      <c r="J436" s="50">
        <f>J185/10</f>
        <v>1482.6</v>
      </c>
      <c r="K436" s="95">
        <v>0.43</v>
      </c>
      <c r="L436" s="33">
        <f>IF('Global Precios'!J436*(1-I436)*(1+'Global Precios'!K436)&gt;1000,MROUND('Global Precios'!J436*(1-I436)*(1+'Global Precios'!K436),100),MROUND('Global Precios'!J436*(1-I436)*(1+'Global Precios'!K436),10))</f>
        <v>2100</v>
      </c>
      <c r="M436" s="50">
        <v>1.0</v>
      </c>
      <c r="N436" s="50" t="s">
        <v>1823</v>
      </c>
      <c r="O436" s="21"/>
      <c r="P436" s="115">
        <v>45292.0</v>
      </c>
      <c r="Q436" s="21">
        <f t="shared" si="7"/>
        <v>33</v>
      </c>
      <c r="R436" s="19">
        <v>0.0</v>
      </c>
      <c r="S436" s="21"/>
      <c r="T436" s="41" t="str">
        <f>IFERROR(VLOOKUP(D436,BUSCARV!$A$1:$C$5524,2,0),"")</f>
        <v/>
      </c>
      <c r="U436" s="42"/>
      <c r="V436" s="42" t="str">
        <f t="shared" si="3"/>
        <v/>
      </c>
      <c r="W436" s="44" t="str">
        <f t="shared" si="4"/>
        <v/>
      </c>
      <c r="X436" s="44"/>
      <c r="Y436" s="45">
        <f t="shared" si="5"/>
        <v>0</v>
      </c>
      <c r="Z436" s="46" t="s">
        <v>1075</v>
      </c>
      <c r="AA436" s="46"/>
    </row>
    <row r="437">
      <c r="A437" s="107">
        <v>465.0</v>
      </c>
      <c r="B437" s="21"/>
      <c r="C437" s="19" t="s">
        <v>182</v>
      </c>
      <c r="D437" s="19" t="s">
        <v>1419</v>
      </c>
      <c r="E437" s="21"/>
      <c r="F437" s="19" t="s">
        <v>204</v>
      </c>
      <c r="G437" s="21"/>
      <c r="H437" s="31">
        <f t="shared" si="25"/>
        <v>534.7107438</v>
      </c>
      <c r="I437" s="21"/>
      <c r="J437" s="19">
        <v>647.0</v>
      </c>
      <c r="K437" s="111">
        <v>4.0</v>
      </c>
      <c r="L437" s="33">
        <f>IF('Global Precios'!J437*(1-I437)*(1+'Global Precios'!K437)&gt;10000,MROUND('Global Precios'!J437*(1-I437)*(1+'Global Precios'!K437),1000),MROUND('Global Precios'!J437*(1-I437)*(1+'Global Precios'!K437),500))</f>
        <v>3000</v>
      </c>
      <c r="M437" s="19">
        <v>1.0</v>
      </c>
      <c r="N437" s="50" t="s">
        <v>46</v>
      </c>
      <c r="O437" s="21"/>
      <c r="P437" s="35">
        <v>45809.0</v>
      </c>
      <c r="Q437" s="21">
        <f t="shared" si="7"/>
        <v>15</v>
      </c>
      <c r="R437" s="37">
        <v>60.0</v>
      </c>
      <c r="S437" s="39"/>
      <c r="T437" s="41" t="str">
        <f>IFERROR(VLOOKUP(D437,BUSCARV!$A$1:$C$5524,2,0),"")</f>
        <v/>
      </c>
      <c r="U437" s="42"/>
      <c r="V437" s="42" t="str">
        <f t="shared" si="3"/>
        <v/>
      </c>
      <c r="W437" s="44" t="str">
        <f t="shared" si="4"/>
        <v/>
      </c>
      <c r="X437" s="44"/>
      <c r="Y437" s="45">
        <f t="shared" si="5"/>
        <v>0</v>
      </c>
      <c r="Z437" s="46" t="s">
        <v>449</v>
      </c>
      <c r="AA437" s="46"/>
    </row>
    <row r="438">
      <c r="A438" s="121">
        <v>466.0</v>
      </c>
      <c r="B438" s="21"/>
      <c r="C438" s="19" t="s">
        <v>3</v>
      </c>
      <c r="D438" s="50" t="s">
        <v>1422</v>
      </c>
      <c r="E438" s="50" t="s">
        <v>4457</v>
      </c>
      <c r="F438" s="50" t="s">
        <v>1795</v>
      </c>
      <c r="G438" s="50" t="s">
        <v>2316</v>
      </c>
      <c r="H438" s="31">
        <f t="shared" si="25"/>
        <v>58859.50413</v>
      </c>
      <c r="I438" s="21"/>
      <c r="J438" s="19">
        <v>71220.0</v>
      </c>
      <c r="K438" s="95">
        <v>0.35</v>
      </c>
      <c r="L438" s="33">
        <f>IF('Global Precios'!J438*(1-I438)*(1+'Global Precios'!K438)&gt;10000,MROUND('Global Precios'!J438*(1-I438)*(1+'Global Precios'!K438),1000),MROUND('Global Precios'!J438*(1-I438)*(1+'Global Precios'!K438),500))</f>
        <v>96000</v>
      </c>
      <c r="M438" s="50">
        <v>10.0</v>
      </c>
      <c r="N438" s="50" t="s">
        <v>1823</v>
      </c>
      <c r="O438" s="21"/>
      <c r="P438" s="35">
        <v>45748.0</v>
      </c>
      <c r="Q438" s="21">
        <f t="shared" si="7"/>
        <v>22</v>
      </c>
      <c r="R438" s="50">
        <v>30.0</v>
      </c>
      <c r="S438" s="21"/>
      <c r="T438" s="41" t="str">
        <f>IFERROR(VLOOKUP(D438,BUSCARV!$A$1:$C$5524,2,0),"")</f>
        <v/>
      </c>
      <c r="U438" s="42"/>
      <c r="V438" s="42" t="str">
        <f t="shared" si="3"/>
        <v/>
      </c>
      <c r="W438" s="44" t="str">
        <f t="shared" si="4"/>
        <v/>
      </c>
      <c r="X438" s="44"/>
      <c r="Y438" s="45">
        <f t="shared" si="5"/>
        <v>0</v>
      </c>
      <c r="Z438" s="46" t="s">
        <v>449</v>
      </c>
      <c r="AA438" s="46"/>
    </row>
    <row r="439">
      <c r="A439" s="121">
        <v>467.0</v>
      </c>
      <c r="B439" s="21"/>
      <c r="C439" s="19" t="s">
        <v>3</v>
      </c>
      <c r="D439" s="110" t="s">
        <v>4458</v>
      </c>
      <c r="E439" s="50" t="s">
        <v>4459</v>
      </c>
      <c r="F439" s="50" t="s">
        <v>1982</v>
      </c>
      <c r="G439" s="50" t="s">
        <v>2321</v>
      </c>
      <c r="H439" s="48">
        <v>258.0</v>
      </c>
      <c r="I439" s="21"/>
      <c r="J439" s="50">
        <v>647.0</v>
      </c>
      <c r="K439" s="95">
        <v>0.8</v>
      </c>
      <c r="L439" s="33">
        <f>IF('Global Precios'!J439*(1-I439)*(1+'Global Precios'!K439)&gt;1000,MROUND('Global Precios'!J439*(1-I439)*(1+'Global Precios'!K439),100),MROUND('Global Precios'!J439*(1-I439)*(1+'Global Precios'!K439),10))</f>
        <v>1200</v>
      </c>
      <c r="M439" s="50">
        <v>2.0</v>
      </c>
      <c r="N439" s="50" t="s">
        <v>1823</v>
      </c>
      <c r="O439" s="21"/>
      <c r="P439" s="35">
        <v>45292.0</v>
      </c>
      <c r="Q439" s="21">
        <f t="shared" si="7"/>
        <v>44</v>
      </c>
      <c r="R439" s="50">
        <v>30.0</v>
      </c>
      <c r="S439" s="21"/>
      <c r="T439" s="41" t="str">
        <f>IFERROR(VLOOKUP(D439,BUSCARV!$A$1:$C$5524,2,0),"")</f>
        <v/>
      </c>
      <c r="U439" s="63"/>
      <c r="V439" s="42" t="str">
        <f t="shared" si="3"/>
        <v/>
      </c>
      <c r="W439" s="44" t="str">
        <f t="shared" si="4"/>
        <v/>
      </c>
      <c r="X439" s="44"/>
      <c r="Y439" s="45">
        <f t="shared" si="5"/>
        <v>0</v>
      </c>
      <c r="Z439" s="46" t="s">
        <v>1075</v>
      </c>
      <c r="AA439" s="46"/>
    </row>
    <row r="440">
      <c r="A440" s="121">
        <v>468.0</v>
      </c>
      <c r="B440" s="21"/>
      <c r="C440" s="19" t="s">
        <v>3</v>
      </c>
      <c r="D440" s="114" t="s">
        <v>1428</v>
      </c>
      <c r="E440" s="50" t="s">
        <v>4459</v>
      </c>
      <c r="F440" s="50" t="s">
        <v>1982</v>
      </c>
      <c r="G440" s="50" t="s">
        <v>2321</v>
      </c>
      <c r="H440" s="48">
        <v>444.0</v>
      </c>
      <c r="I440" s="21"/>
      <c r="J440" s="50">
        <v>1013.0</v>
      </c>
      <c r="K440" s="95">
        <v>0.8</v>
      </c>
      <c r="L440" s="33">
        <f>IF('Global Precios'!J440*(1-I440)*(1+'Global Precios'!K440)&gt;1000,MROUND('Global Precios'!J440*(1-I440)*(1+'Global Precios'!K440),100),MROUND('Global Precios'!J440*(1-I440)*(1+'Global Precios'!K440),10))</f>
        <v>1800</v>
      </c>
      <c r="M440" s="50">
        <v>3.0</v>
      </c>
      <c r="N440" s="50" t="s">
        <v>1823</v>
      </c>
      <c r="O440" s="21"/>
      <c r="P440" s="35">
        <v>45292.0</v>
      </c>
      <c r="Q440" s="21">
        <f t="shared" si="7"/>
        <v>45</v>
      </c>
      <c r="R440" s="50">
        <v>30.0</v>
      </c>
      <c r="S440" s="21"/>
      <c r="T440" s="41" t="str">
        <f>IFERROR(VLOOKUP(D440,BUSCARV!$A$1:$C$5524,2,0),"")</f>
        <v/>
      </c>
      <c r="U440" s="63"/>
      <c r="V440" s="42" t="str">
        <f t="shared" si="3"/>
        <v/>
      </c>
      <c r="W440" s="44" t="str">
        <f t="shared" si="4"/>
        <v/>
      </c>
      <c r="X440" s="44"/>
      <c r="Y440" s="45">
        <f t="shared" si="5"/>
        <v>0</v>
      </c>
      <c r="Z440" s="46" t="s">
        <v>1075</v>
      </c>
      <c r="AA440" s="46"/>
    </row>
    <row r="441">
      <c r="A441" s="121">
        <v>469.0</v>
      </c>
      <c r="B441" s="21"/>
      <c r="C441" s="19" t="s">
        <v>3</v>
      </c>
      <c r="D441" s="114" t="s">
        <v>1431</v>
      </c>
      <c r="E441" s="50" t="s">
        <v>4460</v>
      </c>
      <c r="F441" s="50" t="s">
        <v>1982</v>
      </c>
      <c r="G441" s="50" t="s">
        <v>2321</v>
      </c>
      <c r="H441" s="48">
        <v>131.0</v>
      </c>
      <c r="I441" s="21"/>
      <c r="J441" s="50">
        <v>282.0</v>
      </c>
      <c r="K441" s="95">
        <v>0.8</v>
      </c>
      <c r="L441" s="33">
        <f>IF('Global Precios'!J441*(1-I441)*(1+'Global Precios'!K441)&gt;1000,MROUND('Global Precios'!J441*(1-I441)*(1+'Global Precios'!K441),100),MROUND('Global Precios'!J441*(1-I441)*(1+'Global Precios'!K441),10))</f>
        <v>510</v>
      </c>
      <c r="M441" s="50">
        <v>2.0</v>
      </c>
      <c r="N441" s="50" t="s">
        <v>1823</v>
      </c>
      <c r="O441" s="21"/>
      <c r="P441" s="35">
        <v>45292.0</v>
      </c>
      <c r="Q441" s="21">
        <f t="shared" si="7"/>
        <v>37</v>
      </c>
      <c r="R441" s="50">
        <v>30.0</v>
      </c>
      <c r="S441" s="21"/>
      <c r="T441" s="41" t="str">
        <f>IFERROR(VLOOKUP(D441,BUSCARV!$A$1:$C$5524,2,0),"")</f>
        <v/>
      </c>
      <c r="U441" s="63"/>
      <c r="V441" s="42" t="str">
        <f t="shared" si="3"/>
        <v/>
      </c>
      <c r="W441" s="44" t="str">
        <f t="shared" si="4"/>
        <v/>
      </c>
      <c r="X441" s="44"/>
      <c r="Y441" s="45">
        <f t="shared" si="5"/>
        <v>0</v>
      </c>
      <c r="Z441" s="46" t="s">
        <v>1075</v>
      </c>
      <c r="AA441" s="46"/>
    </row>
    <row r="442">
      <c r="A442" s="121">
        <v>470.0</v>
      </c>
      <c r="B442" s="21"/>
      <c r="C442" s="19" t="s">
        <v>3</v>
      </c>
      <c r="D442" s="114" t="s">
        <v>1435</v>
      </c>
      <c r="E442" s="50" t="s">
        <v>4461</v>
      </c>
      <c r="F442" s="50" t="s">
        <v>1795</v>
      </c>
      <c r="G442" s="50" t="s">
        <v>2316</v>
      </c>
      <c r="H442" s="31">
        <f t="shared" ref="H442:H450" si="26">IF(J442="","",J442/1.21)</f>
        <v>2733.057851</v>
      </c>
      <c r="I442" s="21"/>
      <c r="J442" s="50">
        <v>3307.0</v>
      </c>
      <c r="K442" s="95">
        <v>0.3</v>
      </c>
      <c r="L442" s="33">
        <f>IF('Global Precios'!J442*(1-I442)*(1+'Global Precios'!K442)&gt;1000,MROUND('Global Precios'!J442*(1-I442)*(1+'Global Precios'!K442),100),MROUND('Global Precios'!J442*(1-I442)*(1+'Global Precios'!K442),10))</f>
        <v>4300</v>
      </c>
      <c r="M442" s="50">
        <v>2.0</v>
      </c>
      <c r="N442" s="50" t="s">
        <v>1823</v>
      </c>
      <c r="O442" s="21"/>
      <c r="P442" s="115">
        <v>45017.0</v>
      </c>
      <c r="Q442" s="21">
        <f t="shared" si="7"/>
        <v>40</v>
      </c>
      <c r="R442" s="50">
        <v>30.0</v>
      </c>
      <c r="S442" s="21"/>
      <c r="T442" s="41" t="str">
        <f>IFERROR(VLOOKUP(D442,BUSCARV!$A$1:$C$5524,2,0),"")</f>
        <v/>
      </c>
      <c r="U442" s="42"/>
      <c r="V442" s="42" t="str">
        <f t="shared" si="3"/>
        <v/>
      </c>
      <c r="W442" s="44" t="str">
        <f t="shared" si="4"/>
        <v/>
      </c>
      <c r="X442" s="44"/>
      <c r="Y442" s="45">
        <f t="shared" si="5"/>
        <v>0</v>
      </c>
      <c r="Z442" s="46" t="s">
        <v>1075</v>
      </c>
      <c r="AA442" s="46"/>
    </row>
    <row r="443">
      <c r="A443" s="121">
        <v>471.0</v>
      </c>
      <c r="B443" s="21"/>
      <c r="C443" s="19" t="s">
        <v>3</v>
      </c>
      <c r="D443" s="110" t="s">
        <v>1438</v>
      </c>
      <c r="E443" s="50" t="s">
        <v>4462</v>
      </c>
      <c r="F443" s="50" t="s">
        <v>1795</v>
      </c>
      <c r="G443" s="50" t="s">
        <v>2321</v>
      </c>
      <c r="H443" s="31">
        <f t="shared" si="26"/>
        <v>16301.65289</v>
      </c>
      <c r="I443" s="21"/>
      <c r="J443" s="19">
        <v>19725.0</v>
      </c>
      <c r="K443" s="95">
        <v>0.4</v>
      </c>
      <c r="L443" s="33">
        <f>IF('Global Precios'!J443*(1-I443)*(1+'Global Precios'!K443)&gt;10000,MROUND('Global Precios'!J443*(1-I443)*(1+'Global Precios'!K443),1000),MROUND('Global Precios'!J443*(1-I443)*(1+'Global Precios'!K443),500))</f>
        <v>28000</v>
      </c>
      <c r="M443" s="50">
        <v>2.0</v>
      </c>
      <c r="N443" s="50" t="s">
        <v>1823</v>
      </c>
      <c r="O443" s="21"/>
      <c r="P443" s="35">
        <v>45748.0</v>
      </c>
      <c r="Q443" s="21">
        <f t="shared" si="7"/>
        <v>20</v>
      </c>
      <c r="R443" s="50">
        <v>30.0</v>
      </c>
      <c r="S443" s="21"/>
      <c r="T443" s="41" t="str">
        <f>IFERROR(VLOOKUP(D443,BUSCARV!$A$1:$C$5524,2,0),"")</f>
        <v/>
      </c>
      <c r="U443" s="42"/>
      <c r="V443" s="42" t="str">
        <f t="shared" si="3"/>
        <v/>
      </c>
      <c r="W443" s="44" t="str">
        <f t="shared" si="4"/>
        <v/>
      </c>
      <c r="X443" s="44"/>
      <c r="Y443" s="45">
        <f t="shared" si="5"/>
        <v>0</v>
      </c>
      <c r="Z443" s="46" t="s">
        <v>449</v>
      </c>
      <c r="AA443" s="46"/>
    </row>
    <row r="444">
      <c r="A444" s="121">
        <v>472.0</v>
      </c>
      <c r="B444" s="21"/>
      <c r="C444" s="19" t="s">
        <v>3</v>
      </c>
      <c r="D444" s="114" t="s">
        <v>1441</v>
      </c>
      <c r="E444" s="50" t="s">
        <v>4462</v>
      </c>
      <c r="F444" s="50" t="s">
        <v>1795</v>
      </c>
      <c r="G444" s="50" t="s">
        <v>2321</v>
      </c>
      <c r="H444" s="31">
        <f t="shared" si="26"/>
        <v>15051.23967</v>
      </c>
      <c r="I444" s="21"/>
      <c r="J444" s="19">
        <v>18212.0</v>
      </c>
      <c r="K444" s="95">
        <v>0.4</v>
      </c>
      <c r="L444" s="33">
        <f>IF('Global Precios'!J444*(1-I444)*(1+'Global Precios'!K444)&gt;10000,MROUND('Global Precios'!J444*(1-I444)*(1+'Global Precios'!K444),1000),MROUND('Global Precios'!J444*(1-I444)*(1+'Global Precios'!K444),500))</f>
        <v>25000</v>
      </c>
      <c r="M444" s="50">
        <v>2.0</v>
      </c>
      <c r="N444" s="50" t="s">
        <v>1823</v>
      </c>
      <c r="O444" s="21"/>
      <c r="P444" s="35">
        <v>45748.0</v>
      </c>
      <c r="Q444" s="21">
        <f t="shared" si="7"/>
        <v>31</v>
      </c>
      <c r="R444" s="50">
        <v>30.0</v>
      </c>
      <c r="S444" s="21"/>
      <c r="T444" s="41" t="str">
        <f>IFERROR(VLOOKUP(D444,BUSCARV!$A$1:$C$5524,2,0),"")</f>
        <v/>
      </c>
      <c r="U444" s="42"/>
      <c r="V444" s="42" t="str">
        <f t="shared" si="3"/>
        <v/>
      </c>
      <c r="W444" s="44" t="str">
        <f t="shared" si="4"/>
        <v/>
      </c>
      <c r="X444" s="44"/>
      <c r="Y444" s="45">
        <f t="shared" si="5"/>
        <v>0</v>
      </c>
      <c r="Z444" s="46" t="s">
        <v>449</v>
      </c>
      <c r="AA444" s="46"/>
    </row>
    <row r="445">
      <c r="A445" s="121">
        <v>473.0</v>
      </c>
      <c r="B445" s="21"/>
      <c r="C445" s="19" t="s">
        <v>3</v>
      </c>
      <c r="D445" s="110" t="s">
        <v>4463</v>
      </c>
      <c r="E445" s="50" t="s">
        <v>4442</v>
      </c>
      <c r="F445" s="50" t="s">
        <v>1795</v>
      </c>
      <c r="G445" s="50" t="s">
        <v>2316</v>
      </c>
      <c r="H445" s="31">
        <f t="shared" si="26"/>
        <v>22297.52066</v>
      </c>
      <c r="I445" s="21"/>
      <c r="J445" s="50">
        <v>26980.0</v>
      </c>
      <c r="K445" s="95">
        <v>0.3</v>
      </c>
      <c r="L445" s="33">
        <f>IF('Global Precios'!J445*(1-I445)*(1+'Global Precios'!K445)&gt;1000,MROUND('Global Precios'!J445*(1-I445)*(1+'Global Precios'!K445),100),MROUND('Global Precios'!J445*(1-I445)*(1+'Global Precios'!K445),10))</f>
        <v>35100</v>
      </c>
      <c r="M445" s="50">
        <v>15.0</v>
      </c>
      <c r="N445" s="50" t="s">
        <v>1823</v>
      </c>
      <c r="O445" s="21"/>
      <c r="P445" s="115">
        <v>45261.0</v>
      </c>
      <c r="Q445" s="21">
        <f t="shared" si="7"/>
        <v>40</v>
      </c>
      <c r="R445" s="50">
        <v>30.0</v>
      </c>
      <c r="S445" s="21"/>
      <c r="T445" s="41" t="str">
        <f>IFERROR(VLOOKUP(D445,BUSCARV!$A$1:$C$5524,2,0),"")</f>
        <v/>
      </c>
      <c r="U445" s="42"/>
      <c r="V445" s="42" t="str">
        <f t="shared" si="3"/>
        <v/>
      </c>
      <c r="W445" s="44" t="str">
        <f t="shared" si="4"/>
        <v/>
      </c>
      <c r="X445" s="44"/>
      <c r="Y445" s="45">
        <f t="shared" si="5"/>
        <v>0</v>
      </c>
      <c r="Z445" s="46" t="s">
        <v>1075</v>
      </c>
      <c r="AA445" s="46"/>
    </row>
    <row r="446">
      <c r="A446" s="121">
        <v>474.0</v>
      </c>
      <c r="B446" s="21"/>
      <c r="C446" s="19" t="s">
        <v>3</v>
      </c>
      <c r="D446" s="75" t="s">
        <v>407</v>
      </c>
      <c r="E446" s="50" t="s">
        <v>4464</v>
      </c>
      <c r="F446" s="50" t="s">
        <v>2308</v>
      </c>
      <c r="G446" s="50" t="s">
        <v>2333</v>
      </c>
      <c r="H446" s="31">
        <f t="shared" si="26"/>
        <v>7748.760331</v>
      </c>
      <c r="I446" s="21"/>
      <c r="J446" s="19">
        <v>9376.0</v>
      </c>
      <c r="K446" s="60">
        <v>0.8</v>
      </c>
      <c r="L446" s="33">
        <f>IF('Global Precios'!J446*(1-I446)*(1+'Global Precios'!K446)&gt;10000,MROUND('Global Precios'!J446*(1-I446)*(1+'Global Precios'!K446),1000),MROUND('Global Precios'!J446*(1-I446)*(1+'Global Precios'!K446),500))</f>
        <v>17000</v>
      </c>
      <c r="M446" s="50">
        <v>60.0</v>
      </c>
      <c r="N446" s="50" t="s">
        <v>2496</v>
      </c>
      <c r="O446" s="21"/>
      <c r="P446" s="35">
        <v>45839.0</v>
      </c>
      <c r="Q446" s="21">
        <f t="shared" si="7"/>
        <v>25</v>
      </c>
      <c r="R446" s="50">
        <v>30.0</v>
      </c>
      <c r="S446" s="21"/>
      <c r="T446" s="41">
        <f>IFERROR(VLOOKUP(D446,BUSCARV!$A$1:$C$5524,2,0),"")</f>
        <v>9376</v>
      </c>
      <c r="U446" s="42"/>
      <c r="V446" s="42">
        <f t="shared" si="3"/>
        <v>9376</v>
      </c>
      <c r="W446" s="44">
        <f t="shared" si="4"/>
        <v>0</v>
      </c>
      <c r="X446" s="44"/>
      <c r="Y446" s="45">
        <f t="shared" si="5"/>
        <v>0</v>
      </c>
      <c r="Z446" s="46" t="s">
        <v>449</v>
      </c>
      <c r="AA446" s="46"/>
    </row>
    <row r="447">
      <c r="A447" s="121">
        <v>475.0</v>
      </c>
      <c r="B447" s="21"/>
      <c r="C447" s="19" t="s">
        <v>3</v>
      </c>
      <c r="D447" s="114" t="s">
        <v>1449</v>
      </c>
      <c r="E447" s="21"/>
      <c r="F447" s="50" t="s">
        <v>2308</v>
      </c>
      <c r="G447" s="50" t="s">
        <v>2351</v>
      </c>
      <c r="H447" s="31">
        <f t="shared" si="26"/>
        <v>322.3140496</v>
      </c>
      <c r="I447" s="21"/>
      <c r="J447" s="50">
        <v>390.0</v>
      </c>
      <c r="K447" s="95">
        <v>0.8</v>
      </c>
      <c r="L447" s="33">
        <f>IF('Global Precios'!J447*(1-I447)*(1+'Global Precios'!K447)&gt;1000,MROUND('Global Precios'!J447*(1-I447)*(1+'Global Precios'!K447),100),MROUND('Global Precios'!J447*(1-I447)*(1+'Global Precios'!K447),10))</f>
        <v>700</v>
      </c>
      <c r="M447" s="50">
        <v>10.0</v>
      </c>
      <c r="N447" s="50" t="s">
        <v>4383</v>
      </c>
      <c r="O447" s="21"/>
      <c r="P447" s="115">
        <v>45200.0</v>
      </c>
      <c r="Q447" s="21">
        <f t="shared" si="7"/>
        <v>34</v>
      </c>
      <c r="R447" s="50">
        <v>30.0</v>
      </c>
      <c r="S447" s="21"/>
      <c r="T447" s="41" t="str">
        <f>IFERROR(VLOOKUP(D447,BUSCARV!$A$1:$C$5524,2,0),"")</f>
        <v/>
      </c>
      <c r="U447" s="42"/>
      <c r="V447" s="42" t="str">
        <f t="shared" si="3"/>
        <v/>
      </c>
      <c r="W447" s="44" t="str">
        <f t="shared" si="4"/>
        <v/>
      </c>
      <c r="X447" s="44"/>
      <c r="Y447" s="45">
        <f t="shared" si="5"/>
        <v>0</v>
      </c>
      <c r="Z447" s="46" t="s">
        <v>1075</v>
      </c>
      <c r="AA447" s="46"/>
    </row>
    <row r="448">
      <c r="A448" s="121">
        <v>476.0</v>
      </c>
      <c r="B448" s="21"/>
      <c r="C448" s="19" t="s">
        <v>3</v>
      </c>
      <c r="D448" s="114" t="s">
        <v>1452</v>
      </c>
      <c r="E448" s="50" t="s">
        <v>4454</v>
      </c>
      <c r="F448" s="50" t="s">
        <v>2308</v>
      </c>
      <c r="G448" s="50" t="s">
        <v>2325</v>
      </c>
      <c r="H448" s="31">
        <f t="shared" si="26"/>
        <v>2713.22314</v>
      </c>
      <c r="I448" s="21"/>
      <c r="J448" s="50">
        <v>3283.0</v>
      </c>
      <c r="K448" s="95">
        <v>0.8</v>
      </c>
      <c r="L448" s="33">
        <f>IF('Global Precios'!J448*(1-I448)*(1+'Global Precios'!K448)&gt;1000,MROUND('Global Precios'!J448*(1-I448)*(1+'Global Precios'!K448),100),MROUND('Global Precios'!J448*(1-I448)*(1+'Global Precios'!K448),10))</f>
        <v>5900</v>
      </c>
      <c r="M448" s="50">
        <v>10.0</v>
      </c>
      <c r="N448" s="50" t="s">
        <v>4383</v>
      </c>
      <c r="O448" s="21"/>
      <c r="P448" s="35">
        <v>45352.0</v>
      </c>
      <c r="Q448" s="21">
        <f t="shared" si="7"/>
        <v>27</v>
      </c>
      <c r="R448" s="50">
        <v>30.0</v>
      </c>
      <c r="S448" s="21"/>
      <c r="T448" s="41" t="str">
        <f>IFERROR(VLOOKUP(D448,BUSCARV!$A$1:$C$5524,2,0),"")</f>
        <v/>
      </c>
      <c r="U448" s="42"/>
      <c r="V448" s="42" t="str">
        <f t="shared" si="3"/>
        <v/>
      </c>
      <c r="W448" s="44" t="str">
        <f t="shared" si="4"/>
        <v/>
      </c>
      <c r="X448" s="44"/>
      <c r="Y448" s="45">
        <f t="shared" si="5"/>
        <v>0</v>
      </c>
      <c r="Z448" s="46" t="s">
        <v>1075</v>
      </c>
      <c r="AA448" s="46"/>
    </row>
    <row r="449">
      <c r="A449" s="121">
        <v>477.0</v>
      </c>
      <c r="B449" s="21"/>
      <c r="C449" s="19" t="s">
        <v>3</v>
      </c>
      <c r="D449" s="114" t="s">
        <v>1455</v>
      </c>
      <c r="E449" s="50" t="s">
        <v>4465</v>
      </c>
      <c r="F449" s="50" t="s">
        <v>2308</v>
      </c>
      <c r="G449" s="50" t="s">
        <v>2321</v>
      </c>
      <c r="H449" s="31">
        <f t="shared" si="26"/>
        <v>573.553719</v>
      </c>
      <c r="I449" s="21"/>
      <c r="J449" s="50">
        <v>694.0</v>
      </c>
      <c r="K449" s="60">
        <v>0.8</v>
      </c>
      <c r="L449" s="33">
        <f>IF('Global Precios'!J449*(1-I449)*(1+'Global Precios'!K449)&gt;1000,MROUND('Global Precios'!J449*(1-I449)*(1+'Global Precios'!K449),100),MROUND('Global Precios'!J449*(1-I449)*(1+'Global Precios'!K449),10))</f>
        <v>1200</v>
      </c>
      <c r="M449" s="50">
        <v>1.0</v>
      </c>
      <c r="N449" s="50" t="s">
        <v>46</v>
      </c>
      <c r="O449" s="21"/>
      <c r="P449" s="115">
        <v>45139.0</v>
      </c>
      <c r="Q449" s="21">
        <f t="shared" si="7"/>
        <v>25</v>
      </c>
      <c r="R449" s="50">
        <v>30.0</v>
      </c>
      <c r="S449" s="21"/>
      <c r="T449" s="41" t="str">
        <f>IFERROR(VLOOKUP(D449,BUSCARV!$A$1:$C$5524,2,0),"")</f>
        <v/>
      </c>
      <c r="U449" s="42"/>
      <c r="V449" s="42" t="str">
        <f t="shared" si="3"/>
        <v/>
      </c>
      <c r="W449" s="44" t="str">
        <f t="shared" si="4"/>
        <v/>
      </c>
      <c r="X449" s="44"/>
      <c r="Y449" s="45">
        <f t="shared" si="5"/>
        <v>0</v>
      </c>
      <c r="Z449" s="46" t="s">
        <v>1075</v>
      </c>
      <c r="AA449" s="46"/>
    </row>
    <row r="450">
      <c r="A450" s="121">
        <v>478.0</v>
      </c>
      <c r="B450" s="21"/>
      <c r="C450" s="19" t="s">
        <v>3</v>
      </c>
      <c r="D450" s="114" t="s">
        <v>1458</v>
      </c>
      <c r="E450" s="50" t="s">
        <v>4465</v>
      </c>
      <c r="F450" s="50" t="s">
        <v>2308</v>
      </c>
      <c r="G450" s="50" t="s">
        <v>2321</v>
      </c>
      <c r="H450" s="31">
        <f t="shared" si="26"/>
        <v>607.4380165</v>
      </c>
      <c r="I450" s="21"/>
      <c r="J450" s="50">
        <v>735.0</v>
      </c>
      <c r="K450" s="60">
        <v>0.8</v>
      </c>
      <c r="L450" s="33">
        <f>IF('Global Precios'!J450*(1-I450)*(1+'Global Precios'!K450)&gt;1000,MROUND('Global Precios'!J450*(1-I450)*(1+'Global Precios'!K450),100),MROUND('Global Precios'!J450*(1-I450)*(1+'Global Precios'!K450),10))</f>
        <v>1300</v>
      </c>
      <c r="M450" s="50">
        <v>1.0</v>
      </c>
      <c r="N450" s="50" t="s">
        <v>46</v>
      </c>
      <c r="O450" s="21"/>
      <c r="P450" s="115">
        <v>45139.0</v>
      </c>
      <c r="Q450" s="21">
        <f t="shared" si="7"/>
        <v>25</v>
      </c>
      <c r="R450" s="50">
        <v>30.0</v>
      </c>
      <c r="S450" s="21"/>
      <c r="T450" s="41" t="str">
        <f>IFERROR(VLOOKUP(D450,BUSCARV!$A$1:$C$5524,2,0),"")</f>
        <v/>
      </c>
      <c r="U450" s="42"/>
      <c r="V450" s="42" t="str">
        <f t="shared" si="3"/>
        <v/>
      </c>
      <c r="W450" s="44" t="str">
        <f t="shared" si="4"/>
        <v/>
      </c>
      <c r="X450" s="44"/>
      <c r="Y450" s="45">
        <f t="shared" si="5"/>
        <v>0</v>
      </c>
      <c r="Z450" s="46" t="s">
        <v>1075</v>
      </c>
      <c r="AA450" s="46"/>
    </row>
    <row r="451">
      <c r="A451" s="107">
        <v>479.0</v>
      </c>
      <c r="B451" s="21"/>
      <c r="C451" s="19" t="s">
        <v>182</v>
      </c>
      <c r="D451" s="19" t="s">
        <v>1462</v>
      </c>
      <c r="E451" s="21"/>
      <c r="F451" s="19" t="s">
        <v>204</v>
      </c>
      <c r="G451" s="21"/>
      <c r="H451" s="48"/>
      <c r="I451" s="21"/>
      <c r="J451" s="19">
        <v>3784.0</v>
      </c>
      <c r="K451" s="19">
        <v>0.0</v>
      </c>
      <c r="L451" s="33">
        <f>IF('Global Precios'!J451*(1-I451)*(1+'Global Precios'!K451)&gt;1000,MROUND('Global Precios'!J451*(1-I451)*(1+'Global Precios'!K451),100),MROUND('Global Precios'!J451*(1-I451)*(1+'Global Precios'!K451),10))</f>
        <v>3800</v>
      </c>
      <c r="M451" s="50">
        <v>1.0</v>
      </c>
      <c r="N451" s="50" t="s">
        <v>46</v>
      </c>
      <c r="O451" s="21"/>
      <c r="P451" s="35">
        <v>45809.0</v>
      </c>
      <c r="Q451" s="21">
        <f t="shared" si="7"/>
        <v>24</v>
      </c>
      <c r="R451" s="37">
        <v>60.0</v>
      </c>
      <c r="S451" s="21"/>
      <c r="T451" s="41" t="str">
        <f>IFERROR(VLOOKUP(D451,BUSCARV!$A$1:$C$5524,2,0),"")</f>
        <v/>
      </c>
      <c r="U451" s="42"/>
      <c r="V451" s="42" t="str">
        <f t="shared" si="3"/>
        <v/>
      </c>
      <c r="W451" s="44" t="str">
        <f t="shared" si="4"/>
        <v/>
      </c>
      <c r="X451" s="44"/>
      <c r="Y451" s="45">
        <f t="shared" si="5"/>
        <v>0</v>
      </c>
      <c r="Z451" s="46" t="s">
        <v>1075</v>
      </c>
      <c r="AA451" s="46"/>
    </row>
    <row r="452">
      <c r="A452" s="121">
        <v>480.0</v>
      </c>
      <c r="B452" s="21"/>
      <c r="C452" s="19" t="s">
        <v>3</v>
      </c>
      <c r="D452" s="21" t="s">
        <v>1465</v>
      </c>
      <c r="E452" s="50" t="s">
        <v>4450</v>
      </c>
      <c r="F452" s="50" t="s">
        <v>1795</v>
      </c>
      <c r="G452" s="50" t="s">
        <v>2316</v>
      </c>
      <c r="H452" s="31">
        <f t="shared" ref="H452:H517" si="27">IF(J452="","",J452/1.21)</f>
        <v>16719.00826</v>
      </c>
      <c r="I452" s="21"/>
      <c r="J452" s="50">
        <v>20230.0</v>
      </c>
      <c r="K452" s="95">
        <v>0.45</v>
      </c>
      <c r="L452" s="33">
        <f>IF('Global Precios'!J452*(1-I452)*(1+'Global Precios'!K452)&gt;1000,MROUND('Global Precios'!J452*(1-I452)*(1+'Global Precios'!K452),100),MROUND('Global Precios'!J452*(1-I452)*(1+'Global Precios'!K452),10))</f>
        <v>29300</v>
      </c>
      <c r="M452" s="50">
        <v>10.0</v>
      </c>
      <c r="N452" s="50" t="s">
        <v>1823</v>
      </c>
      <c r="O452" s="21"/>
      <c r="P452" s="115">
        <v>45231.0</v>
      </c>
      <c r="Q452" s="21">
        <f t="shared" si="7"/>
        <v>27</v>
      </c>
      <c r="R452" s="19">
        <v>30.0</v>
      </c>
      <c r="S452" s="21"/>
      <c r="T452" s="41" t="str">
        <f>IFERROR(VLOOKUP(D452,BUSCARV!$A$1:$C$5524,2,0),"")</f>
        <v/>
      </c>
      <c r="U452" s="42"/>
      <c r="V452" s="42" t="str">
        <f t="shared" si="3"/>
        <v/>
      </c>
      <c r="W452" s="44" t="str">
        <f t="shared" si="4"/>
        <v/>
      </c>
      <c r="X452" s="44"/>
      <c r="Y452" s="45">
        <f t="shared" si="5"/>
        <v>0</v>
      </c>
      <c r="Z452" s="46" t="s">
        <v>1075</v>
      </c>
      <c r="AA452" s="46"/>
    </row>
    <row r="453">
      <c r="A453" s="121">
        <v>481.0</v>
      </c>
      <c r="B453" s="21"/>
      <c r="C453" s="19" t="s">
        <v>3</v>
      </c>
      <c r="D453" s="21" t="s">
        <v>1468</v>
      </c>
      <c r="E453" s="50" t="s">
        <v>4454</v>
      </c>
      <c r="F453" s="50" t="s">
        <v>2308</v>
      </c>
      <c r="G453" s="50" t="s">
        <v>2344</v>
      </c>
      <c r="H453" s="31">
        <f t="shared" si="27"/>
        <v>2479.338843</v>
      </c>
      <c r="I453" s="21"/>
      <c r="J453" s="50">
        <v>3000.0</v>
      </c>
      <c r="K453" s="95">
        <v>0.8</v>
      </c>
      <c r="L453" s="33">
        <f>IF('Global Precios'!J453*(1-I453)*(1+'Global Precios'!K453)&gt;10000,MROUND('Global Precios'!J453*(1-I453)*(1+'Global Precios'!K453),1000),MROUND('Global Precios'!J453*(1-I453)*(1+'Global Precios'!K453),500))</f>
        <v>5500</v>
      </c>
      <c r="M453" s="50">
        <v>1.0</v>
      </c>
      <c r="N453" s="50" t="s">
        <v>46</v>
      </c>
      <c r="O453" s="21"/>
      <c r="P453" s="35">
        <v>45748.0</v>
      </c>
      <c r="Q453" s="21">
        <f t="shared" si="7"/>
        <v>28</v>
      </c>
      <c r="R453" s="50">
        <v>30.0</v>
      </c>
      <c r="S453" s="21"/>
      <c r="T453" s="41" t="str">
        <f>IFERROR(VLOOKUP(D453,BUSCARV!$A$1:$C$5524,2,0),"")</f>
        <v/>
      </c>
      <c r="U453" s="42"/>
      <c r="V453" s="42" t="str">
        <f t="shared" si="3"/>
        <v/>
      </c>
      <c r="W453" s="44" t="str">
        <f t="shared" si="4"/>
        <v/>
      </c>
      <c r="X453" s="44"/>
      <c r="Y453" s="45">
        <f t="shared" si="5"/>
        <v>0</v>
      </c>
      <c r="Z453" s="46" t="s">
        <v>1075</v>
      </c>
      <c r="AA453" s="46"/>
    </row>
    <row r="454">
      <c r="A454" s="121">
        <v>482.0</v>
      </c>
      <c r="B454" s="21"/>
      <c r="C454" s="19" t="s">
        <v>3</v>
      </c>
      <c r="D454" s="21" t="s">
        <v>1472</v>
      </c>
      <c r="E454" s="50" t="s">
        <v>4454</v>
      </c>
      <c r="F454" s="50" t="s">
        <v>2308</v>
      </c>
      <c r="G454" s="50" t="s">
        <v>2344</v>
      </c>
      <c r="H454" s="31">
        <f t="shared" si="27"/>
        <v>2045.454545</v>
      </c>
      <c r="I454" s="21"/>
      <c r="J454" s="50">
        <v>2475.0</v>
      </c>
      <c r="K454" s="95">
        <v>0.8</v>
      </c>
      <c r="L454" s="33">
        <f>IF('Global Precios'!J454*(1-I454)*(1+'Global Precios'!K454)&gt;10000,MROUND('Global Precios'!J454*(1-I454)*(1+'Global Precios'!K454),1000),MROUND('Global Precios'!J454*(1-I454)*(1+'Global Precios'!K454),500))</f>
        <v>4500</v>
      </c>
      <c r="M454" s="50">
        <v>1.0</v>
      </c>
      <c r="N454" s="50" t="s">
        <v>46</v>
      </c>
      <c r="O454" s="21"/>
      <c r="P454" s="35">
        <v>45748.0</v>
      </c>
      <c r="Q454" s="21">
        <f t="shared" si="7"/>
        <v>27</v>
      </c>
      <c r="R454" s="50">
        <v>30.0</v>
      </c>
      <c r="S454" s="21"/>
      <c r="T454" s="41" t="str">
        <f>IFERROR(VLOOKUP(D454,BUSCARV!$A$1:$C$5524,2,0),"")</f>
        <v/>
      </c>
      <c r="U454" s="42"/>
      <c r="V454" s="42" t="str">
        <f t="shared" si="3"/>
        <v/>
      </c>
      <c r="W454" s="44" t="str">
        <f t="shared" si="4"/>
        <v/>
      </c>
      <c r="X454" s="44"/>
      <c r="Y454" s="45">
        <f t="shared" si="5"/>
        <v>0</v>
      </c>
      <c r="Z454" s="46" t="s">
        <v>1075</v>
      </c>
      <c r="AA454" s="46"/>
    </row>
    <row r="455">
      <c r="A455" s="121">
        <v>483.0</v>
      </c>
      <c r="B455" s="21"/>
      <c r="C455" s="19" t="s">
        <v>3</v>
      </c>
      <c r="D455" s="21" t="s">
        <v>1475</v>
      </c>
      <c r="E455" s="50" t="s">
        <v>4454</v>
      </c>
      <c r="F455" s="50" t="s">
        <v>2308</v>
      </c>
      <c r="G455" s="50" t="s">
        <v>2344</v>
      </c>
      <c r="H455" s="31">
        <f t="shared" si="27"/>
        <v>2644.628099</v>
      </c>
      <c r="I455" s="21"/>
      <c r="J455" s="50">
        <v>3200.0</v>
      </c>
      <c r="K455" s="95">
        <v>0.8</v>
      </c>
      <c r="L455" s="33">
        <f>IF('Global Precios'!J455*(1-I455)*(1+'Global Precios'!K455)&gt;10000,MROUND('Global Precios'!J455*(1-I455)*(1+'Global Precios'!K455),1000),MROUND('Global Precios'!J455*(1-I455)*(1+'Global Precios'!K455),500))</f>
        <v>6000</v>
      </c>
      <c r="M455" s="50">
        <v>1.0</v>
      </c>
      <c r="N455" s="50" t="s">
        <v>46</v>
      </c>
      <c r="O455" s="21"/>
      <c r="P455" s="35">
        <v>45748.0</v>
      </c>
      <c r="Q455" s="21">
        <f t="shared" si="7"/>
        <v>29</v>
      </c>
      <c r="R455" s="50">
        <v>30.0</v>
      </c>
      <c r="S455" s="21"/>
      <c r="T455" s="41" t="str">
        <f>IFERROR(VLOOKUP(D455,BUSCARV!$A$1:$C$5524,2,0),"")</f>
        <v/>
      </c>
      <c r="U455" s="42"/>
      <c r="V455" s="42" t="str">
        <f t="shared" si="3"/>
        <v/>
      </c>
      <c r="W455" s="44" t="str">
        <f t="shared" si="4"/>
        <v/>
      </c>
      <c r="X455" s="44"/>
      <c r="Y455" s="45">
        <f t="shared" si="5"/>
        <v>0</v>
      </c>
      <c r="Z455" s="46" t="s">
        <v>1075</v>
      </c>
      <c r="AA455" s="46"/>
    </row>
    <row r="456">
      <c r="A456" s="121">
        <v>484.0</v>
      </c>
      <c r="B456" s="21"/>
      <c r="C456" s="19" t="s">
        <v>3</v>
      </c>
      <c r="D456" s="21" t="s">
        <v>1478</v>
      </c>
      <c r="E456" s="50" t="s">
        <v>4465</v>
      </c>
      <c r="F456" s="50" t="s">
        <v>2308</v>
      </c>
      <c r="G456" s="50" t="s">
        <v>2336</v>
      </c>
      <c r="H456" s="31">
        <f t="shared" si="27"/>
        <v>2707.438017</v>
      </c>
      <c r="I456" s="21"/>
      <c r="J456" s="50">
        <v>3276.0</v>
      </c>
      <c r="K456" s="60">
        <v>0.8</v>
      </c>
      <c r="L456" s="33">
        <f>IF('Global Precios'!J456*(1-I456)*(1+'Global Precios'!K456)&gt;1000,MROUND('Global Precios'!J456*(1-I456)*(1+'Global Precios'!K456),100),MROUND('Global Precios'!J456*(1-I456)*(1+'Global Precios'!K456),10))</f>
        <v>5900</v>
      </c>
      <c r="M456" s="50">
        <v>10.0</v>
      </c>
      <c r="N456" s="50" t="s">
        <v>4383</v>
      </c>
      <c r="O456" s="21"/>
      <c r="P456" s="35">
        <v>45505.0</v>
      </c>
      <c r="Q456" s="21">
        <f t="shared" si="7"/>
        <v>31</v>
      </c>
      <c r="R456" s="50">
        <v>30.0</v>
      </c>
      <c r="S456" s="21"/>
      <c r="T456" s="41" t="str">
        <f>IFERROR(VLOOKUP(D456,BUSCARV!$A$1:$C$5524,2,0),"")</f>
        <v/>
      </c>
      <c r="U456" s="42"/>
      <c r="V456" s="42" t="str">
        <f t="shared" si="3"/>
        <v/>
      </c>
      <c r="W456" s="44" t="str">
        <f t="shared" si="4"/>
        <v/>
      </c>
      <c r="X456" s="44"/>
      <c r="Y456" s="45">
        <f t="shared" si="5"/>
        <v>0</v>
      </c>
      <c r="Z456" s="46" t="s">
        <v>1075</v>
      </c>
      <c r="AA456" s="46"/>
    </row>
    <row r="457">
      <c r="A457" s="121">
        <v>485.0</v>
      </c>
      <c r="B457" s="21"/>
      <c r="C457" s="19" t="s">
        <v>3</v>
      </c>
      <c r="D457" s="21" t="s">
        <v>1481</v>
      </c>
      <c r="E457" s="21"/>
      <c r="F457" s="50" t="s">
        <v>1982</v>
      </c>
      <c r="G457" s="50" t="s">
        <v>2316</v>
      </c>
      <c r="H457" s="31">
        <f t="shared" si="27"/>
        <v>1809.917355</v>
      </c>
      <c r="I457" s="21"/>
      <c r="J457" s="50">
        <v>2190.0</v>
      </c>
      <c r="K457" s="95">
        <v>1.0</v>
      </c>
      <c r="L457" s="33">
        <f>IF('Global Precios'!J457*(1-I457)*(1+'Global Precios'!K457)&gt;1000,MROUND('Global Precios'!J457*(1-I457)*(1+'Global Precios'!K457),100),MROUND('Global Precios'!J457*(1-I457)*(1+'Global Precios'!K457),10))</f>
        <v>4400</v>
      </c>
      <c r="M457" s="50">
        <v>1.0</v>
      </c>
      <c r="N457" s="50" t="s">
        <v>46</v>
      </c>
      <c r="O457" s="21"/>
      <c r="P457" s="35">
        <v>45839.0</v>
      </c>
      <c r="Q457" s="21">
        <f t="shared" si="7"/>
        <v>9</v>
      </c>
      <c r="R457" s="50">
        <v>30.0</v>
      </c>
      <c r="S457" s="21"/>
      <c r="T457" s="41" t="str">
        <f>IFERROR(VLOOKUP(D457,BUSCARV!$A$1:$C$5524,2,0),"")</f>
        <v/>
      </c>
      <c r="U457" s="42"/>
      <c r="V457" s="42" t="str">
        <f t="shared" si="3"/>
        <v/>
      </c>
      <c r="W457" s="44" t="str">
        <f t="shared" si="4"/>
        <v/>
      </c>
      <c r="X457" s="44"/>
      <c r="Y457" s="45">
        <f t="shared" si="5"/>
        <v>0</v>
      </c>
      <c r="Z457" s="46" t="s">
        <v>449</v>
      </c>
      <c r="AA457" s="46" t="s">
        <v>4466</v>
      </c>
    </row>
    <row r="458">
      <c r="A458" s="121">
        <v>486.0</v>
      </c>
      <c r="B458" s="21"/>
      <c r="C458" s="19" t="s">
        <v>3</v>
      </c>
      <c r="D458" s="21" t="s">
        <v>1485</v>
      </c>
      <c r="E458" s="50" t="s">
        <v>4467</v>
      </c>
      <c r="F458" s="50" t="s">
        <v>1795</v>
      </c>
      <c r="G458" s="50" t="s">
        <v>2316</v>
      </c>
      <c r="H458" s="31">
        <f t="shared" si="27"/>
        <v>8892.561983</v>
      </c>
      <c r="I458" s="21"/>
      <c r="J458" s="50">
        <v>10760.0</v>
      </c>
      <c r="K458" s="95">
        <v>0.3</v>
      </c>
      <c r="L458" s="33">
        <f>IF('Global Precios'!J458*(1-I458)*(1+'Global Precios'!K458)&gt;10000,MROUND('Global Precios'!J458*(1-I458)*(1+'Global Precios'!K458),1000),MROUND('Global Precios'!J458*(1-I458)*(1+'Global Precios'!K458),500))</f>
        <v>14000</v>
      </c>
      <c r="M458" s="50">
        <v>3.0</v>
      </c>
      <c r="N458" s="50" t="s">
        <v>1823</v>
      </c>
      <c r="O458" s="21"/>
      <c r="P458" s="115">
        <v>45839.0</v>
      </c>
      <c r="Q458" s="21">
        <f t="shared" si="7"/>
        <v>30</v>
      </c>
      <c r="R458" s="50">
        <v>30.0</v>
      </c>
      <c r="S458" s="21"/>
      <c r="T458" s="41" t="str">
        <f>IFERROR(VLOOKUP(D458,BUSCARV!$A$1:$C$5524,2,0),"")</f>
        <v/>
      </c>
      <c r="U458" s="42"/>
      <c r="V458" s="42" t="str">
        <f t="shared" si="3"/>
        <v/>
      </c>
      <c r="W458" s="44" t="str">
        <f t="shared" si="4"/>
        <v/>
      </c>
      <c r="X458" s="44"/>
      <c r="Y458" s="45">
        <f t="shared" si="5"/>
        <v>0</v>
      </c>
      <c r="Z458" s="46" t="s">
        <v>449</v>
      </c>
      <c r="AA458" s="46"/>
    </row>
    <row r="459">
      <c r="A459" s="121">
        <v>487.0</v>
      </c>
      <c r="B459" s="21"/>
      <c r="C459" s="19" t="s">
        <v>3</v>
      </c>
      <c r="D459" s="114" t="s">
        <v>1488</v>
      </c>
      <c r="E459" s="50" t="s">
        <v>4468</v>
      </c>
      <c r="F459" s="50" t="s">
        <v>2308</v>
      </c>
      <c r="G459" s="50" t="s">
        <v>2344</v>
      </c>
      <c r="H459" s="31">
        <f t="shared" si="27"/>
        <v>1499.173554</v>
      </c>
      <c r="I459" s="21"/>
      <c r="J459" s="50">
        <v>1814.0</v>
      </c>
      <c r="K459" s="95">
        <v>0.8</v>
      </c>
      <c r="L459" s="33">
        <f>IF('Global Precios'!J459*(1-I459)*(1+'Global Precios'!K459)&gt;1000,MROUND('Global Precios'!J459*(1-I459)*(1+'Global Precios'!K459),100),MROUND('Global Precios'!J459*(1-I459)*(1+'Global Precios'!K459),10))</f>
        <v>3300</v>
      </c>
      <c r="M459" s="50">
        <v>1.0</v>
      </c>
      <c r="N459" s="50" t="s">
        <v>46</v>
      </c>
      <c r="O459" s="21"/>
      <c r="P459" s="115">
        <v>45323.0</v>
      </c>
      <c r="Q459" s="21">
        <f t="shared" si="7"/>
        <v>26</v>
      </c>
      <c r="R459" s="50">
        <v>30.0</v>
      </c>
      <c r="S459" s="21"/>
      <c r="T459" s="41" t="str">
        <f>IFERROR(VLOOKUP(D459,BUSCARV!$A$1:$C$5524,2,0),"")</f>
        <v/>
      </c>
      <c r="U459" s="42"/>
      <c r="V459" s="42" t="str">
        <f t="shared" si="3"/>
        <v/>
      </c>
      <c r="W459" s="44" t="str">
        <f t="shared" si="4"/>
        <v/>
      </c>
      <c r="X459" s="44"/>
      <c r="Y459" s="45">
        <f t="shared" si="5"/>
        <v>0</v>
      </c>
      <c r="Z459" s="46" t="s">
        <v>1075</v>
      </c>
      <c r="AA459" s="46"/>
    </row>
    <row r="460">
      <c r="A460" s="121">
        <v>488.0</v>
      </c>
      <c r="B460" s="21"/>
      <c r="C460" s="19" t="s">
        <v>3</v>
      </c>
      <c r="D460" s="114" t="s">
        <v>1491</v>
      </c>
      <c r="E460" s="50" t="s">
        <v>4469</v>
      </c>
      <c r="F460" s="50" t="s">
        <v>2308</v>
      </c>
      <c r="G460" s="50" t="s">
        <v>2316</v>
      </c>
      <c r="H460" s="31">
        <f t="shared" si="27"/>
        <v>31611.57025</v>
      </c>
      <c r="I460" s="21"/>
      <c r="J460" s="50">
        <v>38250.0</v>
      </c>
      <c r="K460" s="95">
        <v>0.45</v>
      </c>
      <c r="L460" s="33">
        <f>IF('Global Precios'!J460*(1-I460)*(1+'Global Precios'!K460)&gt;10000,MROUND('Global Precios'!J460*(1-I460)*(1+'Global Precios'!K460),1000),MROUND('Global Precios'!J460*(1-I460)*(1+'Global Precios'!K460),500))</f>
        <v>55000</v>
      </c>
      <c r="M460" s="50">
        <v>1.0</v>
      </c>
      <c r="N460" s="50" t="s">
        <v>46</v>
      </c>
      <c r="O460" s="21"/>
      <c r="P460" s="35">
        <v>45839.0</v>
      </c>
      <c r="Q460" s="21">
        <f t="shared" si="7"/>
        <v>26</v>
      </c>
      <c r="R460" s="50">
        <v>30.0</v>
      </c>
      <c r="S460" s="21"/>
      <c r="T460" s="41" t="str">
        <f>IFERROR(VLOOKUP(D460,BUSCARV!$A$1:$C$5524,2,0),"")</f>
        <v/>
      </c>
      <c r="U460" s="42"/>
      <c r="V460" s="42" t="str">
        <f t="shared" si="3"/>
        <v/>
      </c>
      <c r="W460" s="44" t="str">
        <f t="shared" si="4"/>
        <v/>
      </c>
      <c r="X460" s="44"/>
      <c r="Y460" s="45">
        <f t="shared" si="5"/>
        <v>0</v>
      </c>
      <c r="Z460" s="46" t="s">
        <v>449</v>
      </c>
      <c r="AA460" s="46"/>
    </row>
    <row r="461">
      <c r="A461" s="121">
        <v>489.0</v>
      </c>
      <c r="B461" s="21"/>
      <c r="C461" s="19" t="s">
        <v>3</v>
      </c>
      <c r="D461" s="114" t="s">
        <v>1494</v>
      </c>
      <c r="E461" s="50" t="s">
        <v>4455</v>
      </c>
      <c r="F461" s="50" t="s">
        <v>2308</v>
      </c>
      <c r="G461" s="50" t="s">
        <v>2316</v>
      </c>
      <c r="H461" s="31">
        <f t="shared" si="27"/>
        <v>15847.10744</v>
      </c>
      <c r="I461" s="21"/>
      <c r="J461" s="50">
        <v>19175.0</v>
      </c>
      <c r="K461" s="60">
        <v>0.6</v>
      </c>
      <c r="L461" s="33">
        <f>IF('Global Precios'!J461*(1-I461)*(1+'Global Precios'!K461)&gt;1000,MROUND('Global Precios'!J461*(1-I461)*(1+'Global Precios'!K461),100),MROUND('Global Precios'!J461*(1-I461)*(1+'Global Precios'!K461),10))</f>
        <v>30700</v>
      </c>
      <c r="M461" s="50">
        <v>1.0</v>
      </c>
      <c r="N461" s="50" t="s">
        <v>46</v>
      </c>
      <c r="O461" s="21"/>
      <c r="P461" s="115">
        <v>45505.0</v>
      </c>
      <c r="Q461" s="21">
        <f t="shared" si="7"/>
        <v>24</v>
      </c>
      <c r="R461" s="50">
        <v>30.0</v>
      </c>
      <c r="S461" s="21"/>
      <c r="T461" s="41" t="str">
        <f>IFERROR(VLOOKUP(D461,BUSCARV!$A$1:$C$5524,2,0),"")</f>
        <v/>
      </c>
      <c r="U461" s="42"/>
      <c r="V461" s="42" t="str">
        <f t="shared" si="3"/>
        <v/>
      </c>
      <c r="W461" s="44" t="str">
        <f t="shared" si="4"/>
        <v/>
      </c>
      <c r="X461" s="44"/>
      <c r="Y461" s="45">
        <f t="shared" si="5"/>
        <v>0</v>
      </c>
      <c r="Z461" s="46" t="s">
        <v>1075</v>
      </c>
      <c r="AA461" s="46"/>
    </row>
    <row r="462">
      <c r="A462" s="121">
        <v>490.0</v>
      </c>
      <c r="B462" s="21"/>
      <c r="C462" s="19" t="s">
        <v>3</v>
      </c>
      <c r="D462" s="114" t="s">
        <v>1497</v>
      </c>
      <c r="E462" s="50" t="s">
        <v>4465</v>
      </c>
      <c r="F462" s="50" t="s">
        <v>2308</v>
      </c>
      <c r="G462" s="50" t="s">
        <v>2316</v>
      </c>
      <c r="H462" s="31">
        <f t="shared" si="27"/>
        <v>8264.46281</v>
      </c>
      <c r="I462" s="21"/>
      <c r="J462" s="50">
        <v>10000.0</v>
      </c>
      <c r="K462" s="60">
        <v>0.7</v>
      </c>
      <c r="L462" s="33">
        <f>IF('Global Precios'!J462*(1-I462)*(1+'Global Precios'!K462)&gt;10000,MROUND('Global Precios'!J462*(1-I462)*(1+'Global Precios'!K462),1000),MROUND('Global Precios'!J462*(1-I462)*(1+'Global Precios'!K462),500))</f>
        <v>17000</v>
      </c>
      <c r="M462" s="50">
        <v>10.0</v>
      </c>
      <c r="N462" s="50" t="s">
        <v>4383</v>
      </c>
      <c r="O462" s="21"/>
      <c r="P462" s="35">
        <v>46054.0</v>
      </c>
      <c r="Q462" s="21">
        <f t="shared" si="7"/>
        <v>24</v>
      </c>
      <c r="R462" s="50">
        <v>30.0</v>
      </c>
      <c r="S462" s="21"/>
      <c r="T462" s="41" t="str">
        <f>IFERROR(VLOOKUP(D462,BUSCARV!$A$1:$C$5524,2,0),"")</f>
        <v/>
      </c>
      <c r="U462" s="42"/>
      <c r="V462" s="42" t="str">
        <f t="shared" si="3"/>
        <v/>
      </c>
      <c r="W462" s="44" t="str">
        <f t="shared" si="4"/>
        <v/>
      </c>
      <c r="X462" s="44"/>
      <c r="Y462" s="45">
        <f t="shared" si="5"/>
        <v>0</v>
      </c>
      <c r="Z462" s="46" t="s">
        <v>449</v>
      </c>
      <c r="AA462" s="46"/>
    </row>
    <row r="463">
      <c r="A463" s="121">
        <v>491.0</v>
      </c>
      <c r="B463" s="21"/>
      <c r="C463" s="19" t="s">
        <v>3</v>
      </c>
      <c r="D463" s="122" t="s">
        <v>1504</v>
      </c>
      <c r="E463" s="50" t="s">
        <v>4461</v>
      </c>
      <c r="F463" s="50" t="s">
        <v>1795</v>
      </c>
      <c r="G463" s="50" t="s">
        <v>2321</v>
      </c>
      <c r="H463" s="31">
        <f t="shared" si="27"/>
        <v>2795.041322</v>
      </c>
      <c r="I463" s="21"/>
      <c r="J463" s="50">
        <v>3382.0</v>
      </c>
      <c r="K463" s="95">
        <v>0.4</v>
      </c>
      <c r="L463" s="33">
        <f>IF('Global Precios'!J463*(1-I463)*(1+'Global Precios'!K463)&gt;1000,MROUND('Global Precios'!J463*(1-I463)*(1+'Global Precios'!K463),100),MROUND('Global Precios'!J463*(1-I463)*(1+'Global Precios'!K463),10))</f>
        <v>4700</v>
      </c>
      <c r="M463" s="50">
        <v>2.0</v>
      </c>
      <c r="N463" s="50" t="s">
        <v>1823</v>
      </c>
      <c r="O463" s="21"/>
      <c r="P463" s="115">
        <v>45017.0</v>
      </c>
      <c r="Q463" s="21">
        <f t="shared" si="7"/>
        <v>37</v>
      </c>
      <c r="R463" s="50">
        <v>30.0</v>
      </c>
      <c r="S463" s="21"/>
      <c r="T463" s="41" t="str">
        <f>IFERROR(VLOOKUP(D463,BUSCARV!$A$1:$C$5524,2,0),"")</f>
        <v/>
      </c>
      <c r="U463" s="42"/>
      <c r="V463" s="42" t="str">
        <f t="shared" si="3"/>
        <v/>
      </c>
      <c r="W463" s="44" t="str">
        <f t="shared" si="4"/>
        <v/>
      </c>
      <c r="X463" s="44"/>
      <c r="Y463" s="45">
        <f t="shared" si="5"/>
        <v>0</v>
      </c>
      <c r="Z463" s="46" t="s">
        <v>1075</v>
      </c>
      <c r="AA463" s="46"/>
    </row>
    <row r="464">
      <c r="A464" s="121">
        <v>492.0</v>
      </c>
      <c r="B464" s="21"/>
      <c r="C464" s="19" t="s">
        <v>3</v>
      </c>
      <c r="D464" s="74" t="s">
        <v>1508</v>
      </c>
      <c r="E464" s="50" t="s">
        <v>4457</v>
      </c>
      <c r="F464" s="19" t="s">
        <v>2308</v>
      </c>
      <c r="G464" s="19" t="s">
        <v>2321</v>
      </c>
      <c r="H464" s="31">
        <f t="shared" si="27"/>
        <v>5479.338843</v>
      </c>
      <c r="I464" s="21"/>
      <c r="J464" s="50">
        <v>6630.0</v>
      </c>
      <c r="K464" s="60">
        <v>0.7</v>
      </c>
      <c r="L464" s="33">
        <f>IF('Global Precios'!J464*(1-I464)*(1+'Global Precios'!K464)&gt;10000,MROUND('Global Precios'!J464*(1-I464)*(1+'Global Precios'!K464),1000),MROUND('Global Precios'!J464*(1-I464)*(1+'Global Precios'!K464),500))</f>
        <v>11000</v>
      </c>
      <c r="M464" s="50">
        <v>7.0</v>
      </c>
      <c r="N464" s="50" t="s">
        <v>4431</v>
      </c>
      <c r="O464" s="21"/>
      <c r="P464" s="35">
        <v>45839.0</v>
      </c>
      <c r="Q464" s="21">
        <f t="shared" si="7"/>
        <v>23</v>
      </c>
      <c r="R464" s="50">
        <v>30.0</v>
      </c>
      <c r="S464" s="21"/>
      <c r="T464" s="41" t="str">
        <f>IFERROR(VLOOKUP(D464,BUSCARV!$A$1:$C$5524,2,0),"")</f>
        <v/>
      </c>
      <c r="U464" s="42"/>
      <c r="V464" s="42" t="str">
        <f t="shared" si="3"/>
        <v/>
      </c>
      <c r="W464" s="44" t="str">
        <f t="shared" si="4"/>
        <v/>
      </c>
      <c r="X464" s="44"/>
      <c r="Y464" s="45">
        <f t="shared" si="5"/>
        <v>0</v>
      </c>
      <c r="Z464" s="46" t="s">
        <v>449</v>
      </c>
      <c r="AA464" s="46"/>
    </row>
    <row r="465">
      <c r="A465" s="107">
        <v>493.0</v>
      </c>
      <c r="B465" s="21"/>
      <c r="C465" s="19" t="s">
        <v>182</v>
      </c>
      <c r="D465" s="74" t="s">
        <v>1511</v>
      </c>
      <c r="E465" s="21"/>
      <c r="F465" s="19" t="s">
        <v>204</v>
      </c>
      <c r="G465" s="19" t="s">
        <v>2316</v>
      </c>
      <c r="H465" s="31">
        <f t="shared" si="27"/>
        <v>62549.58678</v>
      </c>
      <c r="I465" s="21"/>
      <c r="J465" s="19">
        <v>75685.0</v>
      </c>
      <c r="K465" s="19">
        <v>0.0</v>
      </c>
      <c r="L465" s="33">
        <f>IF('Global Precios'!J465*(1-I465)*(1+'Global Precios'!K465)&gt;10000,MROUND('Global Precios'!J465*(1-I465)*(1+'Global Precios'!K465),1000),MROUND('Global Precios'!J465*(1-I465)*(1+'Global Precios'!K465),500))</f>
        <v>76000</v>
      </c>
      <c r="M465" s="19">
        <v>1.0</v>
      </c>
      <c r="N465" s="19" t="s">
        <v>46</v>
      </c>
      <c r="O465" s="21"/>
      <c r="P465" s="35">
        <v>45809.0</v>
      </c>
      <c r="Q465" s="21">
        <f t="shared" si="7"/>
        <v>19</v>
      </c>
      <c r="R465" s="37">
        <v>60.0</v>
      </c>
      <c r="S465" s="21"/>
      <c r="T465" s="41" t="str">
        <f>IFERROR(VLOOKUP(D465,BUSCARV!$A$1:$C$5524,2,0),"")</f>
        <v/>
      </c>
      <c r="U465" s="42"/>
      <c r="V465" s="42" t="str">
        <f t="shared" si="3"/>
        <v/>
      </c>
      <c r="W465" s="44" t="str">
        <f t="shared" si="4"/>
        <v/>
      </c>
      <c r="X465" s="44"/>
      <c r="Y465" s="45">
        <f t="shared" si="5"/>
        <v>0</v>
      </c>
      <c r="Z465" s="46" t="s">
        <v>449</v>
      </c>
      <c r="AA465" s="46"/>
    </row>
    <row r="466">
      <c r="A466" s="121">
        <v>494.0</v>
      </c>
      <c r="B466" s="21"/>
      <c r="C466" s="19" t="s">
        <v>3</v>
      </c>
      <c r="D466" s="21" t="s">
        <v>1513</v>
      </c>
      <c r="E466" s="50" t="s">
        <v>4443</v>
      </c>
      <c r="F466" s="50" t="s">
        <v>1795</v>
      </c>
      <c r="G466" s="50" t="s">
        <v>2316</v>
      </c>
      <c r="H466" s="31">
        <f t="shared" si="27"/>
        <v>3470.247934</v>
      </c>
      <c r="I466" s="21"/>
      <c r="J466" s="50">
        <v>4199.0</v>
      </c>
      <c r="K466" s="95">
        <v>0.3</v>
      </c>
      <c r="L466" s="123">
        <f>IF('Global Precios'!J466*(1-I466)*(1+'Global Precios'!K466)&gt;1000,MROUND('Global Precios'!J466*(1-I466)*(1+'Global Precios'!K466),100),MROUND('Global Precios'!J466*(1-I466)*(1+'Global Precios'!K466),10))</f>
        <v>5500</v>
      </c>
      <c r="M466" s="50">
        <v>1.0</v>
      </c>
      <c r="N466" s="50" t="s">
        <v>1823</v>
      </c>
      <c r="O466" s="21"/>
      <c r="P466" s="115">
        <v>45323.0</v>
      </c>
      <c r="Q466" s="21">
        <f t="shared" si="7"/>
        <v>30</v>
      </c>
      <c r="R466" s="50">
        <v>30.0</v>
      </c>
      <c r="S466" s="21"/>
      <c r="T466" s="41" t="str">
        <f>IFERROR(VLOOKUP(D466,BUSCARV!$A$1:$C$5524,2,0),"")</f>
        <v/>
      </c>
      <c r="U466" s="42"/>
      <c r="V466" s="42" t="str">
        <f t="shared" si="3"/>
        <v/>
      </c>
      <c r="W466" s="44" t="str">
        <f t="shared" si="4"/>
        <v/>
      </c>
      <c r="X466" s="44"/>
      <c r="Y466" s="45">
        <f t="shared" ref="Y466:Y492" si="28">IFERROR(VLOOKUP(A466,#REF!,3,0),0)</f>
        <v>0</v>
      </c>
      <c r="Z466" s="46" t="s">
        <v>1075</v>
      </c>
      <c r="AA466" s="46"/>
    </row>
    <row r="467">
      <c r="A467" s="121">
        <v>495.0</v>
      </c>
      <c r="B467" s="21"/>
      <c r="C467" s="19" t="s">
        <v>3</v>
      </c>
      <c r="D467" s="50" t="s">
        <v>1517</v>
      </c>
      <c r="E467" s="50" t="s">
        <v>4457</v>
      </c>
      <c r="F467" s="50" t="s">
        <v>2308</v>
      </c>
      <c r="G467" s="50" t="s">
        <v>2333</v>
      </c>
      <c r="H467" s="31">
        <f t="shared" si="27"/>
        <v>4552.066116</v>
      </c>
      <c r="I467" s="21"/>
      <c r="J467" s="19">
        <v>5508.0</v>
      </c>
      <c r="K467" s="60">
        <v>0.8</v>
      </c>
      <c r="L467" s="33">
        <f>IF('Global Precios'!J467*(1-I467)*(1+'Global Precios'!K467)&gt;10000,MROUND('Global Precios'!J467*(1-I467)*(1+'Global Precios'!K467),1000),MROUND('Global Precios'!J467*(1-I467)*(1+'Global Precios'!K467),500))</f>
        <v>10000</v>
      </c>
      <c r="M467" s="50">
        <v>20.0</v>
      </c>
      <c r="N467" s="50" t="s">
        <v>2496</v>
      </c>
      <c r="O467" s="21"/>
      <c r="P467" s="35">
        <v>45839.0</v>
      </c>
      <c r="Q467" s="21">
        <f t="shared" si="7"/>
        <v>34</v>
      </c>
      <c r="R467" s="50">
        <v>30.0</v>
      </c>
      <c r="S467" s="21"/>
      <c r="T467" s="41" t="str">
        <f>IFERROR(VLOOKUP(D467,BUSCARV!$A$1:$C$5524,2,0),"")</f>
        <v/>
      </c>
      <c r="U467" s="42"/>
      <c r="V467" s="42" t="str">
        <f t="shared" si="3"/>
        <v/>
      </c>
      <c r="W467" s="44" t="str">
        <f t="shared" si="4"/>
        <v/>
      </c>
      <c r="X467" s="44"/>
      <c r="Y467" s="45">
        <f t="shared" si="28"/>
        <v>0</v>
      </c>
      <c r="Z467" s="46" t="s">
        <v>449</v>
      </c>
      <c r="AA467" s="46"/>
    </row>
    <row r="468">
      <c r="A468" s="121">
        <v>496.0</v>
      </c>
      <c r="B468" s="21"/>
      <c r="C468" s="19" t="s">
        <v>3</v>
      </c>
      <c r="D468" s="21" t="s">
        <v>1521</v>
      </c>
      <c r="E468" s="50" t="s">
        <v>4470</v>
      </c>
      <c r="F468" s="50" t="s">
        <v>2308</v>
      </c>
      <c r="G468" s="50" t="s">
        <v>2329</v>
      </c>
      <c r="H468" s="31">
        <f t="shared" si="27"/>
        <v>724.7933884</v>
      </c>
      <c r="I468" s="21"/>
      <c r="J468" s="50">
        <v>877.0</v>
      </c>
      <c r="K468" s="60">
        <v>0.8</v>
      </c>
      <c r="L468" s="123">
        <f>IF('Global Precios'!J468*(1-I468)*(1+'Global Precios'!K468)&gt;1000,MROUND('Global Precios'!J468*(1-I468)*(1+'Global Precios'!K468),100),MROUND('Global Precios'!J468*(1-I468)*(1+'Global Precios'!K468),10))</f>
        <v>1600</v>
      </c>
      <c r="M468" s="50">
        <v>15.0</v>
      </c>
      <c r="N468" s="50" t="s">
        <v>4431</v>
      </c>
      <c r="O468" s="21"/>
      <c r="P468" s="115">
        <v>45200.0</v>
      </c>
      <c r="Q468" s="21">
        <f t="shared" si="7"/>
        <v>17</v>
      </c>
      <c r="R468" s="50">
        <v>30.0</v>
      </c>
      <c r="S468" s="21"/>
      <c r="T468" s="41" t="str">
        <f>IFERROR(VLOOKUP(D468,BUSCARV!$A$1:$C$5524,2,0),"")</f>
        <v/>
      </c>
      <c r="U468" s="42"/>
      <c r="V468" s="42" t="str">
        <f t="shared" si="3"/>
        <v/>
      </c>
      <c r="W468" s="44" t="str">
        <f t="shared" si="4"/>
        <v/>
      </c>
      <c r="X468" s="44"/>
      <c r="Y468" s="45">
        <f t="shared" si="28"/>
        <v>0</v>
      </c>
      <c r="Z468" s="46" t="s">
        <v>1075</v>
      </c>
      <c r="AA468" s="46"/>
    </row>
    <row r="469">
      <c r="A469" s="121">
        <v>497.0</v>
      </c>
      <c r="B469" s="21"/>
      <c r="C469" s="19" t="s">
        <v>3</v>
      </c>
      <c r="D469" s="21" t="s">
        <v>1527</v>
      </c>
      <c r="E469" s="21"/>
      <c r="F469" s="50" t="s">
        <v>2308</v>
      </c>
      <c r="G469" s="50" t="s">
        <v>2339</v>
      </c>
      <c r="H469" s="31">
        <f t="shared" si="27"/>
        <v>693.3884298</v>
      </c>
      <c r="I469" s="21"/>
      <c r="J469" s="50">
        <v>839.0</v>
      </c>
      <c r="K469" s="95">
        <v>1.0</v>
      </c>
      <c r="L469" s="123">
        <f>IF('Global Precios'!J469*(1-I469)*(1+'Global Precios'!K469)&gt;1000,MROUND('Global Precios'!J469*(1-I469)*(1+'Global Precios'!K469),100),MROUND('Global Precios'!J469*(1-I469)*(1+'Global Precios'!K469),10))</f>
        <v>1700</v>
      </c>
      <c r="M469" s="50">
        <v>10.0</v>
      </c>
      <c r="N469" s="50" t="s">
        <v>4383</v>
      </c>
      <c r="O469" s="21"/>
      <c r="P469" s="35">
        <v>45231.0</v>
      </c>
      <c r="Q469" s="21">
        <f t="shared" si="7"/>
        <v>58</v>
      </c>
      <c r="R469" s="50">
        <v>30.0</v>
      </c>
      <c r="S469" s="21"/>
      <c r="T469" s="41" t="str">
        <f>IFERROR(VLOOKUP(D469,BUSCARV!$A$1:$C$5524,2,0),"")</f>
        <v/>
      </c>
      <c r="U469" s="42"/>
      <c r="V469" s="42" t="str">
        <f t="shared" si="3"/>
        <v/>
      </c>
      <c r="W469" s="44" t="str">
        <f t="shared" si="4"/>
        <v/>
      </c>
      <c r="X469" s="44"/>
      <c r="Y469" s="45">
        <f t="shared" si="28"/>
        <v>0</v>
      </c>
      <c r="Z469" s="46" t="s">
        <v>1075</v>
      </c>
      <c r="AA469" s="46"/>
    </row>
    <row r="470">
      <c r="A470" s="121">
        <v>498.0</v>
      </c>
      <c r="B470" s="21"/>
      <c r="C470" s="19" t="s">
        <v>3</v>
      </c>
      <c r="D470" s="50" t="s">
        <v>1531</v>
      </c>
      <c r="E470" s="50" t="s">
        <v>4471</v>
      </c>
      <c r="F470" s="50" t="s">
        <v>2308</v>
      </c>
      <c r="G470" s="50" t="s">
        <v>2325</v>
      </c>
      <c r="H470" s="31">
        <f t="shared" si="27"/>
        <v>3733.057851</v>
      </c>
      <c r="I470" s="21"/>
      <c r="J470" s="19">
        <v>4517.0</v>
      </c>
      <c r="K470" s="95">
        <v>0.8</v>
      </c>
      <c r="L470" s="33">
        <f>IF('Global Precios'!J470*(1-I470)*(1+'Global Precios'!K470)&gt;10000,MROUND('Global Precios'!J470*(1-I470)*(1+'Global Precios'!K470),1000),MROUND('Global Precios'!J470*(1-I470)*(1+'Global Precios'!K470),500))</f>
        <v>8000</v>
      </c>
      <c r="M470" s="50">
        <v>30.0</v>
      </c>
      <c r="N470" s="50" t="s">
        <v>2496</v>
      </c>
      <c r="O470" s="21"/>
      <c r="P470" s="35">
        <v>45839.0</v>
      </c>
      <c r="Q470" s="21">
        <f t="shared" si="7"/>
        <v>27</v>
      </c>
      <c r="R470" s="50">
        <v>30.0</v>
      </c>
      <c r="S470" s="21"/>
      <c r="T470" s="41">
        <f>IFERROR(VLOOKUP(D470,BUSCARV!$A$1:$C$5524,2,0),"")</f>
        <v>4517</v>
      </c>
      <c r="U470" s="42"/>
      <c r="V470" s="42">
        <f t="shared" si="3"/>
        <v>4517</v>
      </c>
      <c r="W470" s="44">
        <f t="shared" si="4"/>
        <v>0</v>
      </c>
      <c r="X470" s="44"/>
      <c r="Y470" s="45">
        <f t="shared" si="28"/>
        <v>0</v>
      </c>
      <c r="Z470" s="46" t="s">
        <v>449</v>
      </c>
      <c r="AA470" s="46"/>
    </row>
    <row r="471">
      <c r="A471" s="121">
        <v>499.0</v>
      </c>
      <c r="B471" s="21"/>
      <c r="C471" s="19" t="s">
        <v>3</v>
      </c>
      <c r="D471" s="124" t="s">
        <v>1533</v>
      </c>
      <c r="E471" s="50" t="s">
        <v>4456</v>
      </c>
      <c r="F471" s="50" t="s">
        <v>2308</v>
      </c>
      <c r="G471" s="50" t="s">
        <v>2350</v>
      </c>
      <c r="H471" s="31">
        <f t="shared" si="27"/>
        <v>9611.570248</v>
      </c>
      <c r="I471" s="21"/>
      <c r="J471" s="50">
        <v>11630.0</v>
      </c>
      <c r="K471" s="60">
        <v>0.8</v>
      </c>
      <c r="L471" s="33">
        <f>IF('Global Precios'!J471*(1-I471)*(1+'Global Precios'!K471)&gt;10000,MROUND('Global Precios'!J471*(1-I471)*(1+'Global Precios'!K471),1000),MROUND('Global Precios'!J471*(1-I471)*(1+'Global Precios'!K471),500))</f>
        <v>21000</v>
      </c>
      <c r="M471" s="50">
        <v>1.0</v>
      </c>
      <c r="N471" s="50" t="s">
        <v>4383</v>
      </c>
      <c r="O471" s="21"/>
      <c r="P471" s="35">
        <v>46054.0</v>
      </c>
      <c r="Q471" s="21">
        <f t="shared" si="7"/>
        <v>20</v>
      </c>
      <c r="R471" s="50">
        <v>30.0</v>
      </c>
      <c r="S471" s="21"/>
      <c r="T471" s="41" t="str">
        <f>IFERROR(VLOOKUP(D471,BUSCARV!$A$1:$C$5524,2,0),"")</f>
        <v/>
      </c>
      <c r="U471" s="42"/>
      <c r="V471" s="42" t="str">
        <f t="shared" si="3"/>
        <v/>
      </c>
      <c r="W471" s="44" t="str">
        <f t="shared" si="4"/>
        <v/>
      </c>
      <c r="X471" s="44"/>
      <c r="Y471" s="45">
        <f t="shared" si="28"/>
        <v>0</v>
      </c>
      <c r="Z471" s="46" t="s">
        <v>449</v>
      </c>
      <c r="AA471" s="46"/>
    </row>
    <row r="472">
      <c r="A472" s="121">
        <v>500.0</v>
      </c>
      <c r="B472" s="21"/>
      <c r="C472" s="19" t="s">
        <v>3</v>
      </c>
      <c r="D472" s="124" t="s">
        <v>1535</v>
      </c>
      <c r="E472" s="50" t="s">
        <v>4472</v>
      </c>
      <c r="F472" s="50" t="s">
        <v>2308</v>
      </c>
      <c r="G472" s="50" t="s">
        <v>2333</v>
      </c>
      <c r="H472" s="31">
        <f t="shared" si="27"/>
        <v>3675.206612</v>
      </c>
      <c r="I472" s="21"/>
      <c r="J472" s="19">
        <v>4447.0</v>
      </c>
      <c r="K472" s="95">
        <v>1.0</v>
      </c>
      <c r="L472" s="33">
        <f>IF('Global Precios'!J472*(1-I472)*(1+'Global Precios'!K472)&gt;10000,MROUND('Global Precios'!J472*(1-I472)*(1+'Global Precios'!K472),1000),MROUND('Global Precios'!J472*(1-I472)*(1+'Global Precios'!K472),500))</f>
        <v>9000</v>
      </c>
      <c r="M472" s="50">
        <v>200.0</v>
      </c>
      <c r="N472" s="50" t="s">
        <v>2496</v>
      </c>
      <c r="O472" s="21"/>
      <c r="P472" s="35">
        <v>45839.0</v>
      </c>
      <c r="Q472" s="21">
        <f t="shared" si="7"/>
        <v>40</v>
      </c>
      <c r="R472" s="50">
        <v>30.0</v>
      </c>
      <c r="S472" s="21"/>
      <c r="T472" s="41">
        <f>IFERROR(VLOOKUP(D472,BUSCARV!$A$1:$C$5524,2,0),"")</f>
        <v>4447</v>
      </c>
      <c r="U472" s="42"/>
      <c r="V472" s="42">
        <f t="shared" si="3"/>
        <v>4447</v>
      </c>
      <c r="W472" s="44">
        <f t="shared" si="4"/>
        <v>0</v>
      </c>
      <c r="X472" s="44"/>
      <c r="Y472" s="45">
        <f t="shared" si="28"/>
        <v>0</v>
      </c>
      <c r="Z472" s="46" t="s">
        <v>449</v>
      </c>
      <c r="AA472" s="46"/>
    </row>
    <row r="473">
      <c r="A473" s="121">
        <v>501.0</v>
      </c>
      <c r="B473" s="21"/>
      <c r="C473" s="19" t="s">
        <v>3</v>
      </c>
      <c r="D473" s="21" t="s">
        <v>1539</v>
      </c>
      <c r="E473" s="50" t="s">
        <v>4443</v>
      </c>
      <c r="F473" s="50" t="s">
        <v>1795</v>
      </c>
      <c r="G473" s="50" t="s">
        <v>2316</v>
      </c>
      <c r="H473" s="31">
        <f t="shared" si="27"/>
        <v>5315.702479</v>
      </c>
      <c r="I473" s="21"/>
      <c r="J473" s="50">
        <v>6432.0</v>
      </c>
      <c r="K473" s="95">
        <v>0.3</v>
      </c>
      <c r="L473" s="123">
        <f>IF('Global Precios'!J473*(1-I473)*(1+'Global Precios'!K473)&gt;1000,MROUND('Global Precios'!J473*(1-I473)*(1+'Global Precios'!K473),100),MROUND('Global Precios'!J473*(1-I473)*(1+'Global Precios'!K473),10))</f>
        <v>8400</v>
      </c>
      <c r="M473" s="50">
        <v>3.0</v>
      </c>
      <c r="N473" s="50" t="s">
        <v>1823</v>
      </c>
      <c r="O473" s="21"/>
      <c r="P473" s="115">
        <v>45261.0</v>
      </c>
      <c r="Q473" s="21">
        <f t="shared" si="7"/>
        <v>40</v>
      </c>
      <c r="R473" s="50">
        <v>30.0</v>
      </c>
      <c r="S473" s="21"/>
      <c r="T473" s="41" t="str">
        <f>IFERROR(VLOOKUP(D473,BUSCARV!$A$1:$C$5524,2,0),"")</f>
        <v/>
      </c>
      <c r="U473" s="42"/>
      <c r="V473" s="42" t="str">
        <f t="shared" si="3"/>
        <v/>
      </c>
      <c r="W473" s="44" t="str">
        <f t="shared" si="4"/>
        <v/>
      </c>
      <c r="X473" s="44"/>
      <c r="Y473" s="45">
        <f t="shared" si="28"/>
        <v>0</v>
      </c>
      <c r="Z473" s="46" t="s">
        <v>1075</v>
      </c>
      <c r="AA473" s="46"/>
    </row>
    <row r="474">
      <c r="A474" s="121">
        <v>502.0</v>
      </c>
      <c r="B474" s="21"/>
      <c r="C474" s="19" t="s">
        <v>3</v>
      </c>
      <c r="D474" s="50" t="s">
        <v>1546</v>
      </c>
      <c r="E474" s="50" t="s">
        <v>4457</v>
      </c>
      <c r="F474" s="50" t="s">
        <v>1795</v>
      </c>
      <c r="G474" s="50" t="s">
        <v>2316</v>
      </c>
      <c r="H474" s="31">
        <f t="shared" si="27"/>
        <v>60743.80165</v>
      </c>
      <c r="I474" s="21"/>
      <c r="J474" s="19">
        <v>73500.0</v>
      </c>
      <c r="K474" s="95">
        <v>0.3</v>
      </c>
      <c r="L474" s="33">
        <f>IF('Global Precios'!J474*(1-I474)*(1+'Global Precios'!K474)&gt;10000,MROUND('Global Precios'!J474*(1-I474)*(1+'Global Precios'!K474),1000),MROUND('Global Precios'!J474*(1-I474)*(1+'Global Precios'!K474),500))</f>
        <v>96000</v>
      </c>
      <c r="M474" s="50">
        <v>10.0</v>
      </c>
      <c r="N474" s="50" t="s">
        <v>1823</v>
      </c>
      <c r="O474" s="21"/>
      <c r="P474" s="35">
        <v>45748.0</v>
      </c>
      <c r="Q474" s="21">
        <f t="shared" si="7"/>
        <v>33</v>
      </c>
      <c r="R474" s="50">
        <v>30.0</v>
      </c>
      <c r="S474" s="21"/>
      <c r="T474" s="41" t="str">
        <f>IFERROR(VLOOKUP(D474,BUSCARV!$A$1:$C$5524,2,0),"")</f>
        <v/>
      </c>
      <c r="U474" s="42"/>
      <c r="V474" s="42" t="str">
        <f t="shared" si="3"/>
        <v/>
      </c>
      <c r="W474" s="44" t="str">
        <f t="shared" si="4"/>
        <v/>
      </c>
      <c r="X474" s="44"/>
      <c r="Y474" s="45">
        <f t="shared" si="28"/>
        <v>0</v>
      </c>
      <c r="Z474" s="46" t="s">
        <v>449</v>
      </c>
      <c r="AA474" s="46"/>
    </row>
    <row r="475">
      <c r="A475" s="121">
        <v>503.0</v>
      </c>
      <c r="B475" s="21"/>
      <c r="C475" s="19" t="s">
        <v>3</v>
      </c>
      <c r="D475" s="50" t="s">
        <v>1550</v>
      </c>
      <c r="E475" s="50" t="s">
        <v>2292</v>
      </c>
      <c r="F475" s="50" t="s">
        <v>1795</v>
      </c>
      <c r="G475" s="50" t="s">
        <v>2321</v>
      </c>
      <c r="H475" s="31">
        <f t="shared" si="27"/>
        <v>1764.46281</v>
      </c>
      <c r="I475" s="21"/>
      <c r="J475" s="50">
        <v>2135.0</v>
      </c>
      <c r="K475" s="95">
        <v>0.3</v>
      </c>
      <c r="L475" s="123">
        <f>IF('Global Precios'!J475*(1-I475)*(1+'Global Precios'!K475)&gt;1000,MROUND('Global Precios'!J475*(1-I475)*(1+'Global Precios'!K475),100),MROUND('Global Precios'!J475*(1-I475)*(1+'Global Precios'!K475),10))</f>
        <v>2800</v>
      </c>
      <c r="M475" s="50">
        <v>340.0</v>
      </c>
      <c r="N475" s="50" t="s">
        <v>4431</v>
      </c>
      <c r="O475" s="21"/>
      <c r="P475" s="115">
        <v>45352.0</v>
      </c>
      <c r="Q475" s="21">
        <f t="shared" si="7"/>
        <v>27</v>
      </c>
      <c r="R475" s="50">
        <v>30.0</v>
      </c>
      <c r="S475" s="21"/>
      <c r="T475" s="41" t="str">
        <f>IFERROR(VLOOKUP(D475,BUSCARV!$A$1:$C$5524,2,0),"")</f>
        <v/>
      </c>
      <c r="U475" s="42"/>
      <c r="V475" s="42" t="str">
        <f t="shared" si="3"/>
        <v/>
      </c>
      <c r="W475" s="44" t="str">
        <f t="shared" si="4"/>
        <v/>
      </c>
      <c r="X475" s="44"/>
      <c r="Y475" s="45">
        <f t="shared" si="28"/>
        <v>0</v>
      </c>
      <c r="Z475" s="46" t="s">
        <v>1075</v>
      </c>
      <c r="AA475" s="46"/>
    </row>
    <row r="476">
      <c r="A476" s="121">
        <v>504.0</v>
      </c>
      <c r="B476" s="21"/>
      <c r="C476" s="19" t="s">
        <v>3</v>
      </c>
      <c r="D476" s="50" t="s">
        <v>1553</v>
      </c>
      <c r="E476" s="50" t="s">
        <v>4473</v>
      </c>
      <c r="F476" s="50" t="s">
        <v>1795</v>
      </c>
      <c r="G476" s="50" t="s">
        <v>2321</v>
      </c>
      <c r="H476" s="31">
        <f t="shared" si="27"/>
        <v>848.7603306</v>
      </c>
      <c r="I476" s="21"/>
      <c r="J476" s="50">
        <v>1027.0</v>
      </c>
      <c r="K476" s="95">
        <v>0.33</v>
      </c>
      <c r="L476" s="123">
        <f>IF('Global Precios'!J476*(1-I476)*(1+'Global Precios'!K476)&gt;1000,MROUND('Global Precios'!J476*(1-I476)*(1+'Global Precios'!K476),100),MROUND('Global Precios'!J476*(1-I476)*(1+'Global Precios'!K476),10))</f>
        <v>1400</v>
      </c>
      <c r="M476" s="50">
        <v>1.0</v>
      </c>
      <c r="N476" s="50" t="s">
        <v>1823</v>
      </c>
      <c r="O476" s="21"/>
      <c r="P476" s="115">
        <v>45108.0</v>
      </c>
      <c r="Q476" s="21">
        <f t="shared" si="7"/>
        <v>42</v>
      </c>
      <c r="R476" s="50">
        <v>30.0</v>
      </c>
      <c r="S476" s="21"/>
      <c r="T476" s="41" t="str">
        <f>IFERROR(VLOOKUP(D476,BUSCARV!$A$1:$C$5524,2,0),"")</f>
        <v/>
      </c>
      <c r="U476" s="42"/>
      <c r="V476" s="42" t="str">
        <f t="shared" si="3"/>
        <v/>
      </c>
      <c r="W476" s="44" t="str">
        <f t="shared" si="4"/>
        <v/>
      </c>
      <c r="X476" s="44"/>
      <c r="Y476" s="45">
        <f t="shared" si="28"/>
        <v>0</v>
      </c>
      <c r="Z476" s="46" t="s">
        <v>1075</v>
      </c>
      <c r="AA476" s="46"/>
    </row>
    <row r="477">
      <c r="A477" s="121">
        <v>505.0</v>
      </c>
      <c r="B477" s="21"/>
      <c r="C477" s="19" t="s">
        <v>3</v>
      </c>
      <c r="D477" s="74" t="s">
        <v>1556</v>
      </c>
      <c r="E477" s="50" t="s">
        <v>4473</v>
      </c>
      <c r="F477" s="50" t="s">
        <v>1795</v>
      </c>
      <c r="G477" s="50" t="s">
        <v>2321</v>
      </c>
      <c r="H477" s="31">
        <f t="shared" si="27"/>
        <v>848.7603306</v>
      </c>
      <c r="I477" s="21"/>
      <c r="J477" s="50">
        <v>1027.0</v>
      </c>
      <c r="K477" s="95">
        <v>0.33</v>
      </c>
      <c r="L477" s="123">
        <f>IF('Global Precios'!J477*(1-I477)*(1+'Global Precios'!K477)&gt;1000,MROUND('Global Precios'!J477*(1-I477)*(1+'Global Precios'!K477),100),MROUND('Global Precios'!J477*(1-I477)*(1+'Global Precios'!K477),10))</f>
        <v>1400</v>
      </c>
      <c r="M477" s="50">
        <v>1.0</v>
      </c>
      <c r="N477" s="50" t="s">
        <v>1823</v>
      </c>
      <c r="O477" s="21"/>
      <c r="P477" s="115">
        <v>45108.0</v>
      </c>
      <c r="Q477" s="21">
        <f t="shared" si="7"/>
        <v>35</v>
      </c>
      <c r="R477" s="50">
        <v>30.0</v>
      </c>
      <c r="S477" s="21"/>
      <c r="T477" s="41" t="str">
        <f>IFERROR(VLOOKUP(D477,BUSCARV!$A$1:$C$5524,2,0),"")</f>
        <v/>
      </c>
      <c r="U477" s="42"/>
      <c r="V477" s="42" t="str">
        <f t="shared" si="3"/>
        <v/>
      </c>
      <c r="W477" s="44" t="str">
        <f t="shared" si="4"/>
        <v/>
      </c>
      <c r="X477" s="44"/>
      <c r="Y477" s="45">
        <f t="shared" si="28"/>
        <v>0</v>
      </c>
      <c r="Z477" s="46" t="s">
        <v>1075</v>
      </c>
      <c r="AA477" s="46"/>
    </row>
    <row r="478">
      <c r="A478" s="121">
        <v>506.0</v>
      </c>
      <c r="B478" s="21"/>
      <c r="C478" s="19" t="s">
        <v>3</v>
      </c>
      <c r="D478" s="74" t="s">
        <v>3009</v>
      </c>
      <c r="E478" s="50" t="s">
        <v>4453</v>
      </c>
      <c r="F478" s="50" t="s">
        <v>2308</v>
      </c>
      <c r="G478" s="50" t="s">
        <v>2316</v>
      </c>
      <c r="H478" s="31">
        <f t="shared" si="27"/>
        <v>3277.68595</v>
      </c>
      <c r="I478" s="21"/>
      <c r="J478" s="19">
        <v>3966.0</v>
      </c>
      <c r="K478" s="95">
        <v>1.45</v>
      </c>
      <c r="L478" s="33">
        <f>IF('Global Precios'!J478*(1-I478)*(1+'Global Precios'!K478)&gt;10000,MROUND('Global Precios'!J478*(1-I478)*(1+'Global Precios'!K478),1000),MROUND('Global Precios'!J478*(1-I478)*(1+'Global Precios'!K478),500))</f>
        <v>9500</v>
      </c>
      <c r="M478" s="50">
        <v>1.0</v>
      </c>
      <c r="N478" s="50" t="s">
        <v>2496</v>
      </c>
      <c r="O478" s="21"/>
      <c r="P478" s="35">
        <v>45839.0</v>
      </c>
      <c r="Q478" s="21">
        <f t="shared" si="7"/>
        <v>21</v>
      </c>
      <c r="R478" s="50">
        <v>30.0</v>
      </c>
      <c r="S478" s="21"/>
      <c r="T478" s="41">
        <f>IFERROR(VLOOKUP(D478,BUSCARV!$A$1:$C$5524,2,0),"")</f>
        <v>3966</v>
      </c>
      <c r="U478" s="42"/>
      <c r="V478" s="42">
        <f t="shared" si="3"/>
        <v>3966</v>
      </c>
      <c r="W478" s="44">
        <f t="shared" si="4"/>
        <v>0</v>
      </c>
      <c r="X478" s="44"/>
      <c r="Y478" s="45">
        <f t="shared" si="28"/>
        <v>0</v>
      </c>
      <c r="Z478" s="46" t="s">
        <v>449</v>
      </c>
      <c r="AA478" s="46"/>
    </row>
    <row r="479">
      <c r="A479" s="121">
        <v>507.0</v>
      </c>
      <c r="B479" s="21"/>
      <c r="C479" s="19" t="s">
        <v>3</v>
      </c>
      <c r="D479" s="21" t="s">
        <v>4474</v>
      </c>
      <c r="E479" s="21"/>
      <c r="F479" s="50" t="s">
        <v>1982</v>
      </c>
      <c r="G479" s="50" t="s">
        <v>2321</v>
      </c>
      <c r="H479" s="31">
        <f t="shared" si="27"/>
        <v>2523.140496</v>
      </c>
      <c r="I479" s="21"/>
      <c r="J479" s="50">
        <v>3053.0</v>
      </c>
      <c r="K479" s="95">
        <v>0.8</v>
      </c>
      <c r="L479" s="33">
        <f>IF('Global Precios'!J479*(1-I479)*(1+'Global Precios'!K479)&gt;10000,MROUND('Global Precios'!J479*(1-I479)*(1+'Global Precios'!K479),1000),MROUND('Global Precios'!J479*(1-I479)*(1+'Global Precios'!K479),500))</f>
        <v>5500</v>
      </c>
      <c r="M479" s="50">
        <v>3.0</v>
      </c>
      <c r="N479" s="50" t="s">
        <v>46</v>
      </c>
      <c r="O479" s="21"/>
      <c r="P479" s="35">
        <v>45839.0</v>
      </c>
      <c r="Q479" s="21">
        <f t="shared" si="7"/>
        <v>19</v>
      </c>
      <c r="R479" s="50">
        <v>30.0</v>
      </c>
      <c r="S479" s="21"/>
      <c r="T479" s="41" t="str">
        <f>IFERROR(VLOOKUP(D479,BUSCARV!$A$1:$C$5524,2,0),"")</f>
        <v/>
      </c>
      <c r="U479" s="42"/>
      <c r="V479" s="42" t="str">
        <f t="shared" si="3"/>
        <v/>
      </c>
      <c r="W479" s="44" t="str">
        <f t="shared" si="4"/>
        <v/>
      </c>
      <c r="X479" s="44"/>
      <c r="Y479" s="45">
        <f t="shared" si="28"/>
        <v>0</v>
      </c>
      <c r="Z479" s="46" t="s">
        <v>449</v>
      </c>
      <c r="AA479" s="46" t="s">
        <v>4475</v>
      </c>
    </row>
    <row r="480">
      <c r="A480" s="121">
        <v>508.0</v>
      </c>
      <c r="B480" s="21"/>
      <c r="C480" s="19" t="s">
        <v>3</v>
      </c>
      <c r="D480" s="21" t="s">
        <v>4476</v>
      </c>
      <c r="E480" s="21"/>
      <c r="F480" s="50" t="s">
        <v>1982</v>
      </c>
      <c r="G480" s="50" t="s">
        <v>2321</v>
      </c>
      <c r="H480" s="31">
        <f t="shared" si="27"/>
        <v>2342.975207</v>
      </c>
      <c r="I480" s="21"/>
      <c r="J480" s="50">
        <v>2835.0</v>
      </c>
      <c r="K480" s="95">
        <v>0.8</v>
      </c>
      <c r="L480" s="33">
        <f>IF('Global Precios'!J480*(1-I480)*(1+'Global Precios'!K480)&gt;10000,MROUND('Global Precios'!J480*(1-I480)*(1+'Global Precios'!K480),1000),MROUND('Global Precios'!J480*(1-I480)*(1+'Global Precios'!K480),500))</f>
        <v>5000</v>
      </c>
      <c r="M480" s="50">
        <v>2.0</v>
      </c>
      <c r="N480" s="50" t="s">
        <v>46</v>
      </c>
      <c r="O480" s="21"/>
      <c r="P480" s="35">
        <v>45839.0</v>
      </c>
      <c r="Q480" s="21">
        <f t="shared" si="7"/>
        <v>19</v>
      </c>
      <c r="R480" s="50">
        <v>30.0</v>
      </c>
      <c r="S480" s="21"/>
      <c r="T480" s="41" t="str">
        <f>IFERROR(VLOOKUP(D480,BUSCARV!$A$1:$C$5524,2,0),"")</f>
        <v/>
      </c>
      <c r="U480" s="42"/>
      <c r="V480" s="42" t="str">
        <f t="shared" si="3"/>
        <v/>
      </c>
      <c r="W480" s="44" t="str">
        <f t="shared" si="4"/>
        <v/>
      </c>
      <c r="X480" s="44"/>
      <c r="Y480" s="45">
        <f t="shared" si="28"/>
        <v>0</v>
      </c>
      <c r="Z480" s="46" t="s">
        <v>449</v>
      </c>
      <c r="AA480" s="46" t="s">
        <v>4477</v>
      </c>
    </row>
    <row r="481">
      <c r="A481" s="121">
        <v>509.0</v>
      </c>
      <c r="B481" s="21"/>
      <c r="C481" s="19" t="s">
        <v>3</v>
      </c>
      <c r="D481" s="21" t="s">
        <v>4478</v>
      </c>
      <c r="E481" s="21"/>
      <c r="F481" s="50" t="s">
        <v>1982</v>
      </c>
      <c r="G481" s="50" t="s">
        <v>2316</v>
      </c>
      <c r="H481" s="31">
        <f t="shared" si="27"/>
        <v>1476.859504</v>
      </c>
      <c r="I481" s="21"/>
      <c r="J481" s="50">
        <v>1787.0</v>
      </c>
      <c r="K481" s="95">
        <v>0.8</v>
      </c>
      <c r="L481" s="33">
        <f>IF('Global Precios'!J481*(1-I481)*(1+'Global Precios'!K481)&gt;10000,MROUND('Global Precios'!J481*(1-I481)*(1+'Global Precios'!K481),1000),MROUND('Global Precios'!J481*(1-I481)*(1+'Global Precios'!K481),500))</f>
        <v>3000</v>
      </c>
      <c r="M481" s="50">
        <v>1.0</v>
      </c>
      <c r="N481" s="50" t="s">
        <v>46</v>
      </c>
      <c r="O481" s="21"/>
      <c r="P481" s="35">
        <v>45839.0</v>
      </c>
      <c r="Q481" s="21">
        <f t="shared" si="7"/>
        <v>24</v>
      </c>
      <c r="R481" s="50">
        <v>30.0</v>
      </c>
      <c r="S481" s="21"/>
      <c r="T481" s="41" t="str">
        <f>IFERROR(VLOOKUP(D481,BUSCARV!$A$1:$C$5524,2,0),"")</f>
        <v/>
      </c>
      <c r="U481" s="42"/>
      <c r="V481" s="42" t="str">
        <f t="shared" si="3"/>
        <v/>
      </c>
      <c r="W481" s="44" t="str">
        <f t="shared" si="4"/>
        <v/>
      </c>
      <c r="X481" s="44"/>
      <c r="Y481" s="45">
        <f t="shared" si="28"/>
        <v>0</v>
      </c>
      <c r="Z481" s="46" t="s">
        <v>449</v>
      </c>
      <c r="AA481" s="46" t="s">
        <v>4479</v>
      </c>
    </row>
    <row r="482">
      <c r="A482" s="121">
        <v>510.0</v>
      </c>
      <c r="B482" s="21"/>
      <c r="C482" s="19" t="s">
        <v>3</v>
      </c>
      <c r="D482" s="21" t="s">
        <v>4480</v>
      </c>
      <c r="E482" s="21"/>
      <c r="F482" s="50" t="s">
        <v>1982</v>
      </c>
      <c r="G482" s="50" t="s">
        <v>2316</v>
      </c>
      <c r="H482" s="31">
        <f t="shared" si="27"/>
        <v>1857.85124</v>
      </c>
      <c r="I482" s="21"/>
      <c r="J482" s="50">
        <v>2248.0</v>
      </c>
      <c r="K482" s="95">
        <v>0.8</v>
      </c>
      <c r="L482" s="123">
        <f>IF('Global Precios'!J482*(1-I482)*(1+'Global Precios'!K482)&gt;1000,MROUND('Global Precios'!J482*(1-I482)*(1+'Global Precios'!K482),100),MROUND('Global Precios'!J482*(1-I482)*(1+'Global Precios'!K482),10))</f>
        <v>4000</v>
      </c>
      <c r="M482" s="50">
        <v>1.0</v>
      </c>
      <c r="N482" s="50" t="s">
        <v>46</v>
      </c>
      <c r="O482" s="21"/>
      <c r="P482" s="35">
        <v>45383.0</v>
      </c>
      <c r="Q482" s="21">
        <f t="shared" si="7"/>
        <v>22</v>
      </c>
      <c r="R482" s="50">
        <v>30.0</v>
      </c>
      <c r="S482" s="21"/>
      <c r="T482" s="41" t="str">
        <f>IFERROR(VLOOKUP(D482,BUSCARV!$A$1:$C$5524,2,0),"")</f>
        <v/>
      </c>
      <c r="U482" s="42"/>
      <c r="V482" s="42" t="str">
        <f t="shared" si="3"/>
        <v/>
      </c>
      <c r="W482" s="44" t="str">
        <f t="shared" si="4"/>
        <v/>
      </c>
      <c r="X482" s="44"/>
      <c r="Y482" s="45">
        <f t="shared" si="28"/>
        <v>0</v>
      </c>
      <c r="Z482" s="46" t="s">
        <v>1075</v>
      </c>
      <c r="AA482" s="46" t="s">
        <v>4481</v>
      </c>
    </row>
    <row r="483">
      <c r="A483" s="121">
        <v>512.0</v>
      </c>
      <c r="B483" s="21"/>
      <c r="C483" s="19" t="s">
        <v>3</v>
      </c>
      <c r="D483" s="21" t="s">
        <v>4482</v>
      </c>
      <c r="E483" s="21"/>
      <c r="F483" s="50" t="s">
        <v>1982</v>
      </c>
      <c r="G483" s="50" t="s">
        <v>2321</v>
      </c>
      <c r="H483" s="31">
        <f t="shared" si="27"/>
        <v>1510.743802</v>
      </c>
      <c r="I483" s="21"/>
      <c r="J483" s="50">
        <v>1828.0</v>
      </c>
      <c r="K483" s="95">
        <v>0.8</v>
      </c>
      <c r="L483" s="33">
        <f>IF('Global Precios'!J483*(1-I483)*(1+'Global Precios'!K483)&gt;10000,MROUND('Global Precios'!J483*(1-I483)*(1+'Global Precios'!K483),1000),MROUND('Global Precios'!J483*(1-I483)*(1+'Global Precios'!K483),500))</f>
        <v>3500</v>
      </c>
      <c r="M483" s="50">
        <v>1.0</v>
      </c>
      <c r="N483" s="50" t="s">
        <v>46</v>
      </c>
      <c r="O483" s="21"/>
      <c r="P483" s="35">
        <v>45597.0</v>
      </c>
      <c r="Q483" s="21">
        <f t="shared" si="7"/>
        <v>38</v>
      </c>
      <c r="R483" s="50">
        <v>30.0</v>
      </c>
      <c r="S483" s="21"/>
      <c r="T483" s="41" t="str">
        <f>IFERROR(VLOOKUP(D483,BUSCARV!$A$1:$C$5524,2,0),"")</f>
        <v/>
      </c>
      <c r="U483" s="42"/>
      <c r="V483" s="42" t="str">
        <f t="shared" si="3"/>
        <v/>
      </c>
      <c r="W483" s="44" t="str">
        <f t="shared" si="4"/>
        <v/>
      </c>
      <c r="X483" s="44"/>
      <c r="Y483" s="45">
        <f t="shared" si="28"/>
        <v>0</v>
      </c>
      <c r="Z483" s="46" t="s">
        <v>1075</v>
      </c>
      <c r="AA483" s="46" t="s">
        <v>4403</v>
      </c>
    </row>
    <row r="484">
      <c r="A484" s="121">
        <v>513.0</v>
      </c>
      <c r="B484" s="21"/>
      <c r="C484" s="19" t="s">
        <v>3</v>
      </c>
      <c r="D484" s="21" t="s">
        <v>4483</v>
      </c>
      <c r="E484" s="21"/>
      <c r="F484" s="50" t="s">
        <v>1982</v>
      </c>
      <c r="G484" s="50" t="s">
        <v>2316</v>
      </c>
      <c r="H484" s="31">
        <f t="shared" si="27"/>
        <v>2275.206612</v>
      </c>
      <c r="I484" s="21"/>
      <c r="J484" s="50">
        <v>2753.0</v>
      </c>
      <c r="K484" s="95">
        <v>0.8</v>
      </c>
      <c r="L484" s="33">
        <f>IF('Global Precios'!J484*(1-I484)*(1+'Global Precios'!K484)&gt;10000,MROUND('Global Precios'!J484*(1-I484)*(1+'Global Precios'!K484),1000),MROUND('Global Precios'!J484*(1-I484)*(1+'Global Precios'!K484),500))</f>
        <v>5000</v>
      </c>
      <c r="M484" s="50">
        <v>1.0</v>
      </c>
      <c r="N484" s="50" t="s">
        <v>46</v>
      </c>
      <c r="O484" s="21"/>
      <c r="P484" s="35">
        <v>45748.0</v>
      </c>
      <c r="Q484" s="21">
        <f t="shared" si="7"/>
        <v>19</v>
      </c>
      <c r="R484" s="50">
        <v>30.0</v>
      </c>
      <c r="S484" s="21"/>
      <c r="T484" s="41" t="str">
        <f>IFERROR(VLOOKUP(D484,BUSCARV!$A$1:$C$5524,2,0),"")</f>
        <v/>
      </c>
      <c r="U484" s="42"/>
      <c r="V484" s="42" t="str">
        <f t="shared" si="3"/>
        <v/>
      </c>
      <c r="W484" s="44" t="str">
        <f t="shared" si="4"/>
        <v/>
      </c>
      <c r="X484" s="44"/>
      <c r="Y484" s="45">
        <f t="shared" si="28"/>
        <v>0</v>
      </c>
      <c r="Z484" s="46" t="s">
        <v>1075</v>
      </c>
      <c r="AA484" s="46" t="s">
        <v>4484</v>
      </c>
    </row>
    <row r="485">
      <c r="A485" s="121">
        <v>514.0</v>
      </c>
      <c r="B485" s="21"/>
      <c r="C485" s="19" t="s">
        <v>3</v>
      </c>
      <c r="D485" s="21" t="s">
        <v>4485</v>
      </c>
      <c r="E485" s="21"/>
      <c r="F485" s="50" t="s">
        <v>1982</v>
      </c>
      <c r="G485" s="50" t="s">
        <v>2321</v>
      </c>
      <c r="H485" s="31">
        <f t="shared" si="27"/>
        <v>1606.61157</v>
      </c>
      <c r="I485" s="21"/>
      <c r="J485" s="50">
        <v>1944.0</v>
      </c>
      <c r="K485" s="95">
        <v>0.8</v>
      </c>
      <c r="L485" s="123">
        <f>IF('Global Precios'!J485*(1-I485)*(1+'Global Precios'!K485)&gt;1000,MROUND('Global Precios'!J485*(1-I485)*(1+'Global Precios'!K485),100),MROUND('Global Precios'!J485*(1-I485)*(1+'Global Precios'!K485),10))</f>
        <v>3500</v>
      </c>
      <c r="M485" s="50">
        <v>1.0</v>
      </c>
      <c r="N485" s="50" t="s">
        <v>46</v>
      </c>
      <c r="O485" s="21"/>
      <c r="P485" s="35">
        <v>45474.0</v>
      </c>
      <c r="Q485" s="21">
        <f t="shared" si="7"/>
        <v>17</v>
      </c>
      <c r="R485" s="50">
        <v>30.0</v>
      </c>
      <c r="S485" s="21"/>
      <c r="T485" s="41" t="str">
        <f>IFERROR(VLOOKUP(D485,BUSCARV!$A$1:$C$5524,2,0),"")</f>
        <v/>
      </c>
      <c r="U485" s="42"/>
      <c r="V485" s="42" t="str">
        <f t="shared" si="3"/>
        <v/>
      </c>
      <c r="W485" s="44" t="str">
        <f t="shared" si="4"/>
        <v/>
      </c>
      <c r="X485" s="44"/>
      <c r="Y485" s="45">
        <f t="shared" si="28"/>
        <v>0</v>
      </c>
      <c r="Z485" s="46" t="s">
        <v>1075</v>
      </c>
      <c r="AA485" s="46" t="s">
        <v>4486</v>
      </c>
    </row>
    <row r="486">
      <c r="A486" s="121">
        <v>515.0</v>
      </c>
      <c r="B486" s="21"/>
      <c r="C486" s="19" t="s">
        <v>3</v>
      </c>
      <c r="D486" s="21" t="s">
        <v>4487</v>
      </c>
      <c r="E486" s="21"/>
      <c r="F486" s="50" t="s">
        <v>1982</v>
      </c>
      <c r="G486" s="50" t="s">
        <v>2316</v>
      </c>
      <c r="H486" s="31">
        <f t="shared" si="27"/>
        <v>4033.057851</v>
      </c>
      <c r="I486" s="21"/>
      <c r="J486" s="50">
        <v>4880.0</v>
      </c>
      <c r="K486" s="95">
        <v>0.8</v>
      </c>
      <c r="L486" s="123">
        <f>IF('Global Precios'!J486*(1-I486)*(1+'Global Precios'!K486)&gt;1000,MROUND('Global Precios'!J486*(1-I486)*(1+'Global Precios'!K486),100),MROUND('Global Precios'!J486*(1-I486)*(1+'Global Precios'!K486),10))</f>
        <v>8800</v>
      </c>
      <c r="M486" s="50">
        <v>1.0</v>
      </c>
      <c r="N486" s="50" t="s">
        <v>46</v>
      </c>
      <c r="O486" s="21"/>
      <c r="P486" s="35">
        <v>45383.0</v>
      </c>
      <c r="Q486" s="21">
        <f t="shared" si="7"/>
        <v>30</v>
      </c>
      <c r="R486" s="50">
        <v>30.0</v>
      </c>
      <c r="S486" s="21"/>
      <c r="T486" s="41" t="str">
        <f>IFERROR(VLOOKUP(D486,BUSCARV!$A$1:$C$5524,2,0),"")</f>
        <v/>
      </c>
      <c r="U486" s="42"/>
      <c r="V486" s="42" t="str">
        <f t="shared" si="3"/>
        <v/>
      </c>
      <c r="W486" s="44" t="str">
        <f t="shared" si="4"/>
        <v/>
      </c>
      <c r="X486" s="44"/>
      <c r="Y486" s="45">
        <f t="shared" si="28"/>
        <v>0</v>
      </c>
      <c r="Z486" s="46" t="s">
        <v>1075</v>
      </c>
      <c r="AA486" s="46" t="s">
        <v>4488</v>
      </c>
    </row>
    <row r="487">
      <c r="A487" s="121">
        <v>516.0</v>
      </c>
      <c r="B487" s="21"/>
      <c r="C487" s="19" t="s">
        <v>3</v>
      </c>
      <c r="D487" s="21" t="s">
        <v>4489</v>
      </c>
      <c r="E487" s="21"/>
      <c r="F487" s="50" t="s">
        <v>1982</v>
      </c>
      <c r="G487" s="50" t="s">
        <v>2316</v>
      </c>
      <c r="H487" s="31">
        <f t="shared" si="27"/>
        <v>1480.165289</v>
      </c>
      <c r="I487" s="21"/>
      <c r="J487" s="50">
        <v>1791.0</v>
      </c>
      <c r="K487" s="95">
        <v>0.8</v>
      </c>
      <c r="L487" s="33">
        <f>IF('Global Precios'!J487*(1-I487)*(1+'Global Precios'!K487)&gt;10000,MROUND('Global Precios'!J487*(1-I487)*(1+'Global Precios'!K487),1000),MROUND('Global Precios'!J487*(1-I487)*(1+'Global Precios'!K487),500))</f>
        <v>3000</v>
      </c>
      <c r="M487" s="50">
        <v>1.0</v>
      </c>
      <c r="N487" s="50" t="s">
        <v>46</v>
      </c>
      <c r="O487" s="21"/>
      <c r="P487" s="35">
        <v>45748.0</v>
      </c>
      <c r="Q487" s="21">
        <f t="shared" si="7"/>
        <v>18</v>
      </c>
      <c r="R487" s="50">
        <v>30.0</v>
      </c>
      <c r="S487" s="21"/>
      <c r="T487" s="41" t="str">
        <f>IFERROR(VLOOKUP(D487,BUSCARV!$A$1:$C$5524,2,0),"")</f>
        <v/>
      </c>
      <c r="U487" s="42"/>
      <c r="V487" s="42" t="str">
        <f t="shared" si="3"/>
        <v/>
      </c>
      <c r="W487" s="44" t="str">
        <f t="shared" si="4"/>
        <v/>
      </c>
      <c r="X487" s="44"/>
      <c r="Y487" s="45">
        <f t="shared" si="28"/>
        <v>0</v>
      </c>
      <c r="Z487" s="46" t="s">
        <v>1075</v>
      </c>
      <c r="AA487" s="46" t="s">
        <v>4490</v>
      </c>
    </row>
    <row r="488">
      <c r="A488" s="121">
        <v>517.0</v>
      </c>
      <c r="B488" s="21"/>
      <c r="C488" s="19" t="s">
        <v>3</v>
      </c>
      <c r="D488" s="21" t="s">
        <v>4491</v>
      </c>
      <c r="E488" s="21"/>
      <c r="F488" s="50" t="s">
        <v>1982</v>
      </c>
      <c r="G488" s="50" t="s">
        <v>2316</v>
      </c>
      <c r="H488" s="31">
        <f t="shared" si="27"/>
        <v>1682.644628</v>
      </c>
      <c r="I488" s="21"/>
      <c r="J488" s="50">
        <v>2036.0</v>
      </c>
      <c r="K488" s="95">
        <v>1.0</v>
      </c>
      <c r="L488" s="33">
        <f>IF('Global Precios'!J488*(1-I488)*(1+'Global Precios'!K488)&gt;10000,MROUND('Global Precios'!J488*(1-I488)*(1+'Global Precios'!K488),1000),MROUND('Global Precios'!J488*(1-I488)*(1+'Global Precios'!K488),500))</f>
        <v>4000</v>
      </c>
      <c r="M488" s="50">
        <v>1.0</v>
      </c>
      <c r="N488" s="50" t="s">
        <v>46</v>
      </c>
      <c r="O488" s="21"/>
      <c r="P488" s="35">
        <v>45839.0</v>
      </c>
      <c r="Q488" s="21">
        <f t="shared" si="7"/>
        <v>20</v>
      </c>
      <c r="R488" s="50">
        <v>30.0</v>
      </c>
      <c r="S488" s="21"/>
      <c r="T488" s="41" t="str">
        <f>IFERROR(VLOOKUP(D488,BUSCARV!$A$1:$C$5524,2,0),"")</f>
        <v/>
      </c>
      <c r="U488" s="42"/>
      <c r="V488" s="42" t="str">
        <f t="shared" si="3"/>
        <v/>
      </c>
      <c r="W488" s="44" t="str">
        <f t="shared" si="4"/>
        <v/>
      </c>
      <c r="X488" s="44"/>
      <c r="Y488" s="45">
        <f t="shared" si="28"/>
        <v>0</v>
      </c>
      <c r="Z488" s="46" t="s">
        <v>449</v>
      </c>
      <c r="AA488" s="46" t="s">
        <v>4492</v>
      </c>
    </row>
    <row r="489">
      <c r="A489" s="121">
        <v>518.0</v>
      </c>
      <c r="B489" s="21"/>
      <c r="C489" s="19" t="s">
        <v>3</v>
      </c>
      <c r="D489" s="21" t="s">
        <v>4493</v>
      </c>
      <c r="E489" s="21"/>
      <c r="F489" s="50" t="s">
        <v>1982</v>
      </c>
      <c r="G489" s="50" t="s">
        <v>2316</v>
      </c>
      <c r="H489" s="31">
        <f t="shared" si="27"/>
        <v>3779.338843</v>
      </c>
      <c r="I489" s="21"/>
      <c r="J489" s="50">
        <v>4573.0</v>
      </c>
      <c r="K489" s="60">
        <v>0.8</v>
      </c>
      <c r="L489" s="123">
        <f>IF('Global Precios'!J489*(1-I489)*(1+'Global Precios'!K489)&gt;1000,MROUND('Global Precios'!J489*(1-I489)*(1+'Global Precios'!K489),100),MROUND('Global Precios'!J489*(1-I489)*(1+'Global Precios'!K489),10))</f>
        <v>8200</v>
      </c>
      <c r="M489" s="50">
        <v>1.0</v>
      </c>
      <c r="N489" s="50" t="s">
        <v>46</v>
      </c>
      <c r="O489" s="21"/>
      <c r="P489" s="35">
        <v>45292.0</v>
      </c>
      <c r="Q489" s="21">
        <f t="shared" si="7"/>
        <v>30</v>
      </c>
      <c r="R489" s="50">
        <v>30.0</v>
      </c>
      <c r="S489" s="21"/>
      <c r="T489" s="41" t="str">
        <f>IFERROR(VLOOKUP(D489,BUSCARV!$A$1:$C$5524,2,0),"")</f>
        <v/>
      </c>
      <c r="U489" s="42"/>
      <c r="V489" s="42" t="str">
        <f t="shared" si="3"/>
        <v/>
      </c>
      <c r="W489" s="44" t="str">
        <f t="shared" si="4"/>
        <v/>
      </c>
      <c r="X489" s="44"/>
      <c r="Y489" s="45">
        <f t="shared" si="28"/>
        <v>0</v>
      </c>
      <c r="Z489" s="46" t="s">
        <v>1075</v>
      </c>
      <c r="AA489" s="46" t="s">
        <v>4494</v>
      </c>
    </row>
    <row r="490">
      <c r="A490" s="121">
        <v>519.0</v>
      </c>
      <c r="B490" s="21"/>
      <c r="C490" s="19" t="s">
        <v>3</v>
      </c>
      <c r="D490" s="21" t="s">
        <v>4495</v>
      </c>
      <c r="E490" s="21"/>
      <c r="F490" s="50" t="s">
        <v>1982</v>
      </c>
      <c r="G490" s="50" t="s">
        <v>2316</v>
      </c>
      <c r="H490" s="31">
        <f t="shared" si="27"/>
        <v>1786.77686</v>
      </c>
      <c r="I490" s="21"/>
      <c r="J490" s="50">
        <v>2162.0</v>
      </c>
      <c r="K490" s="60">
        <v>0.7</v>
      </c>
      <c r="L490" s="123">
        <f>IF('Global Precios'!J490*(1-I490)*(1+'Global Precios'!K490)&gt;1000,MROUND('Global Precios'!J490*(1-I490)*(1+'Global Precios'!K490),100),MROUND('Global Precios'!J490*(1-I490)*(1+'Global Precios'!K490),10))</f>
        <v>3700</v>
      </c>
      <c r="M490" s="50">
        <v>1.0</v>
      </c>
      <c r="N490" s="50" t="s">
        <v>46</v>
      </c>
      <c r="O490" s="21"/>
      <c r="P490" s="35">
        <v>45261.0</v>
      </c>
      <c r="Q490" s="21">
        <f t="shared" si="7"/>
        <v>26</v>
      </c>
      <c r="R490" s="50">
        <v>30.0</v>
      </c>
      <c r="S490" s="21"/>
      <c r="T490" s="41" t="str">
        <f>IFERROR(VLOOKUP(D490,BUSCARV!$A$1:$C$5524,2,0),"")</f>
        <v/>
      </c>
      <c r="U490" s="42"/>
      <c r="V490" s="42" t="str">
        <f t="shared" si="3"/>
        <v/>
      </c>
      <c r="W490" s="44" t="str">
        <f t="shared" si="4"/>
        <v/>
      </c>
      <c r="X490" s="44"/>
      <c r="Y490" s="45">
        <f t="shared" si="28"/>
        <v>0</v>
      </c>
      <c r="Z490" s="46" t="s">
        <v>1075</v>
      </c>
      <c r="AA490" s="46"/>
    </row>
    <row r="491">
      <c r="A491" s="121">
        <v>520.0</v>
      </c>
      <c r="B491" s="21"/>
      <c r="C491" s="19" t="s">
        <v>3</v>
      </c>
      <c r="D491" s="19" t="s">
        <v>2510</v>
      </c>
      <c r="E491" s="50" t="s">
        <v>4496</v>
      </c>
      <c r="F491" s="50" t="s">
        <v>2308</v>
      </c>
      <c r="G491" s="50" t="s">
        <v>2325</v>
      </c>
      <c r="H491" s="31">
        <f t="shared" si="27"/>
        <v>7200</v>
      </c>
      <c r="I491" s="21"/>
      <c r="J491" s="19">
        <v>8712.0</v>
      </c>
      <c r="K491" s="60">
        <v>0.6</v>
      </c>
      <c r="L491" s="33">
        <f>IF('Global Precios'!J491*(1-I491)*(1+'Global Precios'!K491)&gt;10000,MROUND('Global Precios'!J491*(1-I491)*(1+'Global Precios'!K491),1000),MROUND('Global Precios'!J491*(1-I491)*(1+'Global Precios'!K491),500))</f>
        <v>14000</v>
      </c>
      <c r="M491" s="50">
        <v>80.0</v>
      </c>
      <c r="N491" s="50" t="s">
        <v>4431</v>
      </c>
      <c r="O491" s="21"/>
      <c r="P491" s="35">
        <v>45839.0</v>
      </c>
      <c r="Q491" s="21">
        <f t="shared" si="7"/>
        <v>42</v>
      </c>
      <c r="R491" s="50">
        <v>30.0</v>
      </c>
      <c r="S491" s="21"/>
      <c r="T491" s="41">
        <f>IFERROR(VLOOKUP(D491,BUSCARV!$A$1:$C$5524,2,0),"")</f>
        <v>8712</v>
      </c>
      <c r="U491" s="42"/>
      <c r="V491" s="42">
        <f t="shared" si="3"/>
        <v>8712</v>
      </c>
      <c r="W491" s="44">
        <f t="shared" si="4"/>
        <v>0</v>
      </c>
      <c r="X491" s="44"/>
      <c r="Y491" s="45">
        <f t="shared" si="28"/>
        <v>0</v>
      </c>
      <c r="Z491" s="46" t="s">
        <v>449</v>
      </c>
      <c r="AA491" s="46"/>
    </row>
    <row r="492">
      <c r="A492" s="114">
        <v>521.0</v>
      </c>
      <c r="B492" s="21"/>
      <c r="C492" s="19" t="s">
        <v>3</v>
      </c>
      <c r="D492" s="114" t="s">
        <v>4497</v>
      </c>
      <c r="E492" s="21"/>
      <c r="F492" s="50" t="s">
        <v>1982</v>
      </c>
      <c r="G492" s="50" t="s">
        <v>2316</v>
      </c>
      <c r="H492" s="31">
        <f t="shared" si="27"/>
        <v>3055.371901</v>
      </c>
      <c r="I492" s="21"/>
      <c r="J492" s="50">
        <v>3697.0</v>
      </c>
      <c r="K492" s="60">
        <v>0.7</v>
      </c>
      <c r="L492" s="123">
        <f>IF('Global Precios'!J492*(1-I492)*(1+'Global Precios'!K492)&gt;1000,MROUND('Global Precios'!J492*(1-I492)*(1+'Global Precios'!K492),100),MROUND('Global Precios'!J492*(1-I492)*(1+'Global Precios'!K492),10))</f>
        <v>6300</v>
      </c>
      <c r="M492" s="50">
        <v>1.0</v>
      </c>
      <c r="N492" s="50" t="s">
        <v>46</v>
      </c>
      <c r="O492" s="21"/>
      <c r="P492" s="35">
        <v>45292.0</v>
      </c>
      <c r="Q492" s="21">
        <f t="shared" si="7"/>
        <v>26</v>
      </c>
      <c r="R492" s="50">
        <v>30.0</v>
      </c>
      <c r="S492" s="21"/>
      <c r="T492" s="41" t="str">
        <f>IFERROR(VLOOKUP(D492,BUSCARV!$A$1:$C$5524,2,0),"")</f>
        <v/>
      </c>
      <c r="U492" s="42"/>
      <c r="V492" s="42" t="str">
        <f t="shared" si="3"/>
        <v/>
      </c>
      <c r="W492" s="44" t="str">
        <f t="shared" si="4"/>
        <v/>
      </c>
      <c r="X492" s="44"/>
      <c r="Y492" s="45">
        <f t="shared" si="28"/>
        <v>0</v>
      </c>
      <c r="Z492" s="46" t="s">
        <v>1075</v>
      </c>
      <c r="AA492" s="46"/>
    </row>
    <row r="493">
      <c r="A493" s="114">
        <v>522.0</v>
      </c>
      <c r="B493" s="21"/>
      <c r="C493" s="19" t="s">
        <v>3</v>
      </c>
      <c r="D493" s="114" t="s">
        <v>4498</v>
      </c>
      <c r="E493" s="50" t="s">
        <v>4456</v>
      </c>
      <c r="F493" s="50" t="s">
        <v>2308</v>
      </c>
      <c r="G493" s="50" t="s">
        <v>2344</v>
      </c>
      <c r="H493" s="31">
        <f t="shared" si="27"/>
        <v>2975.206612</v>
      </c>
      <c r="I493" s="21"/>
      <c r="J493" s="50">
        <v>3600.0</v>
      </c>
      <c r="K493" s="95">
        <v>0.8</v>
      </c>
      <c r="L493" s="33">
        <f>IF('Global Precios'!J493*(1-I493)*(1+'Global Precios'!K493)&gt;10000,MROUND('Global Precios'!J493*(1-I493)*(1+'Global Precios'!K493),1000),MROUND('Global Precios'!J493*(1-I493)*(1+'Global Precios'!K493),500))</f>
        <v>6500</v>
      </c>
      <c r="M493" s="50">
        <v>1.0</v>
      </c>
      <c r="N493" s="50" t="s">
        <v>2496</v>
      </c>
      <c r="O493" s="21"/>
      <c r="P493" s="35">
        <v>45839.0</v>
      </c>
      <c r="Q493" s="21">
        <f t="shared" si="7"/>
        <v>23</v>
      </c>
      <c r="R493" s="50">
        <v>30.0</v>
      </c>
      <c r="S493" s="21"/>
      <c r="T493" s="41" t="str">
        <f>IFERROR(VLOOKUP(D493,BUSCARV!$A$1:$C$5524,2,0),"")</f>
        <v/>
      </c>
      <c r="U493" s="42"/>
      <c r="V493" s="42" t="str">
        <f t="shared" si="3"/>
        <v/>
      </c>
      <c r="W493" s="44" t="str">
        <f t="shared" si="4"/>
        <v/>
      </c>
      <c r="X493" s="44"/>
      <c r="Y493" s="45">
        <f>IFERROR(VLOOKUP(A493,'BuscarV Stock'!$A$1:$C$421,3,0),0)</f>
        <v>0</v>
      </c>
      <c r="Z493" s="46" t="s">
        <v>449</v>
      </c>
      <c r="AA493" s="46"/>
    </row>
    <row r="494">
      <c r="A494" s="125" t="s">
        <v>4499</v>
      </c>
      <c r="B494" s="21"/>
      <c r="C494" s="19" t="s">
        <v>3</v>
      </c>
      <c r="D494" s="114" t="s">
        <v>4500</v>
      </c>
      <c r="E494" s="50" t="s">
        <v>4501</v>
      </c>
      <c r="F494" s="50" t="s">
        <v>1795</v>
      </c>
      <c r="G494" s="50" t="s">
        <v>2321</v>
      </c>
      <c r="H494" s="31">
        <f t="shared" si="27"/>
        <v>9421.487603</v>
      </c>
      <c r="I494" s="21"/>
      <c r="J494" s="50">
        <v>11400.0</v>
      </c>
      <c r="K494" s="95">
        <v>0.37</v>
      </c>
      <c r="L494" s="33">
        <f>IF('Global Precios'!J494*(1-I494)*(1+'Global Precios'!K494)&gt;10000,MROUND('Global Precios'!J494*(1-I494)*(1+'Global Precios'!K494),1000),MROUND('Global Precios'!J494*(1-I494)*(1+'Global Precios'!K494),500))</f>
        <v>16000</v>
      </c>
      <c r="M494" s="50">
        <v>2.0</v>
      </c>
      <c r="N494" s="50" t="s">
        <v>1823</v>
      </c>
      <c r="O494" s="21"/>
      <c r="P494" s="115">
        <v>45748.0</v>
      </c>
      <c r="Q494" s="21">
        <f t="shared" si="7"/>
        <v>32</v>
      </c>
      <c r="R494" s="50">
        <v>30.0</v>
      </c>
      <c r="S494" s="21"/>
      <c r="T494" s="41" t="str">
        <f>IFERROR(VLOOKUP(D494,BUSCARV!$A$1:$C$5524,2,0),"")</f>
        <v/>
      </c>
      <c r="U494" s="42"/>
      <c r="V494" s="42" t="str">
        <f t="shared" si="3"/>
        <v/>
      </c>
      <c r="W494" s="44" t="str">
        <f t="shared" si="4"/>
        <v/>
      </c>
      <c r="X494" s="44"/>
      <c r="Y494" s="45">
        <f>IFERROR(VLOOKUP(A494,'BuscarV Stock'!$A$1:$C$422,3,0),0)</f>
        <v>0</v>
      </c>
      <c r="Z494" s="46" t="s">
        <v>449</v>
      </c>
      <c r="AA494" s="46"/>
    </row>
    <row r="495">
      <c r="A495" s="125" t="s">
        <v>4502</v>
      </c>
      <c r="B495" s="21"/>
      <c r="C495" s="19" t="s">
        <v>3</v>
      </c>
      <c r="D495" s="114" t="s">
        <v>4503</v>
      </c>
      <c r="E495" s="50" t="s">
        <v>4501</v>
      </c>
      <c r="F495" s="50" t="s">
        <v>1795</v>
      </c>
      <c r="G495" s="50" t="s">
        <v>2316</v>
      </c>
      <c r="H495" s="31">
        <f t="shared" si="27"/>
        <v>8842.975207</v>
      </c>
      <c r="I495" s="21"/>
      <c r="J495" s="50">
        <v>10700.0</v>
      </c>
      <c r="K495" s="95">
        <v>0.37</v>
      </c>
      <c r="L495" s="33">
        <f>IF('Global Precios'!J495*(1-I495)*(1+'Global Precios'!K495)&gt;10000,MROUND('Global Precios'!J495*(1-I495)*(1+'Global Precios'!K495),1000),MROUND('Global Precios'!J495*(1-I495)*(1+'Global Precios'!K495),500))</f>
        <v>15000</v>
      </c>
      <c r="M495" s="50">
        <v>2.0</v>
      </c>
      <c r="N495" s="50" t="s">
        <v>1823</v>
      </c>
      <c r="O495" s="21"/>
      <c r="P495" s="115">
        <v>45748.0</v>
      </c>
      <c r="Q495" s="21">
        <f t="shared" si="7"/>
        <v>33</v>
      </c>
      <c r="R495" s="50">
        <v>30.0</v>
      </c>
      <c r="S495" s="21"/>
      <c r="T495" s="41" t="str">
        <f>IFERROR(VLOOKUP(D495,BUSCARV!$A$1:$C$5524,2,0),"")</f>
        <v/>
      </c>
      <c r="U495" s="42"/>
      <c r="V495" s="42" t="str">
        <f t="shared" si="3"/>
        <v/>
      </c>
      <c r="W495" s="44" t="str">
        <f t="shared" si="4"/>
        <v/>
      </c>
      <c r="X495" s="44"/>
      <c r="Y495" s="45">
        <f>IFERROR(VLOOKUP(A495,'BuscarV Stock'!$A$1:$C$422,3,0),0)</f>
        <v>0</v>
      </c>
      <c r="Z495" s="46" t="s">
        <v>449</v>
      </c>
      <c r="AA495" s="46"/>
    </row>
    <row r="496">
      <c r="A496" s="125" t="s">
        <v>4504</v>
      </c>
      <c r="B496" s="21"/>
      <c r="C496" s="19" t="s">
        <v>3</v>
      </c>
      <c r="D496" s="110" t="s">
        <v>4505</v>
      </c>
      <c r="E496" s="50" t="s">
        <v>4506</v>
      </c>
      <c r="F496" s="50" t="s">
        <v>2308</v>
      </c>
      <c r="G496" s="50" t="s">
        <v>2350</v>
      </c>
      <c r="H496" s="31">
        <f t="shared" si="27"/>
        <v>7438.016529</v>
      </c>
      <c r="I496" s="21"/>
      <c r="J496" s="50">
        <v>9000.0</v>
      </c>
      <c r="K496" s="95">
        <v>0.8</v>
      </c>
      <c r="L496" s="123">
        <f>IF('Global Precios'!J496*(1-I496)*(1+'Global Precios'!K496)&gt;1000,MROUND('Global Precios'!J496*(1-I496)*(1+'Global Precios'!K496),100),MROUND('Global Precios'!J496*(1-I496)*(1+'Global Precios'!K496),10))</f>
        <v>16200</v>
      </c>
      <c r="M496" s="50">
        <v>1.0</v>
      </c>
      <c r="N496" s="50" t="s">
        <v>4383</v>
      </c>
      <c r="O496" s="21"/>
      <c r="P496" s="35">
        <v>45870.0</v>
      </c>
      <c r="Q496" s="21">
        <f t="shared" si="7"/>
        <v>40</v>
      </c>
      <c r="R496" s="50">
        <v>30.0</v>
      </c>
      <c r="S496" s="21"/>
      <c r="T496" s="41" t="str">
        <f>IFERROR(VLOOKUP(D496,BUSCARV!$A$1:$C$5524,2,0),"")</f>
        <v/>
      </c>
      <c r="U496" s="42"/>
      <c r="V496" s="42" t="str">
        <f t="shared" si="3"/>
        <v/>
      </c>
      <c r="W496" s="44" t="str">
        <f t="shared" si="4"/>
        <v/>
      </c>
      <c r="X496" s="44"/>
      <c r="Y496" s="45">
        <f>IFERROR(VLOOKUP(A496,'BuscarV Stock'!$A$1:$C$422,3,0),0)</f>
        <v>0</v>
      </c>
      <c r="Z496" s="46" t="s">
        <v>449</v>
      </c>
      <c r="AA496" s="46"/>
    </row>
    <row r="497">
      <c r="A497" s="125" t="s">
        <v>4507</v>
      </c>
      <c r="B497" s="21"/>
      <c r="C497" s="19" t="s">
        <v>3</v>
      </c>
      <c r="D497" s="114" t="s">
        <v>4508</v>
      </c>
      <c r="E497" s="50" t="s">
        <v>4506</v>
      </c>
      <c r="F497" s="50" t="s">
        <v>2308</v>
      </c>
      <c r="G497" s="50" t="s">
        <v>2350</v>
      </c>
      <c r="H497" s="31">
        <f t="shared" si="27"/>
        <v>10743.80165</v>
      </c>
      <c r="I497" s="21"/>
      <c r="J497" s="50">
        <v>13000.0</v>
      </c>
      <c r="K497" s="95">
        <v>0.8</v>
      </c>
      <c r="L497" s="123">
        <f>IF('Global Precios'!J497*(1-I497)*(1+'Global Precios'!K497)&gt;1000,MROUND('Global Precios'!J497*(1-I497)*(1+'Global Precios'!K497),100),MROUND('Global Precios'!J497*(1-I497)*(1+'Global Precios'!K497),10))</f>
        <v>23400</v>
      </c>
      <c r="M497" s="50">
        <v>1.0</v>
      </c>
      <c r="N497" s="50" t="s">
        <v>4383</v>
      </c>
      <c r="O497" s="21"/>
      <c r="P497" s="35">
        <v>45870.0</v>
      </c>
      <c r="Q497" s="21">
        <f t="shared" si="7"/>
        <v>39</v>
      </c>
      <c r="R497" s="50">
        <v>30.0</v>
      </c>
      <c r="S497" s="21"/>
      <c r="T497" s="41" t="str">
        <f>IFERROR(VLOOKUP(D497,BUSCARV!$A$1:$C$5524,2,0),"")</f>
        <v/>
      </c>
      <c r="U497" s="42"/>
      <c r="V497" s="42" t="str">
        <f t="shared" si="3"/>
        <v/>
      </c>
      <c r="W497" s="44" t="str">
        <f t="shared" si="4"/>
        <v/>
      </c>
      <c r="X497" s="44"/>
      <c r="Y497" s="45">
        <f>IFERROR(VLOOKUP(A497,'BuscarV Stock'!$A$1:$C$422,3,0),0)</f>
        <v>0</v>
      </c>
      <c r="Z497" s="46" t="s">
        <v>449</v>
      </c>
      <c r="AA497" s="46"/>
    </row>
    <row r="498">
      <c r="A498" s="125" t="s">
        <v>4509</v>
      </c>
      <c r="B498" s="21"/>
      <c r="C498" s="19" t="s">
        <v>3</v>
      </c>
      <c r="D498" s="122" t="s">
        <v>4510</v>
      </c>
      <c r="E498" s="50" t="s">
        <v>4506</v>
      </c>
      <c r="F498" s="50" t="s">
        <v>2308</v>
      </c>
      <c r="G498" s="50" t="s">
        <v>2350</v>
      </c>
      <c r="H498" s="31">
        <f t="shared" si="27"/>
        <v>12396.69421</v>
      </c>
      <c r="I498" s="21"/>
      <c r="J498" s="50">
        <v>15000.0</v>
      </c>
      <c r="K498" s="95">
        <v>0.8</v>
      </c>
      <c r="L498" s="123">
        <f>IF('Global Precios'!J498*(1-I498)*(1+'Global Precios'!K498)&gt;1000,MROUND('Global Precios'!J498*(1-I498)*(1+'Global Precios'!K498),100),MROUND('Global Precios'!J498*(1-I498)*(1+'Global Precios'!K498),10))</f>
        <v>27000</v>
      </c>
      <c r="M498" s="50">
        <v>1.0</v>
      </c>
      <c r="N498" s="50" t="s">
        <v>4383</v>
      </c>
      <c r="O498" s="21"/>
      <c r="P498" s="35">
        <v>45870.0</v>
      </c>
      <c r="Q498" s="21">
        <f t="shared" si="7"/>
        <v>39</v>
      </c>
      <c r="R498" s="50">
        <v>30.0</v>
      </c>
      <c r="S498" s="21"/>
      <c r="T498" s="41" t="str">
        <f>IFERROR(VLOOKUP(D498,BUSCARV!$A$1:$C$5524,2,0),"")</f>
        <v/>
      </c>
      <c r="U498" s="42"/>
      <c r="V498" s="42" t="str">
        <f t="shared" si="3"/>
        <v/>
      </c>
      <c r="W498" s="44" t="str">
        <f t="shared" si="4"/>
        <v/>
      </c>
      <c r="X498" s="44"/>
      <c r="Y498" s="45">
        <f>IFERROR(VLOOKUP(A498,'BuscarV Stock'!$A$1:$C$422,3,0),0)</f>
        <v>0</v>
      </c>
      <c r="Z498" s="46" t="s">
        <v>449</v>
      </c>
      <c r="AA498" s="46"/>
    </row>
    <row r="499">
      <c r="A499" s="125" t="s">
        <v>4511</v>
      </c>
      <c r="B499" s="21"/>
      <c r="C499" s="19" t="s">
        <v>3</v>
      </c>
      <c r="D499" s="122" t="s">
        <v>4512</v>
      </c>
      <c r="E499" s="50" t="s">
        <v>4506</v>
      </c>
      <c r="F499" s="50" t="s">
        <v>2308</v>
      </c>
      <c r="G499" s="50" t="s">
        <v>2350</v>
      </c>
      <c r="H499" s="31">
        <f t="shared" si="27"/>
        <v>6859.504132</v>
      </c>
      <c r="I499" s="21"/>
      <c r="J499" s="50">
        <v>8300.0</v>
      </c>
      <c r="K499" s="95">
        <v>0.8</v>
      </c>
      <c r="L499" s="123">
        <f>IF('Global Precios'!J499*(1-I499)*(1+'Global Precios'!K499)&gt;1000,MROUND('Global Precios'!J499*(1-I499)*(1+'Global Precios'!K499),100),MROUND('Global Precios'!J499*(1-I499)*(1+'Global Precios'!K499),10))</f>
        <v>14900</v>
      </c>
      <c r="M499" s="50">
        <v>1.0</v>
      </c>
      <c r="N499" s="50" t="s">
        <v>4383</v>
      </c>
      <c r="O499" s="21"/>
      <c r="P499" s="35">
        <v>45870.0</v>
      </c>
      <c r="Q499" s="21">
        <f t="shared" si="7"/>
        <v>41</v>
      </c>
      <c r="R499" s="50">
        <v>30.0</v>
      </c>
      <c r="S499" s="21"/>
      <c r="T499" s="41" t="str">
        <f>IFERROR(VLOOKUP(D499,BUSCARV!$A$1:$C$5524,2,0),"")</f>
        <v/>
      </c>
      <c r="U499" s="42"/>
      <c r="V499" s="42" t="str">
        <f t="shared" si="3"/>
        <v/>
      </c>
      <c r="W499" s="44" t="str">
        <f t="shared" si="4"/>
        <v/>
      </c>
      <c r="X499" s="44"/>
      <c r="Y499" s="45">
        <f>IFERROR(VLOOKUP(A499,'BuscarV Stock'!$A$1:$C$422,3,0),0)</f>
        <v>0</v>
      </c>
      <c r="Z499" s="46" t="s">
        <v>449</v>
      </c>
      <c r="AA499" s="46"/>
    </row>
    <row r="500">
      <c r="A500" s="125" t="s">
        <v>4513</v>
      </c>
      <c r="B500" s="21"/>
      <c r="C500" s="19" t="s">
        <v>3</v>
      </c>
      <c r="D500" s="114" t="s">
        <v>4514</v>
      </c>
      <c r="E500" s="21"/>
      <c r="F500" s="50" t="s">
        <v>1982</v>
      </c>
      <c r="G500" s="50" t="s">
        <v>2371</v>
      </c>
      <c r="H500" s="31">
        <f t="shared" si="27"/>
        <v>11949.58678</v>
      </c>
      <c r="I500" s="21"/>
      <c r="J500" s="50">
        <v>14459.0</v>
      </c>
      <c r="K500" s="60">
        <v>0.6</v>
      </c>
      <c r="L500" s="33">
        <f>IF('Global Precios'!J500*(1-I500)*(1+'Global Precios'!K500)&gt;10000,MROUND('Global Precios'!J500*(1-I500)*(1+'Global Precios'!K500),1000),MROUND('Global Precios'!J500*(1-I500)*(1+'Global Precios'!K500),500))</f>
        <v>23000</v>
      </c>
      <c r="M500" s="50">
        <v>1.0</v>
      </c>
      <c r="N500" s="50" t="s">
        <v>46</v>
      </c>
      <c r="O500" s="21"/>
      <c r="P500" s="35">
        <v>45839.0</v>
      </c>
      <c r="Q500" s="21">
        <f t="shared" si="7"/>
        <v>30</v>
      </c>
      <c r="R500" s="50">
        <v>30.0</v>
      </c>
      <c r="S500" s="21"/>
      <c r="T500" s="41" t="str">
        <f>IFERROR(VLOOKUP(D500,BUSCARV!$A$1:$C$5524,2,0),"")</f>
        <v/>
      </c>
      <c r="U500" s="42"/>
      <c r="V500" s="42" t="str">
        <f t="shared" si="3"/>
        <v/>
      </c>
      <c r="W500" s="44" t="str">
        <f t="shared" si="4"/>
        <v/>
      </c>
      <c r="X500" s="44"/>
      <c r="Y500" s="45">
        <f>IFERROR(VLOOKUP(A500,'BuscarV Stock'!$A$1:$C$422,3,0),0)</f>
        <v>0</v>
      </c>
      <c r="Z500" s="46" t="s">
        <v>449</v>
      </c>
      <c r="AA500" s="46" t="s">
        <v>4515</v>
      </c>
    </row>
    <row r="501">
      <c r="A501" s="125" t="s">
        <v>4516</v>
      </c>
      <c r="B501" s="21"/>
      <c r="C501" s="19" t="s">
        <v>3</v>
      </c>
      <c r="D501" s="114" t="s">
        <v>4517</v>
      </c>
      <c r="E501" s="50" t="s">
        <v>2828</v>
      </c>
      <c r="F501" s="50" t="s">
        <v>1795</v>
      </c>
      <c r="G501" s="50" t="s">
        <v>2321</v>
      </c>
      <c r="H501" s="31">
        <f t="shared" si="27"/>
        <v>76033.05785</v>
      </c>
      <c r="I501" s="56">
        <v>0.065</v>
      </c>
      <c r="J501" s="50">
        <v>92000.0</v>
      </c>
      <c r="K501" s="95">
        <v>0.33</v>
      </c>
      <c r="L501" s="33">
        <f>IF('Global Precios'!J501*(1-I501)*(1+'Global Precios'!K501)&gt;10000,MROUND('Global Precios'!J501*(1-I501)*(1+'Global Precios'!K501),1000),MROUND('Global Precios'!J501*(1-I501)*(1+'Global Precios'!K501),500))</f>
        <v>114000</v>
      </c>
      <c r="M501" s="50">
        <v>15.0</v>
      </c>
      <c r="N501" s="50" t="s">
        <v>1823</v>
      </c>
      <c r="O501" s="21"/>
      <c r="P501" s="115">
        <v>46174.0</v>
      </c>
      <c r="Q501" s="21">
        <f t="shared" si="7"/>
        <v>27</v>
      </c>
      <c r="R501" s="50">
        <v>30.0</v>
      </c>
      <c r="S501" s="21"/>
      <c r="T501" s="41" t="str">
        <f>IFERROR(VLOOKUP(D501,BUSCARV!$A$1:$C$5524,2,0),"")</f>
        <v/>
      </c>
      <c r="U501" s="42"/>
      <c r="V501" s="42" t="str">
        <f t="shared" si="3"/>
        <v/>
      </c>
      <c r="W501" s="44" t="str">
        <f t="shared" si="4"/>
        <v/>
      </c>
      <c r="X501" s="44"/>
      <c r="Y501" s="45">
        <f>IFERROR(VLOOKUP(A501,'BuscarV Stock'!$A$1:$C$422,3,0),0)</f>
        <v>0</v>
      </c>
      <c r="Z501" s="46" t="s">
        <v>1075</v>
      </c>
      <c r="AA501" s="46"/>
    </row>
    <row r="502">
      <c r="A502" s="125" t="s">
        <v>4518</v>
      </c>
      <c r="B502" s="21"/>
      <c r="C502" s="19" t="s">
        <v>3</v>
      </c>
      <c r="D502" s="114" t="s">
        <v>4519</v>
      </c>
      <c r="E502" s="50" t="s">
        <v>2828</v>
      </c>
      <c r="F502" s="50" t="s">
        <v>1795</v>
      </c>
      <c r="G502" s="50" t="s">
        <v>2321</v>
      </c>
      <c r="H502" s="31">
        <f t="shared" si="27"/>
        <v>45454.54545</v>
      </c>
      <c r="I502" s="56">
        <v>0.065</v>
      </c>
      <c r="J502" s="19">
        <v>55000.0</v>
      </c>
      <c r="K502" s="95">
        <v>0.33</v>
      </c>
      <c r="L502" s="33">
        <f>IF('Global Precios'!J502*(1-I502)*(1+'Global Precios'!K502)&gt;10000,MROUND('Global Precios'!J502*(1-I502)*(1+'Global Precios'!K502),1000),MROUND('Global Precios'!J502*(1-I502)*(1+'Global Precios'!K502),500))</f>
        <v>68000</v>
      </c>
      <c r="M502" s="50">
        <v>7.0</v>
      </c>
      <c r="N502" s="50" t="s">
        <v>1823</v>
      </c>
      <c r="O502" s="21"/>
      <c r="P502" s="115">
        <v>46174.0</v>
      </c>
      <c r="Q502" s="21">
        <f t="shared" si="7"/>
        <v>30</v>
      </c>
      <c r="R502" s="50">
        <v>30.0</v>
      </c>
      <c r="S502" s="21"/>
      <c r="T502" s="41" t="str">
        <f>IFERROR(VLOOKUP(D502,BUSCARV!$A$1:$C$5524,2,0),"")</f>
        <v/>
      </c>
      <c r="U502" s="42"/>
      <c r="V502" s="42" t="str">
        <f t="shared" si="3"/>
        <v/>
      </c>
      <c r="W502" s="44" t="str">
        <f t="shared" si="4"/>
        <v/>
      </c>
      <c r="X502" s="44"/>
      <c r="Y502" s="45">
        <f>IFERROR(VLOOKUP(A502,'BuscarV Stock'!$A$1:$C$422,3,0),0)</f>
        <v>0</v>
      </c>
      <c r="Z502" s="46" t="s">
        <v>1075</v>
      </c>
      <c r="AA502" s="46"/>
    </row>
    <row r="503">
      <c r="A503" s="125" t="s">
        <v>4520</v>
      </c>
      <c r="B503" s="21"/>
      <c r="C503" s="19" t="s">
        <v>3</v>
      </c>
      <c r="D503" s="114" t="s">
        <v>2764</v>
      </c>
      <c r="E503" s="50" t="s">
        <v>4521</v>
      </c>
      <c r="F503" s="50" t="s">
        <v>2308</v>
      </c>
      <c r="G503" s="50" t="s">
        <v>2348</v>
      </c>
      <c r="H503" s="31">
        <f t="shared" si="27"/>
        <v>3911.570248</v>
      </c>
      <c r="I503" s="21"/>
      <c r="J503" s="19">
        <v>4733.0</v>
      </c>
      <c r="K503" s="60">
        <v>0.8</v>
      </c>
      <c r="L503" s="33">
        <f>IF('Global Precios'!J503*(1-I503)*(1+'Global Precios'!K503)&gt;10000,MROUND('Global Precios'!J503*(1-I503)*(1+'Global Precios'!K503),1000),MROUND('Global Precios'!J503*(1-I503)*(1+'Global Precios'!K503),500))</f>
        <v>8500</v>
      </c>
      <c r="M503" s="50">
        <v>10.0</v>
      </c>
      <c r="N503" s="50" t="s">
        <v>2496</v>
      </c>
      <c r="O503" s="21"/>
      <c r="P503" s="35">
        <v>45839.0</v>
      </c>
      <c r="Q503" s="21">
        <f t="shared" si="7"/>
        <v>18</v>
      </c>
      <c r="R503" s="50">
        <v>30.0</v>
      </c>
      <c r="S503" s="21"/>
      <c r="T503" s="41">
        <f>IFERROR(VLOOKUP(D503,BUSCARV!$A$1:$C$5524,2,0),"")</f>
        <v>4733</v>
      </c>
      <c r="U503" s="42"/>
      <c r="V503" s="42">
        <f t="shared" si="3"/>
        <v>4733</v>
      </c>
      <c r="W503" s="44">
        <f t="shared" si="4"/>
        <v>0</v>
      </c>
      <c r="X503" s="44"/>
      <c r="Y503" s="45">
        <f>IFERROR(VLOOKUP(A503,'BuscarV Stock'!$A$1:$C$422,3,0),0)</f>
        <v>0</v>
      </c>
      <c r="Z503" s="46" t="s">
        <v>449</v>
      </c>
      <c r="AA503" s="46"/>
    </row>
    <row r="504">
      <c r="A504" s="125" t="s">
        <v>4522</v>
      </c>
      <c r="B504" s="21"/>
      <c r="C504" s="19" t="s">
        <v>3</v>
      </c>
      <c r="D504" s="114" t="s">
        <v>4523</v>
      </c>
      <c r="E504" s="50" t="s">
        <v>4501</v>
      </c>
      <c r="F504" s="50" t="s">
        <v>1795</v>
      </c>
      <c r="G504" s="50" t="s">
        <v>2316</v>
      </c>
      <c r="H504" s="31">
        <f t="shared" si="27"/>
        <v>43471.07438</v>
      </c>
      <c r="I504" s="21"/>
      <c r="J504" s="50">
        <v>52600.0</v>
      </c>
      <c r="K504" s="95">
        <v>0.37</v>
      </c>
      <c r="L504" s="33">
        <f>IF('Global Precios'!J504*(1-I504)*(1+'Global Precios'!K504)&gt;10000,MROUND('Global Precios'!J504*(1-I504)*(1+'Global Precios'!K504),1000),MROUND('Global Precios'!J504*(1-I504)*(1+'Global Precios'!K504),500))</f>
        <v>72000</v>
      </c>
      <c r="M504" s="50">
        <v>10.0</v>
      </c>
      <c r="N504" s="50" t="s">
        <v>1823</v>
      </c>
      <c r="O504" s="21"/>
      <c r="P504" s="115">
        <v>45748.0</v>
      </c>
      <c r="Q504" s="21">
        <f t="shared" si="7"/>
        <v>40</v>
      </c>
      <c r="R504" s="50">
        <v>30.0</v>
      </c>
      <c r="S504" s="21"/>
      <c r="T504" s="41" t="str">
        <f>IFERROR(VLOOKUP(D504,BUSCARV!$A$1:$C$5524,2,0),"")</f>
        <v/>
      </c>
      <c r="U504" s="42"/>
      <c r="V504" s="42" t="str">
        <f t="shared" si="3"/>
        <v/>
      </c>
      <c r="W504" s="44" t="str">
        <f t="shared" si="4"/>
        <v/>
      </c>
      <c r="X504" s="44"/>
      <c r="Y504" s="45">
        <f>IFERROR(VLOOKUP(A504,'BuscarV Stock'!$A$1:$C$422,3,0),0)</f>
        <v>0</v>
      </c>
      <c r="Z504" s="46" t="s">
        <v>449</v>
      </c>
      <c r="AA504" s="46"/>
    </row>
    <row r="505">
      <c r="A505" s="125" t="s">
        <v>4524</v>
      </c>
      <c r="B505" s="21"/>
      <c r="C505" s="19" t="s">
        <v>3</v>
      </c>
      <c r="D505" s="114" t="s">
        <v>4525</v>
      </c>
      <c r="E505" s="50" t="s">
        <v>4457</v>
      </c>
      <c r="F505" s="50" t="s">
        <v>2308</v>
      </c>
      <c r="G505" s="50" t="s">
        <v>2325</v>
      </c>
      <c r="H505" s="31">
        <f t="shared" si="27"/>
        <v>2714.876033</v>
      </c>
      <c r="I505" s="21"/>
      <c r="J505" s="50">
        <v>3285.0</v>
      </c>
      <c r="K505" s="95">
        <v>0.8</v>
      </c>
      <c r="L505" s="33">
        <f>IF('Global Precios'!J505*(1-I505)*(1+'Global Precios'!K505)&gt;10000,MROUND('Global Precios'!J505*(1-I505)*(1+'Global Precios'!K505),1000),MROUND('Global Precios'!J505*(1-I505)*(1+'Global Precios'!K505),500))</f>
        <v>6000</v>
      </c>
      <c r="M505" s="50">
        <v>7.0</v>
      </c>
      <c r="N505" s="50" t="s">
        <v>4383</v>
      </c>
      <c r="O505" s="21"/>
      <c r="P505" s="35">
        <v>46023.0</v>
      </c>
      <c r="Q505" s="21">
        <f t="shared" si="7"/>
        <v>29</v>
      </c>
      <c r="R505" s="50">
        <v>30.0</v>
      </c>
      <c r="S505" s="21"/>
      <c r="T505" s="41" t="str">
        <f>IFERROR(VLOOKUP(D505,BUSCARV!$A$1:$C$5524,2,0),"")</f>
        <v/>
      </c>
      <c r="U505" s="42"/>
      <c r="V505" s="42" t="str">
        <f t="shared" si="3"/>
        <v/>
      </c>
      <c r="W505" s="44" t="str">
        <f t="shared" si="4"/>
        <v/>
      </c>
      <c r="X505" s="44"/>
      <c r="Y505" s="45">
        <f>IFERROR(VLOOKUP(A505,'BuscarV Stock'!$A$1:$C$422,3,0),0)</f>
        <v>0</v>
      </c>
      <c r="Z505" s="46" t="s">
        <v>449</v>
      </c>
      <c r="AA505" s="46"/>
    </row>
    <row r="506">
      <c r="A506" s="125" t="s">
        <v>4526</v>
      </c>
      <c r="B506" s="21"/>
      <c r="C506" s="19" t="s">
        <v>3</v>
      </c>
      <c r="D506" s="50" t="s">
        <v>4527</v>
      </c>
      <c r="E506" s="50" t="s">
        <v>4345</v>
      </c>
      <c r="F506" s="50" t="s">
        <v>1795</v>
      </c>
      <c r="G506" s="50" t="s">
        <v>2316</v>
      </c>
      <c r="H506" s="31">
        <f t="shared" si="27"/>
        <v>13101.65289</v>
      </c>
      <c r="I506" s="21"/>
      <c r="J506" s="50">
        <v>15853.0</v>
      </c>
      <c r="K506" s="95">
        <v>0.3</v>
      </c>
      <c r="L506" s="33">
        <f>IF('Global Precios'!J506*(1-I506)*(1+'Global Precios'!K506)&gt;10000,MROUND('Global Precios'!J506*(1-I506)*(1+'Global Precios'!K506),1000),MROUND('Global Precios'!J506*(1-I506)*(1+'Global Precios'!K506),500))</f>
        <v>21000</v>
      </c>
      <c r="M506" s="50">
        <v>3.0</v>
      </c>
      <c r="N506" s="50" t="s">
        <v>1823</v>
      </c>
      <c r="O506" s="21"/>
      <c r="P506" s="115">
        <v>45839.0</v>
      </c>
      <c r="Q506" s="21">
        <f t="shared" si="7"/>
        <v>29</v>
      </c>
      <c r="R506" s="50">
        <v>30.0</v>
      </c>
      <c r="S506" s="21"/>
      <c r="T506" s="41" t="str">
        <f>IFERROR(VLOOKUP(D506,BUSCARV!$A$1:$C$5524,2,0),"")</f>
        <v/>
      </c>
      <c r="U506" s="42"/>
      <c r="V506" s="42" t="str">
        <f t="shared" si="3"/>
        <v/>
      </c>
      <c r="W506" s="44" t="str">
        <f t="shared" si="4"/>
        <v/>
      </c>
      <c r="X506" s="44"/>
      <c r="Y506" s="45">
        <f>IFERROR(VLOOKUP(A506,'BuscarV Stock'!$A$1:$C$422,3,0),0)</f>
        <v>0</v>
      </c>
      <c r="Z506" s="46" t="s">
        <v>449</v>
      </c>
      <c r="AA506" s="46"/>
    </row>
    <row r="507">
      <c r="A507" s="125" t="s">
        <v>4528</v>
      </c>
      <c r="B507" s="21"/>
      <c r="C507" s="19" t="s">
        <v>3</v>
      </c>
      <c r="D507" s="19" t="s">
        <v>3015</v>
      </c>
      <c r="E507" s="50" t="s">
        <v>4432</v>
      </c>
      <c r="F507" s="50" t="s">
        <v>2308</v>
      </c>
      <c r="G507" s="50" t="s">
        <v>2316</v>
      </c>
      <c r="H507" s="31">
        <f t="shared" si="27"/>
        <v>25855.3719</v>
      </c>
      <c r="I507" s="21"/>
      <c r="J507" s="19">
        <v>31285.0</v>
      </c>
      <c r="K507" s="60">
        <v>0.7</v>
      </c>
      <c r="L507" s="33">
        <f>IF('Global Precios'!J507*(1-I507)*(1+'Global Precios'!K507)&gt;10000,MROUND('Global Precios'!J507*(1-I507)*(1+'Global Precios'!K507),1000),MROUND('Global Precios'!J507*(1-I507)*(1+'Global Precios'!K507),500))</f>
        <v>53000</v>
      </c>
      <c r="M507" s="50">
        <v>1.0</v>
      </c>
      <c r="N507" s="50" t="s">
        <v>46</v>
      </c>
      <c r="O507" s="21"/>
      <c r="P507" s="35">
        <v>45839.0</v>
      </c>
      <c r="Q507" s="21">
        <f t="shared" si="7"/>
        <v>32</v>
      </c>
      <c r="R507" s="50">
        <v>30.0</v>
      </c>
      <c r="S507" s="21"/>
      <c r="T507" s="41">
        <f>IFERROR(VLOOKUP(D507,BUSCARV!$A$1:$C$5524,2,0),"")</f>
        <v>31285</v>
      </c>
      <c r="U507" s="42"/>
      <c r="V507" s="42">
        <f t="shared" si="3"/>
        <v>31285</v>
      </c>
      <c r="W507" s="44">
        <f t="shared" si="4"/>
        <v>0</v>
      </c>
      <c r="X507" s="44"/>
      <c r="Y507" s="45">
        <f>IFERROR(VLOOKUP(A507,'BuscarV Stock'!$A$1:$C$422,3,0),0)</f>
        <v>0</v>
      </c>
      <c r="Z507" s="46" t="s">
        <v>449</v>
      </c>
      <c r="AA507" s="46"/>
    </row>
    <row r="508">
      <c r="A508" s="125" t="s">
        <v>4529</v>
      </c>
      <c r="B508" s="21"/>
      <c r="C508" s="19" t="s">
        <v>3</v>
      </c>
      <c r="D508" s="50" t="s">
        <v>4530</v>
      </c>
      <c r="E508" s="50" t="s">
        <v>4345</v>
      </c>
      <c r="F508" s="50" t="s">
        <v>1795</v>
      </c>
      <c r="G508" s="50" t="s">
        <v>2316</v>
      </c>
      <c r="H508" s="31">
        <f t="shared" si="27"/>
        <v>8184.297521</v>
      </c>
      <c r="I508" s="21"/>
      <c r="J508" s="50">
        <v>9903.0</v>
      </c>
      <c r="K508" s="95">
        <v>0.3</v>
      </c>
      <c r="L508" s="123">
        <f>IF('Global Precios'!J508*(1-I508)*(1+'Global Precios'!K508)&gt;1000,MROUND('Global Precios'!J508*(1-I508)*(1+'Global Precios'!K508),100),MROUND('Global Precios'!J508*(1-I508)*(1+'Global Precios'!K508),10))</f>
        <v>12900</v>
      </c>
      <c r="M508" s="50">
        <v>3.0</v>
      </c>
      <c r="N508" s="50" t="s">
        <v>1823</v>
      </c>
      <c r="O508" s="21"/>
      <c r="P508" s="115">
        <v>45323.0</v>
      </c>
      <c r="Q508" s="21">
        <f t="shared" si="7"/>
        <v>24</v>
      </c>
      <c r="R508" s="50">
        <v>30.0</v>
      </c>
      <c r="S508" s="21"/>
      <c r="T508" s="41" t="str">
        <f>IFERROR(VLOOKUP(D508,BUSCARV!$A$1:$C$5524,2,0),"")</f>
        <v/>
      </c>
      <c r="U508" s="42"/>
      <c r="V508" s="42" t="str">
        <f t="shared" si="3"/>
        <v/>
      </c>
      <c r="W508" s="44" t="str">
        <f t="shared" si="4"/>
        <v/>
      </c>
      <c r="X508" s="44"/>
      <c r="Y508" s="45">
        <f>IFERROR(VLOOKUP(A508,'BuscarV Stock'!$A$1:$C$422,3,0),0)</f>
        <v>0</v>
      </c>
      <c r="Z508" s="46" t="s">
        <v>1075</v>
      </c>
      <c r="AA508" s="46"/>
    </row>
    <row r="509">
      <c r="A509" s="125" t="s">
        <v>4531</v>
      </c>
      <c r="B509" s="21"/>
      <c r="C509" s="19" t="s">
        <v>3</v>
      </c>
      <c r="D509" s="126" t="s">
        <v>4532</v>
      </c>
      <c r="E509" s="50" t="s">
        <v>4533</v>
      </c>
      <c r="F509" s="50" t="s">
        <v>2308</v>
      </c>
      <c r="G509" s="50" t="s">
        <v>2316</v>
      </c>
      <c r="H509" s="31">
        <f t="shared" si="27"/>
        <v>3214.876033</v>
      </c>
      <c r="I509" s="21"/>
      <c r="J509" s="50">
        <v>3890.0</v>
      </c>
      <c r="K509" s="95">
        <v>0.8</v>
      </c>
      <c r="L509" s="123">
        <f>IF('Global Precios'!J509*(1-I509)*(1+'Global Precios'!K509)&gt;1000,MROUND('Global Precios'!J509*(1-I509)*(1+'Global Precios'!K509),100),MROUND('Global Precios'!J509*(1-I509)*(1+'Global Precios'!K509),10))</f>
        <v>7000</v>
      </c>
      <c r="M509" s="50">
        <v>10.0</v>
      </c>
      <c r="N509" s="50" t="s">
        <v>4383</v>
      </c>
      <c r="O509" s="21"/>
      <c r="P509" s="35">
        <v>45839.0</v>
      </c>
      <c r="Q509" s="21">
        <f t="shared" si="7"/>
        <v>28</v>
      </c>
      <c r="R509" s="50">
        <v>30.0</v>
      </c>
      <c r="S509" s="21"/>
      <c r="T509" s="41" t="str">
        <f>IFERROR(VLOOKUP(D509,BUSCARV!$A$1:$C$5524,2,0),"")</f>
        <v/>
      </c>
      <c r="U509" s="42"/>
      <c r="V509" s="42" t="str">
        <f t="shared" si="3"/>
        <v/>
      </c>
      <c r="W509" s="44" t="str">
        <f t="shared" si="4"/>
        <v/>
      </c>
      <c r="X509" s="44"/>
      <c r="Y509" s="45">
        <f>IFERROR(VLOOKUP(A509,'BuscarV Stock'!$A$1:$C$422,3,0),0)</f>
        <v>0</v>
      </c>
      <c r="Z509" s="46" t="s">
        <v>449</v>
      </c>
      <c r="AA509" s="46"/>
    </row>
    <row r="510">
      <c r="A510" s="125" t="s">
        <v>4534</v>
      </c>
      <c r="B510" s="21"/>
      <c r="C510" s="19" t="s">
        <v>3</v>
      </c>
      <c r="D510" s="50" t="s">
        <v>4535</v>
      </c>
      <c r="E510" s="50" t="s">
        <v>4536</v>
      </c>
      <c r="F510" s="50" t="s">
        <v>2308</v>
      </c>
      <c r="G510" s="50" t="s">
        <v>2316</v>
      </c>
      <c r="H510" s="31">
        <f t="shared" si="27"/>
        <v>13471.07438</v>
      </c>
      <c r="I510" s="21"/>
      <c r="J510" s="50">
        <v>16300.0</v>
      </c>
      <c r="K510" s="60">
        <v>0.7</v>
      </c>
      <c r="L510" s="33">
        <f>IF('Global Precios'!J510*(1-I510)*(1+'Global Precios'!K510)&gt;10000,MROUND('Global Precios'!J510*(1-I510)*(1+'Global Precios'!K510),1000),MROUND('Global Precios'!J510*(1-I510)*(1+'Global Precios'!K510),500))</f>
        <v>28000</v>
      </c>
      <c r="M510" s="50">
        <v>10.0</v>
      </c>
      <c r="N510" s="50" t="s">
        <v>4383</v>
      </c>
      <c r="O510" s="21"/>
      <c r="P510" s="35">
        <v>45962.0</v>
      </c>
      <c r="Q510" s="21">
        <f t="shared" si="7"/>
        <v>30</v>
      </c>
      <c r="R510" s="50">
        <v>30.0</v>
      </c>
      <c r="S510" s="21"/>
      <c r="T510" s="41" t="str">
        <f>IFERROR(VLOOKUP(D510,BUSCARV!$A$1:$C$5524,2,0),"")</f>
        <v/>
      </c>
      <c r="U510" s="42"/>
      <c r="V510" s="42" t="str">
        <f t="shared" si="3"/>
        <v/>
      </c>
      <c r="W510" s="44" t="str">
        <f t="shared" si="4"/>
        <v/>
      </c>
      <c r="X510" s="44"/>
      <c r="Y510" s="45">
        <f>IFERROR(VLOOKUP(A510,'BuscarV Stock'!$A$1:$C$422,3,0),0)</f>
        <v>0</v>
      </c>
      <c r="Z510" s="46" t="s">
        <v>449</v>
      </c>
      <c r="AA510" s="46"/>
    </row>
    <row r="511">
      <c r="A511" s="125" t="s">
        <v>4537</v>
      </c>
      <c r="B511" s="21"/>
      <c r="C511" s="19" t="s">
        <v>3</v>
      </c>
      <c r="D511" s="19" t="s">
        <v>4261</v>
      </c>
      <c r="E511" s="50" t="s">
        <v>4433</v>
      </c>
      <c r="F511" s="50" t="s">
        <v>2308</v>
      </c>
      <c r="G511" s="50" t="s">
        <v>2325</v>
      </c>
      <c r="H511" s="31">
        <f t="shared" si="27"/>
        <v>9151.239669</v>
      </c>
      <c r="I511" s="21"/>
      <c r="J511" s="19">
        <v>11073.0</v>
      </c>
      <c r="K511" s="60">
        <v>0.7</v>
      </c>
      <c r="L511" s="33">
        <f>IF('Global Precios'!J511*(1-I511)*(1+'Global Precios'!K511)&gt;10000,MROUND('Global Precios'!J511*(1-I511)*(1+'Global Precios'!K511),1000),MROUND('Global Precios'!J511*(1-I511)*(1+'Global Precios'!K511),500))</f>
        <v>19000</v>
      </c>
      <c r="M511" s="50">
        <v>30.0</v>
      </c>
      <c r="N511" s="50" t="s">
        <v>2496</v>
      </c>
      <c r="O511" s="21"/>
      <c r="P511" s="35">
        <v>45839.0</v>
      </c>
      <c r="Q511" s="21">
        <f t="shared" si="7"/>
        <v>16</v>
      </c>
      <c r="R511" s="50">
        <v>30.0</v>
      </c>
      <c r="S511" s="21"/>
      <c r="T511" s="41">
        <f>IFERROR(VLOOKUP(D511,BUSCARV!$A$1:$C$5524,2,0),"")</f>
        <v>11942</v>
      </c>
      <c r="U511" s="42"/>
      <c r="V511" s="42">
        <f t="shared" si="3"/>
        <v>11942</v>
      </c>
      <c r="W511" s="44">
        <f t="shared" si="4"/>
        <v>0.0784791836</v>
      </c>
      <c r="X511" s="44"/>
      <c r="Y511" s="45">
        <f>IFERROR(VLOOKUP(A511,'BuscarV Stock'!$A$1:$C$422,3,0),0)</f>
        <v>0</v>
      </c>
      <c r="Z511" s="46" t="s">
        <v>449</v>
      </c>
      <c r="AA511" s="46"/>
    </row>
    <row r="512">
      <c r="A512" s="125" t="s">
        <v>4538</v>
      </c>
      <c r="B512" s="21"/>
      <c r="C512" s="19" t="s">
        <v>3</v>
      </c>
      <c r="D512" s="50" t="s">
        <v>4539</v>
      </c>
      <c r="E512" s="50" t="s">
        <v>4454</v>
      </c>
      <c r="F512" s="50" t="s">
        <v>2308</v>
      </c>
      <c r="G512" s="50" t="s">
        <v>2325</v>
      </c>
      <c r="H512" s="31">
        <f t="shared" si="27"/>
        <v>5057.85124</v>
      </c>
      <c r="I512" s="21"/>
      <c r="J512" s="50">
        <v>6120.0</v>
      </c>
      <c r="K512" s="95">
        <v>0.8</v>
      </c>
      <c r="L512" s="33">
        <f>IF('Global Precios'!J512*(1-I512)*(1+'Global Precios'!K512)&gt;10000,MROUND('Global Precios'!J512*(1-I512)*(1+'Global Precios'!K512),1000),MROUND('Global Precios'!J512*(1-I512)*(1+'Global Precios'!K512),500))</f>
        <v>11000</v>
      </c>
      <c r="M512" s="50">
        <v>10.0</v>
      </c>
      <c r="N512" s="50" t="s">
        <v>4383</v>
      </c>
      <c r="O512" s="21"/>
      <c r="P512" s="35">
        <v>45839.0</v>
      </c>
      <c r="Q512" s="21">
        <f t="shared" si="7"/>
        <v>34</v>
      </c>
      <c r="R512" s="50">
        <v>30.0</v>
      </c>
      <c r="S512" s="21"/>
      <c r="T512" s="41" t="str">
        <f>IFERROR(VLOOKUP(D512,BUSCARV!$A$1:$C$5524,2,0),"")</f>
        <v/>
      </c>
      <c r="U512" s="42"/>
      <c r="V512" s="42" t="str">
        <f t="shared" si="3"/>
        <v/>
      </c>
      <c r="W512" s="44" t="str">
        <f t="shared" si="4"/>
        <v/>
      </c>
      <c r="X512" s="44"/>
      <c r="Y512" s="45">
        <f>IFERROR(VLOOKUP(A512,'BuscarV Stock'!$A$1:$C$422,3,0),0)</f>
        <v>0</v>
      </c>
      <c r="Z512" s="46" t="s">
        <v>449</v>
      </c>
      <c r="AA512" s="46"/>
    </row>
    <row r="513">
      <c r="A513" s="125" t="s">
        <v>4540</v>
      </c>
      <c r="B513" s="21"/>
      <c r="C513" s="19" t="s">
        <v>3</v>
      </c>
      <c r="D513" s="19" t="s">
        <v>2767</v>
      </c>
      <c r="E513" s="50" t="s">
        <v>4521</v>
      </c>
      <c r="F513" s="50" t="s">
        <v>2308</v>
      </c>
      <c r="G513" s="50" t="s">
        <v>2339</v>
      </c>
      <c r="H513" s="31">
        <f t="shared" si="27"/>
        <v>6125.619835</v>
      </c>
      <c r="I513" s="21"/>
      <c r="J513" s="19">
        <v>7412.0</v>
      </c>
      <c r="K513" s="60">
        <v>0.8</v>
      </c>
      <c r="L513" s="33">
        <f>IF('Global Precios'!J513*(1-I513)*(1+'Global Precios'!K513)&gt;10000,MROUND('Global Precios'!J513*(1-I513)*(1+'Global Precios'!K513),1000),MROUND('Global Precios'!J513*(1-I513)*(1+'Global Precios'!K513),500))</f>
        <v>13000</v>
      </c>
      <c r="M513" s="50">
        <v>100.0</v>
      </c>
      <c r="N513" s="50" t="s">
        <v>2496</v>
      </c>
      <c r="O513" s="21"/>
      <c r="P513" s="35">
        <v>45839.0</v>
      </c>
      <c r="Q513" s="21">
        <f t="shared" si="7"/>
        <v>24</v>
      </c>
      <c r="R513" s="50">
        <v>30.0</v>
      </c>
      <c r="S513" s="21"/>
      <c r="T513" s="41">
        <f>IFERROR(VLOOKUP(D513,BUSCARV!$A$1:$C$5524,2,0),"")</f>
        <v>7412</v>
      </c>
      <c r="U513" s="42"/>
      <c r="V513" s="42">
        <f t="shared" si="3"/>
        <v>7412</v>
      </c>
      <c r="W513" s="44">
        <f t="shared" si="4"/>
        <v>0</v>
      </c>
      <c r="X513" s="44"/>
      <c r="Y513" s="45">
        <f>IFERROR(VLOOKUP(A513,'BuscarV Stock'!$A$1:$C$422,3,0),0)</f>
        <v>0</v>
      </c>
      <c r="Z513" s="46" t="s">
        <v>449</v>
      </c>
      <c r="AA513" s="46"/>
    </row>
    <row r="514">
      <c r="A514" s="125" t="s">
        <v>4541</v>
      </c>
      <c r="B514" s="21"/>
      <c r="C514" s="19" t="s">
        <v>3</v>
      </c>
      <c r="D514" s="50" t="s">
        <v>4542</v>
      </c>
      <c r="E514" s="50" t="s">
        <v>4543</v>
      </c>
      <c r="F514" s="50" t="s">
        <v>204</v>
      </c>
      <c r="G514" s="50" t="s">
        <v>2356</v>
      </c>
      <c r="H514" s="31">
        <f t="shared" si="27"/>
        <v>11704.95868</v>
      </c>
      <c r="I514" s="21"/>
      <c r="J514" s="50">
        <v>14163.0</v>
      </c>
      <c r="K514" s="95">
        <v>0.0</v>
      </c>
      <c r="L514" s="33">
        <f>IF('Global Precios'!J514*(1-I514)*(1+'Global Precios'!K514)&gt;10000,MROUND('Global Precios'!J514*(1-I514)*(1+'Global Precios'!K514),1000),MROUND('Global Precios'!J514*(1-I514)*(1+'Global Precios'!K514),500))</f>
        <v>14000</v>
      </c>
      <c r="M514" s="50">
        <v>1.0</v>
      </c>
      <c r="N514" s="50" t="s">
        <v>46</v>
      </c>
      <c r="O514" s="21"/>
      <c r="P514" s="115">
        <v>45809.0</v>
      </c>
      <c r="Q514" s="21">
        <f t="shared" si="7"/>
        <v>16</v>
      </c>
      <c r="R514" s="37">
        <v>60.0</v>
      </c>
      <c r="S514" s="21"/>
      <c r="T514" s="41" t="str">
        <f>IFERROR(VLOOKUP(D514,BUSCARV!$A$1:$C$5524,2,0),"")</f>
        <v/>
      </c>
      <c r="U514" s="42"/>
      <c r="V514" s="42" t="str">
        <f t="shared" si="3"/>
        <v/>
      </c>
      <c r="W514" s="44" t="str">
        <f t="shared" si="4"/>
        <v/>
      </c>
      <c r="X514" s="44"/>
      <c r="Y514" s="45">
        <f>IFERROR(VLOOKUP(A514,'BuscarV Stock'!$A$1:$C$422,3,0),0)</f>
        <v>0</v>
      </c>
      <c r="Z514" s="46" t="s">
        <v>449</v>
      </c>
      <c r="AA514" s="46"/>
    </row>
    <row r="515">
      <c r="A515" s="125" t="s">
        <v>4544</v>
      </c>
      <c r="B515" s="21"/>
      <c r="C515" s="19" t="s">
        <v>3</v>
      </c>
      <c r="D515" s="50" t="s">
        <v>4545</v>
      </c>
      <c r="E515" s="50" t="s">
        <v>4546</v>
      </c>
      <c r="F515" s="50" t="s">
        <v>1795</v>
      </c>
      <c r="G515" s="50" t="s">
        <v>2321</v>
      </c>
      <c r="H515" s="31">
        <f t="shared" si="27"/>
        <v>542.9752066</v>
      </c>
      <c r="I515" s="21"/>
      <c r="J515" s="50">
        <v>657.0</v>
      </c>
      <c r="K515" s="95">
        <v>0.3</v>
      </c>
      <c r="L515" s="123">
        <f>IF('Global Precios'!J515*(1-I515)*(1+'Global Precios'!K515)&gt;1000,MROUND('Global Precios'!J515*(1-I515)*(1+'Global Precios'!K515),100),MROUND('Global Precios'!J515*(1-I515)*(1+'Global Precios'!K515),10))</f>
        <v>850</v>
      </c>
      <c r="M515" s="50">
        <v>1.0</v>
      </c>
      <c r="N515" s="50" t="s">
        <v>46</v>
      </c>
      <c r="O515" s="21"/>
      <c r="P515" s="115">
        <v>45323.0</v>
      </c>
      <c r="Q515" s="21">
        <f t="shared" si="7"/>
        <v>25</v>
      </c>
      <c r="R515" s="37">
        <v>30.0</v>
      </c>
      <c r="S515" s="21"/>
      <c r="T515" s="41" t="str">
        <f>IFERROR(VLOOKUP(D515,BUSCARV!$A$1:$C$5524,2,0),"")</f>
        <v/>
      </c>
      <c r="U515" s="42"/>
      <c r="V515" s="42" t="str">
        <f t="shared" si="3"/>
        <v/>
      </c>
      <c r="W515" s="44" t="str">
        <f t="shared" si="4"/>
        <v/>
      </c>
      <c r="X515" s="44"/>
      <c r="Y515" s="45">
        <f>IFERROR(VLOOKUP(A515,'BuscarV Stock'!$A$1:$C$422,3,0),0)</f>
        <v>0</v>
      </c>
      <c r="Z515" s="46" t="s">
        <v>1075</v>
      </c>
      <c r="AA515" s="46"/>
    </row>
    <row r="516">
      <c r="A516" s="125" t="s">
        <v>4547</v>
      </c>
      <c r="B516" s="21"/>
      <c r="C516" s="19" t="s">
        <v>3</v>
      </c>
      <c r="D516" s="50" t="s">
        <v>4548</v>
      </c>
      <c r="E516" s="50" t="s">
        <v>4416</v>
      </c>
      <c r="F516" s="50" t="s">
        <v>1795</v>
      </c>
      <c r="G516" s="50" t="s">
        <v>2316</v>
      </c>
      <c r="H516" s="31">
        <f t="shared" si="27"/>
        <v>13473.55372</v>
      </c>
      <c r="I516" s="21"/>
      <c r="J516" s="50">
        <v>16303.0</v>
      </c>
      <c r="K516" s="95">
        <v>0.3</v>
      </c>
      <c r="L516" s="123">
        <f>IF('Global Precios'!J516*(1-I516)*(1+'Global Precios'!K516)&gt;1000,MROUND('Global Precios'!J516*(1-I516)*(1+'Global Precios'!K516),100),MROUND('Global Precios'!J516*(1-I516)*(1+'Global Precios'!K516),10))</f>
        <v>21200</v>
      </c>
      <c r="M516" s="50">
        <v>15.0</v>
      </c>
      <c r="N516" s="50" t="s">
        <v>1823</v>
      </c>
      <c r="O516" s="21"/>
      <c r="P516" s="115">
        <v>45261.0</v>
      </c>
      <c r="Q516" s="21">
        <f t="shared" si="7"/>
        <v>40</v>
      </c>
      <c r="R516" s="50">
        <v>30.0</v>
      </c>
      <c r="S516" s="21"/>
      <c r="T516" s="41" t="str">
        <f>IFERROR(VLOOKUP(D516,BUSCARV!$A$1:$C$5524,2,0),"")</f>
        <v/>
      </c>
      <c r="U516" s="42"/>
      <c r="V516" s="42" t="str">
        <f t="shared" si="3"/>
        <v/>
      </c>
      <c r="W516" s="44" t="str">
        <f t="shared" si="4"/>
        <v/>
      </c>
      <c r="X516" s="44"/>
      <c r="Y516" s="45">
        <f>IFERROR(VLOOKUP(A516,'BuscarV Stock'!$A$1:$C$422,3,0),0)</f>
        <v>0</v>
      </c>
      <c r="Z516" s="46" t="s">
        <v>1075</v>
      </c>
      <c r="AA516" s="46"/>
    </row>
    <row r="517">
      <c r="A517" s="125" t="s">
        <v>4549</v>
      </c>
      <c r="B517" s="21"/>
      <c r="C517" s="19" t="s">
        <v>182</v>
      </c>
      <c r="D517" s="19" t="s">
        <v>4550</v>
      </c>
      <c r="E517" s="50" t="s">
        <v>189</v>
      </c>
      <c r="F517" s="19" t="s">
        <v>2592</v>
      </c>
      <c r="G517" s="50" t="s">
        <v>2316</v>
      </c>
      <c r="H517" s="31">
        <f t="shared" si="27"/>
        <v>2649.586777</v>
      </c>
      <c r="I517" s="21"/>
      <c r="J517" s="19">
        <v>3206.0</v>
      </c>
      <c r="K517" s="95">
        <v>0.0</v>
      </c>
      <c r="L517" s="123">
        <f>IF('Global Precios'!J517*(1-I517)*(1+'Global Precios'!K517)&gt;1000,MROUND('Global Precios'!J517*(1-I517)*(1+'Global Precios'!K517),100),MROUND('Global Precios'!J517*(1-I517)*(1+'Global Precios'!K517),10))</f>
        <v>3200</v>
      </c>
      <c r="M517" s="50">
        <v>1.0</v>
      </c>
      <c r="N517" s="50" t="s">
        <v>46</v>
      </c>
      <c r="O517" s="21"/>
      <c r="P517" s="115">
        <v>45231.0</v>
      </c>
      <c r="Q517" s="21">
        <f t="shared" si="7"/>
        <v>22</v>
      </c>
      <c r="R517" s="37">
        <v>60.0</v>
      </c>
      <c r="S517" s="21"/>
      <c r="T517" s="41" t="str">
        <f>IFERROR(VLOOKUP(D517,BUSCARV!$A$1:$C$5524,2,0),"")</f>
        <v/>
      </c>
      <c r="U517" s="42"/>
      <c r="V517" s="42" t="str">
        <f t="shared" si="3"/>
        <v/>
      </c>
      <c r="W517" s="44" t="str">
        <f t="shared" si="4"/>
        <v/>
      </c>
      <c r="X517" s="44"/>
      <c r="Y517" s="45">
        <f>IFERROR(VLOOKUP(A517,'BuscarV Stock'!$A$1:$C$422,3,0),0)</f>
        <v>0</v>
      </c>
      <c r="Z517" s="46" t="s">
        <v>1075</v>
      </c>
      <c r="AA517" s="46"/>
    </row>
    <row r="518">
      <c r="A518" s="19"/>
      <c r="B518" s="21"/>
      <c r="C518" s="19"/>
      <c r="E518" s="50"/>
      <c r="F518" s="50"/>
      <c r="G518" s="50"/>
      <c r="H518" s="31"/>
      <c r="I518" s="21"/>
      <c r="J518" s="50"/>
      <c r="K518" s="95"/>
      <c r="L518" s="33">
        <f>IF('Global Precios'!J518*(1-I518)*(1+'Global Precios'!K518)&gt;10000,MROUND('Global Precios'!J518*(1-I518)*(1+'Global Precios'!K518),1000),MROUND('Global Precios'!J518*(1-I518)*(1+'Global Precios'!K518),500))</f>
        <v>0</v>
      </c>
      <c r="M518" s="50"/>
      <c r="N518" s="50"/>
      <c r="O518" s="21"/>
      <c r="P518" s="119"/>
      <c r="Q518" s="21"/>
      <c r="R518" s="50"/>
      <c r="S518" s="21"/>
      <c r="T518" s="41" t="str">
        <f>IFERROR(VLOOKUP(D518,BUSCARV!$A$1:$C$5524,2,0),"")</f>
        <v/>
      </c>
      <c r="U518" s="42"/>
      <c r="V518" s="42" t="str">
        <f t="shared" si="3"/>
        <v/>
      </c>
      <c r="W518" s="44" t="str">
        <f t="shared" si="4"/>
        <v/>
      </c>
      <c r="X518" s="44"/>
      <c r="Y518" s="45"/>
      <c r="Z518" s="46"/>
      <c r="AA518" s="46"/>
    </row>
    <row r="519">
      <c r="A519" s="125" t="s">
        <v>4551</v>
      </c>
      <c r="B519" s="21"/>
      <c r="C519" s="19" t="s">
        <v>3</v>
      </c>
      <c r="D519" s="74" t="s">
        <v>4552</v>
      </c>
      <c r="E519" s="50" t="s">
        <v>4345</v>
      </c>
      <c r="F519" s="50" t="s">
        <v>1795</v>
      </c>
      <c r="G519" s="50" t="s">
        <v>2316</v>
      </c>
      <c r="H519" s="31">
        <f t="shared" ref="H519:H991" si="29">IF(J519="","",J519/1.21)</f>
        <v>42003.30579</v>
      </c>
      <c r="I519" s="21"/>
      <c r="J519" s="50">
        <v>50824.0</v>
      </c>
      <c r="K519" s="95">
        <v>0.32</v>
      </c>
      <c r="L519" s="33">
        <f>IF('Global Precios'!J519*(1-I519)*(1+'Global Precios'!K519)&gt;10000,MROUND('Global Precios'!J519*(1-I519)*(1+'Global Precios'!K519),1000),MROUND('Global Precios'!J519*(1-I519)*(1+'Global Precios'!K519),500))</f>
        <v>67000</v>
      </c>
      <c r="M519" s="50">
        <v>12.0</v>
      </c>
      <c r="N519" s="50" t="s">
        <v>1823</v>
      </c>
      <c r="O519" s="21"/>
      <c r="P519" s="115">
        <v>45839.0</v>
      </c>
      <c r="Q519" s="21">
        <f t="shared" ref="Q519:Q682" si="30">LEN(D519)</f>
        <v>30</v>
      </c>
      <c r="R519" s="50">
        <v>30.0</v>
      </c>
      <c r="S519" s="21"/>
      <c r="T519" s="41" t="str">
        <f>IFERROR(VLOOKUP(D519,BUSCARV!$A$1:$C$5524,2,0),"")</f>
        <v/>
      </c>
      <c r="U519" s="42"/>
      <c r="V519" s="42" t="str">
        <f t="shared" si="3"/>
        <v/>
      </c>
      <c r="W519" s="44" t="str">
        <f t="shared" si="4"/>
        <v/>
      </c>
      <c r="X519" s="44"/>
      <c r="Y519" s="45">
        <f>IFERROR(VLOOKUP(A519,'BuscarV Stock'!$A$1:$C$422,3,0),0)</f>
        <v>0</v>
      </c>
      <c r="Z519" s="46" t="s">
        <v>449</v>
      </c>
      <c r="AA519" s="46"/>
    </row>
    <row r="520">
      <c r="A520" s="125" t="s">
        <v>4553</v>
      </c>
      <c r="B520" s="21"/>
      <c r="C520" s="19" t="s">
        <v>3</v>
      </c>
      <c r="D520" s="74" t="s">
        <v>861</v>
      </c>
      <c r="E520" s="50" t="s">
        <v>4429</v>
      </c>
      <c r="F520" s="50" t="s">
        <v>2308</v>
      </c>
      <c r="G520" s="50" t="s">
        <v>2348</v>
      </c>
      <c r="H520" s="31">
        <f t="shared" si="29"/>
        <v>9090.909091</v>
      </c>
      <c r="I520" s="21"/>
      <c r="J520" s="19">
        <v>11000.0</v>
      </c>
      <c r="K520" s="95">
        <v>0.7</v>
      </c>
      <c r="L520" s="33">
        <f>IF('Global Precios'!J520*(1-I520)*(1+'Global Precios'!K520)&gt;10000,MROUND('Global Precios'!J520*(1-I520)*(1+'Global Precios'!K520),1000),MROUND('Global Precios'!J520*(1-I520)*(1+'Global Precios'!K520),500))</f>
        <v>19000</v>
      </c>
      <c r="M520" s="50">
        <v>5.0</v>
      </c>
      <c r="N520" s="50" t="s">
        <v>2496</v>
      </c>
      <c r="O520" s="21"/>
      <c r="P520" s="35">
        <v>45901.0</v>
      </c>
      <c r="Q520" s="21">
        <f t="shared" si="30"/>
        <v>14</v>
      </c>
      <c r="R520" s="50">
        <v>30.0</v>
      </c>
      <c r="S520" s="21"/>
      <c r="T520" s="41">
        <f>IFERROR(VLOOKUP(D520,BUSCARV!$A$1:$C$5524,2,0),"")</f>
        <v>10235</v>
      </c>
      <c r="U520" s="42"/>
      <c r="V520" s="42">
        <f t="shared" si="3"/>
        <v>10235</v>
      </c>
      <c r="W520" s="44">
        <f t="shared" si="4"/>
        <v>-0.06954545455</v>
      </c>
      <c r="X520" s="44"/>
      <c r="Y520" s="45">
        <f>IFERROR(VLOOKUP(A520,'BuscarV Stock'!$A$1:$C$422,3,0),0)</f>
        <v>0</v>
      </c>
      <c r="Z520" s="46" t="s">
        <v>449</v>
      </c>
      <c r="AA520" s="46"/>
    </row>
    <row r="521">
      <c r="A521" s="125" t="s">
        <v>4554</v>
      </c>
      <c r="B521" s="21"/>
      <c r="C521" s="19" t="s">
        <v>3</v>
      </c>
      <c r="D521" s="74" t="s">
        <v>4226</v>
      </c>
      <c r="E521" s="50" t="s">
        <v>4454</v>
      </c>
      <c r="F521" s="50" t="s">
        <v>2308</v>
      </c>
      <c r="G521" s="50" t="s">
        <v>2344</v>
      </c>
      <c r="H521" s="31">
        <f t="shared" si="29"/>
        <v>3490.082645</v>
      </c>
      <c r="I521" s="21"/>
      <c r="J521" s="19">
        <v>4223.0</v>
      </c>
      <c r="K521" s="95">
        <v>0.8</v>
      </c>
      <c r="L521" s="33">
        <f>IF('Global Precios'!J521*(1-I521)*(1+'Global Precios'!K521)&gt;10000,MROUND('Global Precios'!J521*(1-I521)*(1+'Global Precios'!K521),1000),MROUND('Global Precios'!J521*(1-I521)*(1+'Global Precios'!K521),500))</f>
        <v>7500</v>
      </c>
      <c r="M521" s="50">
        <v>1.0</v>
      </c>
      <c r="N521" s="50" t="s">
        <v>46</v>
      </c>
      <c r="O521" s="21"/>
      <c r="P521" s="35">
        <v>45839.0</v>
      </c>
      <c r="Q521" s="21">
        <f t="shared" si="30"/>
        <v>32</v>
      </c>
      <c r="R521" s="50">
        <v>30.0</v>
      </c>
      <c r="S521" s="21"/>
      <c r="T521" s="41">
        <f>IFERROR(VLOOKUP(D521,BUSCARV!$A$1:$C$5524,2,0),"")</f>
        <v>4554</v>
      </c>
      <c r="U521" s="42"/>
      <c r="V521" s="42">
        <f t="shared" si="3"/>
        <v>4554</v>
      </c>
      <c r="W521" s="44">
        <f t="shared" si="4"/>
        <v>0.07838029837</v>
      </c>
      <c r="X521" s="44"/>
      <c r="Y521" s="45">
        <f>IFERROR(VLOOKUP(A521,'BuscarV Stock'!$A$1:$C$422,3,0),0)</f>
        <v>0</v>
      </c>
      <c r="Z521" s="46" t="s">
        <v>449</v>
      </c>
      <c r="AA521" s="46"/>
    </row>
    <row r="522">
      <c r="A522" s="125" t="s">
        <v>4555</v>
      </c>
      <c r="B522" s="21"/>
      <c r="C522" s="19" t="s">
        <v>3</v>
      </c>
      <c r="D522" s="19" t="s">
        <v>4556</v>
      </c>
      <c r="E522" s="50" t="s">
        <v>4557</v>
      </c>
      <c r="F522" s="50" t="s">
        <v>2308</v>
      </c>
      <c r="G522" s="50" t="s">
        <v>2339</v>
      </c>
      <c r="H522" s="31">
        <f t="shared" si="29"/>
        <v>2900.826446</v>
      </c>
      <c r="I522" s="21"/>
      <c r="J522" s="50">
        <v>3510.0</v>
      </c>
      <c r="K522" s="95">
        <v>0.8</v>
      </c>
      <c r="L522" s="123">
        <f>IF('Global Precios'!J522*(1-I522)*(1+'Global Precios'!K522)&gt;1000,MROUND('Global Precios'!J522*(1-I522)*(1+'Global Precios'!K522),100),MROUND('Global Precios'!J522*(1-I522)*(1+'Global Precios'!K522),10))</f>
        <v>6300</v>
      </c>
      <c r="M522" s="50">
        <v>8.0</v>
      </c>
      <c r="N522" s="50" t="s">
        <v>4383</v>
      </c>
      <c r="O522" s="21"/>
      <c r="P522" s="35">
        <v>45323.0</v>
      </c>
      <c r="Q522" s="21">
        <f t="shared" si="30"/>
        <v>30</v>
      </c>
      <c r="R522" s="50">
        <v>30.0</v>
      </c>
      <c r="S522" s="21"/>
      <c r="T522" s="41" t="str">
        <f>IFERROR(VLOOKUP(D522,BUSCARV!$A$1:$C$5524,2,0),"")</f>
        <v/>
      </c>
      <c r="U522" s="42"/>
      <c r="V522" s="42" t="str">
        <f t="shared" si="3"/>
        <v/>
      </c>
      <c r="W522" s="44" t="str">
        <f t="shared" si="4"/>
        <v/>
      </c>
      <c r="X522" s="44"/>
      <c r="Y522" s="45">
        <f>IFERROR(VLOOKUP(A522,'BuscarV Stock'!$A$1:$C$422,3,0),0)</f>
        <v>0</v>
      </c>
      <c r="Z522" s="46" t="s">
        <v>1075</v>
      </c>
      <c r="AA522" s="46"/>
    </row>
    <row r="523">
      <c r="A523" s="125" t="s">
        <v>4558</v>
      </c>
      <c r="B523" s="21"/>
      <c r="C523" s="19" t="s">
        <v>3</v>
      </c>
      <c r="D523" s="50" t="s">
        <v>4559</v>
      </c>
      <c r="E523" s="50" t="s">
        <v>4560</v>
      </c>
      <c r="F523" s="50" t="s">
        <v>1795</v>
      </c>
      <c r="G523" s="50" t="s">
        <v>2321</v>
      </c>
      <c r="H523" s="31">
        <f t="shared" si="29"/>
        <v>13636.36364</v>
      </c>
      <c r="I523" s="21"/>
      <c r="J523" s="50">
        <v>16500.0</v>
      </c>
      <c r="K523" s="95">
        <v>0.3</v>
      </c>
      <c r="L523" s="33">
        <f>IF('Global Precios'!J523*(1-I523)*(1+'Global Precios'!K523)&gt;10000,MROUND('Global Precios'!J523*(1-I523)*(1+'Global Precios'!K523),1000),MROUND('Global Precios'!J523*(1-I523)*(1+'Global Precios'!K523),500))</f>
        <v>21000</v>
      </c>
      <c r="M523" s="50">
        <v>3.0</v>
      </c>
      <c r="N523" s="50" t="s">
        <v>1823</v>
      </c>
      <c r="O523" s="21"/>
      <c r="P523" s="115">
        <v>45839.0</v>
      </c>
      <c r="Q523" s="21">
        <f t="shared" si="30"/>
        <v>34</v>
      </c>
      <c r="R523" s="50">
        <v>30.0</v>
      </c>
      <c r="S523" s="21"/>
      <c r="T523" s="41" t="str">
        <f>IFERROR(VLOOKUP(D523,BUSCARV!$A$1:$C$5524,2,0),"")</f>
        <v/>
      </c>
      <c r="U523" s="42"/>
      <c r="V523" s="42" t="str">
        <f t="shared" si="3"/>
        <v/>
      </c>
      <c r="W523" s="44" t="str">
        <f t="shared" si="4"/>
        <v/>
      </c>
      <c r="X523" s="44"/>
      <c r="Y523" s="45">
        <f>IFERROR(VLOOKUP(A523,'BuscarV Stock'!$A$1:$C$422,3,0),0)</f>
        <v>0</v>
      </c>
      <c r="Z523" s="46" t="s">
        <v>1075</v>
      </c>
      <c r="AA523" s="46"/>
    </row>
    <row r="524">
      <c r="A524" s="125" t="s">
        <v>4561</v>
      </c>
      <c r="B524" s="21"/>
      <c r="C524" s="19" t="s">
        <v>3</v>
      </c>
      <c r="D524" s="114" t="s">
        <v>4562</v>
      </c>
      <c r="E524" s="21"/>
      <c r="F524" s="50" t="s">
        <v>1982</v>
      </c>
      <c r="G524" s="50" t="s">
        <v>2316</v>
      </c>
      <c r="H524" s="31">
        <f t="shared" si="29"/>
        <v>2067.768595</v>
      </c>
      <c r="I524" s="21"/>
      <c r="J524" s="50">
        <v>2502.0</v>
      </c>
      <c r="K524" s="111">
        <v>1.0</v>
      </c>
      <c r="L524" s="33">
        <f>IF('Global Precios'!J524*(1-I524)*(1+'Global Precios'!K524)&gt;10000,MROUND('Global Precios'!J524*(1-I524)*(1+'Global Precios'!K524),1000),MROUND('Global Precios'!J524*(1-I524)*(1+'Global Precios'!K524),500))</f>
        <v>5000</v>
      </c>
      <c r="M524" s="50">
        <v>1.0</v>
      </c>
      <c r="N524" s="50" t="s">
        <v>46</v>
      </c>
      <c r="O524" s="21"/>
      <c r="P524" s="35">
        <v>45839.0</v>
      </c>
      <c r="Q524" s="21">
        <f t="shared" si="30"/>
        <v>21</v>
      </c>
      <c r="R524" s="50">
        <v>30.0</v>
      </c>
      <c r="S524" s="21"/>
      <c r="T524" s="41" t="str">
        <f>IFERROR(VLOOKUP(D524,BUSCARV!$A$1:$C$5524,2,0),"")</f>
        <v/>
      </c>
      <c r="U524" s="42"/>
      <c r="V524" s="42" t="str">
        <f t="shared" si="3"/>
        <v/>
      </c>
      <c r="W524" s="44" t="str">
        <f t="shared" si="4"/>
        <v/>
      </c>
      <c r="X524" s="44"/>
      <c r="Y524" s="45">
        <f>IFERROR(VLOOKUP(A524,'BuscarV Stock'!$A$1:$C$422,3,0),0)</f>
        <v>0</v>
      </c>
      <c r="Z524" s="46" t="s">
        <v>449</v>
      </c>
      <c r="AA524" s="46" t="s">
        <v>4563</v>
      </c>
    </row>
    <row r="525">
      <c r="A525" s="125" t="s">
        <v>4564</v>
      </c>
      <c r="B525" s="21"/>
      <c r="C525" s="19" t="s">
        <v>3</v>
      </c>
      <c r="D525" s="50" t="s">
        <v>4565</v>
      </c>
      <c r="E525" s="21"/>
      <c r="F525" s="50" t="s">
        <v>1982</v>
      </c>
      <c r="G525" s="50" t="s">
        <v>2316</v>
      </c>
      <c r="H525" s="31">
        <f t="shared" si="29"/>
        <v>2052.066116</v>
      </c>
      <c r="I525" s="21"/>
      <c r="J525" s="50">
        <v>2483.0</v>
      </c>
      <c r="K525" s="111">
        <v>1.0</v>
      </c>
      <c r="L525" s="123">
        <f>IF('Global Precios'!J525*(1-I525)*(1+'Global Precios'!K525)&gt;1000,MROUND('Global Precios'!J525*(1-I525)*(1+'Global Precios'!K525),100),MROUND('Global Precios'!J525*(1-I525)*(1+'Global Precios'!K525),10))</f>
        <v>5000</v>
      </c>
      <c r="M525" s="50">
        <v>1.0</v>
      </c>
      <c r="N525" s="50" t="s">
        <v>46</v>
      </c>
      <c r="O525" s="21"/>
      <c r="P525" s="35">
        <v>45261.0</v>
      </c>
      <c r="Q525" s="21">
        <f t="shared" si="30"/>
        <v>37</v>
      </c>
      <c r="R525" s="50">
        <v>30.0</v>
      </c>
      <c r="S525" s="21"/>
      <c r="T525" s="41" t="str">
        <f>IFERROR(VLOOKUP(D525,BUSCARV!$A$1:$C$5524,2,0),"")</f>
        <v/>
      </c>
      <c r="U525" s="42"/>
      <c r="V525" s="42" t="str">
        <f t="shared" si="3"/>
        <v/>
      </c>
      <c r="W525" s="44" t="str">
        <f t="shared" si="4"/>
        <v/>
      </c>
      <c r="X525" s="44"/>
      <c r="Y525" s="45">
        <f>IFERROR(VLOOKUP(A525,'BuscarV Stock'!$A$1:$C$422,3,0),0)</f>
        <v>0</v>
      </c>
      <c r="Z525" s="46" t="s">
        <v>1075</v>
      </c>
      <c r="AA525" s="46" t="s">
        <v>4566</v>
      </c>
    </row>
    <row r="526">
      <c r="A526" s="125" t="s">
        <v>4567</v>
      </c>
      <c r="B526" s="21"/>
      <c r="C526" s="19" t="s">
        <v>3</v>
      </c>
      <c r="D526" s="50" t="s">
        <v>4568</v>
      </c>
      <c r="E526" s="21"/>
      <c r="F526" s="50" t="s">
        <v>1982</v>
      </c>
      <c r="G526" s="50" t="s">
        <v>2316</v>
      </c>
      <c r="H526" s="31">
        <f t="shared" si="29"/>
        <v>2812.396694</v>
      </c>
      <c r="I526" s="21"/>
      <c r="J526" s="50">
        <v>3403.0</v>
      </c>
      <c r="K526" s="111">
        <v>1.0</v>
      </c>
      <c r="L526" s="33">
        <f>IF('Global Precios'!J526*(1-I526)*(1+'Global Precios'!K526)&gt;10000,MROUND('Global Precios'!J526*(1-I526)*(1+'Global Precios'!K526),1000),MROUND('Global Precios'!J526*(1-I526)*(1+'Global Precios'!K526),500))</f>
        <v>7000</v>
      </c>
      <c r="M526" s="50">
        <v>1.0</v>
      </c>
      <c r="N526" s="50" t="s">
        <v>46</v>
      </c>
      <c r="O526" s="21"/>
      <c r="P526" s="35">
        <v>45839.0</v>
      </c>
      <c r="Q526" s="21">
        <f t="shared" si="30"/>
        <v>16</v>
      </c>
      <c r="R526" s="50">
        <v>30.0</v>
      </c>
      <c r="S526" s="21"/>
      <c r="T526" s="41" t="str">
        <f>IFERROR(VLOOKUP(D526,BUSCARV!$A$1:$C$5524,2,0),"")</f>
        <v/>
      </c>
      <c r="U526" s="42"/>
      <c r="V526" s="42" t="str">
        <f t="shared" si="3"/>
        <v/>
      </c>
      <c r="W526" s="44" t="str">
        <f t="shared" si="4"/>
        <v/>
      </c>
      <c r="X526" s="44"/>
      <c r="Y526" s="45">
        <f>IFERROR(VLOOKUP(A526,'BuscarV Stock'!$A$1:$C$422,3,0),0)</f>
        <v>0</v>
      </c>
      <c r="Z526" s="46" t="s">
        <v>449</v>
      </c>
      <c r="AA526" s="46" t="s">
        <v>4569</v>
      </c>
    </row>
    <row r="527">
      <c r="A527" s="37">
        <v>555.0</v>
      </c>
      <c r="B527" s="21"/>
      <c r="C527" s="19" t="s">
        <v>3</v>
      </c>
      <c r="D527" s="19" t="s">
        <v>4556</v>
      </c>
      <c r="E527" s="50" t="s">
        <v>4557</v>
      </c>
      <c r="F527" s="50" t="s">
        <v>2308</v>
      </c>
      <c r="G527" s="50" t="s">
        <v>2339</v>
      </c>
      <c r="H527" s="31">
        <f t="shared" si="29"/>
        <v>561.1570248</v>
      </c>
      <c r="I527" s="21"/>
      <c r="J527" s="50">
        <v>679.0</v>
      </c>
      <c r="K527" s="95">
        <v>0.8</v>
      </c>
      <c r="L527" s="123">
        <f>IF('Global Precios'!J527*(1-I527)*(1+'Global Precios'!K527)&gt;1000,MROUND('Global Precios'!J527*(1-I527)*(1+'Global Precios'!K527),100),MROUND('Global Precios'!J527*(1-I527)*(1+'Global Precios'!K527),10))</f>
        <v>1200</v>
      </c>
      <c r="M527" s="50">
        <v>8.0</v>
      </c>
      <c r="N527" s="50" t="s">
        <v>4383</v>
      </c>
      <c r="O527" s="21"/>
      <c r="P527" s="35">
        <v>45231.0</v>
      </c>
      <c r="Q527" s="21">
        <f t="shared" si="30"/>
        <v>30</v>
      </c>
      <c r="R527" s="50">
        <v>30.0</v>
      </c>
      <c r="S527" s="21"/>
      <c r="T527" s="41" t="str">
        <f>IFERROR(VLOOKUP(D527,BUSCARV!$A$1:$C$5524,2,0),"")</f>
        <v/>
      </c>
      <c r="U527" s="42"/>
      <c r="V527" s="42" t="str">
        <f t="shared" si="3"/>
        <v/>
      </c>
      <c r="W527" s="44" t="str">
        <f t="shared" si="4"/>
        <v/>
      </c>
      <c r="X527" s="44"/>
      <c r="Y527" s="45">
        <f>IFERROR(VLOOKUP(A527,'BuscarV Stock'!$A$1:$C$422,3,0),0)</f>
        <v>0</v>
      </c>
      <c r="Z527" s="46" t="s">
        <v>1075</v>
      </c>
      <c r="AA527" s="46"/>
    </row>
    <row r="528">
      <c r="A528" s="37">
        <v>556.0</v>
      </c>
      <c r="B528" s="21"/>
      <c r="C528" s="19" t="s">
        <v>3</v>
      </c>
      <c r="D528" s="50" t="s">
        <v>4570</v>
      </c>
      <c r="E528" s="50" t="s">
        <v>4454</v>
      </c>
      <c r="F528" s="50" t="s">
        <v>2308</v>
      </c>
      <c r="G528" s="50" t="s">
        <v>2339</v>
      </c>
      <c r="H528" s="31">
        <f t="shared" si="29"/>
        <v>1443.801653</v>
      </c>
      <c r="I528" s="21"/>
      <c r="J528" s="50">
        <v>1747.0</v>
      </c>
      <c r="K528" s="95">
        <v>0.8</v>
      </c>
      <c r="L528" s="123">
        <f>IF('Global Precios'!J528*(1-I528)*(1+'Global Precios'!K528)&gt;1000,MROUND('Global Precios'!J528*(1-I528)*(1+'Global Precios'!K528),100),MROUND('Global Precios'!J528*(1-I528)*(1+'Global Precios'!K528),10))</f>
        <v>3100</v>
      </c>
      <c r="M528" s="50">
        <v>5.0</v>
      </c>
      <c r="N528" s="50" t="s">
        <v>4383</v>
      </c>
      <c r="O528" s="21"/>
      <c r="P528" s="35">
        <v>45505.0</v>
      </c>
      <c r="Q528" s="21">
        <f t="shared" si="30"/>
        <v>30</v>
      </c>
      <c r="R528" s="50">
        <v>30.0</v>
      </c>
      <c r="S528" s="21"/>
      <c r="T528" s="41" t="str">
        <f>IFERROR(VLOOKUP(D528,BUSCARV!$A$1:$C$5524,2,0),"")</f>
        <v/>
      </c>
      <c r="U528" s="42"/>
      <c r="V528" s="42" t="str">
        <f t="shared" si="3"/>
        <v/>
      </c>
      <c r="W528" s="44" t="str">
        <f t="shared" si="4"/>
        <v/>
      </c>
      <c r="X528" s="44"/>
      <c r="Y528" s="45">
        <f>IFERROR(VLOOKUP(A528,'BuscarV Stock'!$A$1:$C$422,3,0),0)</f>
        <v>0</v>
      </c>
      <c r="Z528" s="46" t="s">
        <v>1075</v>
      </c>
      <c r="AA528" s="46"/>
    </row>
    <row r="529">
      <c r="A529" s="37">
        <v>557.0</v>
      </c>
      <c r="B529" s="21"/>
      <c r="C529" s="19" t="s">
        <v>3</v>
      </c>
      <c r="D529" s="50" t="s">
        <v>4571</v>
      </c>
      <c r="E529" s="50" t="s">
        <v>1793</v>
      </c>
      <c r="F529" s="50" t="s">
        <v>1795</v>
      </c>
      <c r="G529" s="50" t="s">
        <v>2316</v>
      </c>
      <c r="H529" s="31">
        <f t="shared" si="29"/>
        <v>50413.22314</v>
      </c>
      <c r="I529" s="56">
        <v>0.065</v>
      </c>
      <c r="J529" s="50">
        <v>61000.0</v>
      </c>
      <c r="K529" s="111">
        <v>0.33</v>
      </c>
      <c r="L529" s="33">
        <f>IF('Global Precios'!J529*(1-I529)*(1+'Global Precios'!K529)&gt;10000,MROUND('Global Precios'!J529*(1-I529)*(1+'Global Precios'!K529),1000),MROUND('Global Precios'!J529*(1-I529)*(1+'Global Precios'!K529),500))</f>
        <v>76000</v>
      </c>
      <c r="M529" s="50">
        <v>15.0</v>
      </c>
      <c r="N529" s="50" t="s">
        <v>1823</v>
      </c>
      <c r="O529" s="21"/>
      <c r="P529" s="115">
        <v>46174.0</v>
      </c>
      <c r="Q529" s="21">
        <f t="shared" si="30"/>
        <v>33</v>
      </c>
      <c r="R529" s="50">
        <v>30.0</v>
      </c>
      <c r="S529" s="21"/>
      <c r="T529" s="41" t="str">
        <f>IFERROR(VLOOKUP(D529,BUSCARV!$A$1:$C$5524,2,0),"")</f>
        <v/>
      </c>
      <c r="U529" s="42"/>
      <c r="V529" s="42" t="str">
        <f t="shared" si="3"/>
        <v/>
      </c>
      <c r="W529" s="44" t="str">
        <f t="shared" si="4"/>
        <v/>
      </c>
      <c r="X529" s="44"/>
      <c r="Y529" s="45">
        <f>IFERROR(VLOOKUP(A529,'BuscarV Stock'!$A$1:$C$422,3,0),0)</f>
        <v>0</v>
      </c>
      <c r="Z529" s="46" t="s">
        <v>1075</v>
      </c>
      <c r="AA529" s="46"/>
    </row>
    <row r="530">
      <c r="A530" s="125" t="s">
        <v>4572</v>
      </c>
      <c r="B530" s="21"/>
      <c r="C530" s="19" t="s">
        <v>3</v>
      </c>
      <c r="D530" s="127" t="s">
        <v>4573</v>
      </c>
      <c r="E530" s="50" t="s">
        <v>4574</v>
      </c>
      <c r="F530" s="50" t="s">
        <v>1795</v>
      </c>
      <c r="G530" s="50" t="s">
        <v>2316</v>
      </c>
      <c r="H530" s="31">
        <f t="shared" si="29"/>
        <v>23140.49587</v>
      </c>
      <c r="I530" s="21"/>
      <c r="J530" s="50">
        <v>28000.0</v>
      </c>
      <c r="K530" s="95">
        <v>0.5</v>
      </c>
      <c r="L530" s="33">
        <f>IF('Global Precios'!J530*(1-I530)*(1+'Global Precios'!K530)&gt;10000,MROUND('Global Precios'!J530*(1-I530)*(1+'Global Precios'!K530),1000),MROUND('Global Precios'!J530*(1-I530)*(1+'Global Precios'!K530),500))</f>
        <v>42000</v>
      </c>
      <c r="M530" s="50">
        <v>20.0</v>
      </c>
      <c r="N530" s="50" t="s">
        <v>1823</v>
      </c>
      <c r="O530" s="21"/>
      <c r="P530" s="115">
        <v>45870.0</v>
      </c>
      <c r="Q530" s="21">
        <f t="shared" si="30"/>
        <v>29</v>
      </c>
      <c r="R530" s="50">
        <v>30.0</v>
      </c>
      <c r="S530" s="21"/>
      <c r="T530" s="41" t="str">
        <f>IFERROR(VLOOKUP(D530,BUSCARV!$A$1:$C$5524,2,0),"")</f>
        <v/>
      </c>
      <c r="U530" s="42"/>
      <c r="V530" s="42" t="str">
        <f t="shared" si="3"/>
        <v/>
      </c>
      <c r="W530" s="44" t="str">
        <f t="shared" si="4"/>
        <v/>
      </c>
      <c r="X530" s="44"/>
      <c r="Y530" s="45">
        <f>IFERROR(VLOOKUP(A530,'BuscarV Stock'!$A$1:$C$422,3,0),0)</f>
        <v>0</v>
      </c>
      <c r="Z530" s="46" t="s">
        <v>449</v>
      </c>
      <c r="AA530" s="46"/>
    </row>
    <row r="531">
      <c r="A531" s="125" t="s">
        <v>4575</v>
      </c>
      <c r="B531" s="21"/>
      <c r="C531" s="19" t="s">
        <v>3</v>
      </c>
      <c r="D531" s="127" t="s">
        <v>4576</v>
      </c>
      <c r="E531" s="50" t="s">
        <v>4574</v>
      </c>
      <c r="F531" s="50" t="s">
        <v>1795</v>
      </c>
      <c r="G531" s="50" t="s">
        <v>2321</v>
      </c>
      <c r="H531" s="31">
        <f t="shared" si="29"/>
        <v>17438.01653</v>
      </c>
      <c r="I531" s="21"/>
      <c r="J531" s="50">
        <v>21100.0</v>
      </c>
      <c r="K531" s="95">
        <v>0.5</v>
      </c>
      <c r="L531" s="33">
        <f>IF('Global Precios'!J531*(1-I531)*(1+'Global Precios'!K531)&gt;10000,MROUND('Global Precios'!J531*(1-I531)*(1+'Global Precios'!K531),1000),MROUND('Global Precios'!J531*(1-I531)*(1+'Global Precios'!K531),500))</f>
        <v>32000</v>
      </c>
      <c r="M531" s="50">
        <v>10.0</v>
      </c>
      <c r="N531" s="50" t="s">
        <v>1823</v>
      </c>
      <c r="O531" s="21"/>
      <c r="P531" s="115">
        <v>45870.0</v>
      </c>
      <c r="Q531" s="21">
        <f t="shared" si="30"/>
        <v>18</v>
      </c>
      <c r="R531" s="50">
        <v>30.0</v>
      </c>
      <c r="S531" s="21"/>
      <c r="T531" s="41" t="str">
        <f>IFERROR(VLOOKUP(D531,BUSCARV!$A$1:$C$5524,2,0),"")</f>
        <v/>
      </c>
      <c r="U531" s="42"/>
      <c r="V531" s="42" t="str">
        <f t="shared" si="3"/>
        <v/>
      </c>
      <c r="W531" s="44" t="str">
        <f t="shared" si="4"/>
        <v/>
      </c>
      <c r="X531" s="44"/>
      <c r="Y531" s="45">
        <f>IFERROR(VLOOKUP(A531,'BuscarV Stock'!$A$1:$C$422,3,0),0)</f>
        <v>0</v>
      </c>
      <c r="Z531" s="46" t="s">
        <v>449</v>
      </c>
      <c r="AA531" s="46"/>
    </row>
    <row r="532">
      <c r="A532" s="125" t="s">
        <v>4577</v>
      </c>
      <c r="B532" s="21"/>
      <c r="C532" s="19" t="s">
        <v>3</v>
      </c>
      <c r="D532" s="50" t="s">
        <v>4578</v>
      </c>
      <c r="E532" s="50" t="s">
        <v>4574</v>
      </c>
      <c r="F532" s="50" t="s">
        <v>1795</v>
      </c>
      <c r="G532" s="50" t="s">
        <v>2316</v>
      </c>
      <c r="H532" s="31">
        <f t="shared" si="29"/>
        <v>4462.809917</v>
      </c>
      <c r="I532" s="21"/>
      <c r="J532" s="50">
        <v>5400.0</v>
      </c>
      <c r="K532" s="95">
        <v>0.5</v>
      </c>
      <c r="L532" s="123">
        <f>IF('Global Precios'!J532*(1-I532)*(1+'Global Precios'!K532)&gt;1000,MROUND('Global Precios'!J532*(1-I532)*(1+'Global Precios'!K532),100),MROUND('Global Precios'!J532*(1-I532)*(1+'Global Precios'!K532),10))</f>
        <v>8100</v>
      </c>
      <c r="M532" s="50">
        <v>8.0</v>
      </c>
      <c r="N532" s="50" t="s">
        <v>1823</v>
      </c>
      <c r="O532" s="21"/>
      <c r="P532" s="115">
        <v>45261.0</v>
      </c>
      <c r="Q532" s="21">
        <f t="shared" si="30"/>
        <v>28</v>
      </c>
      <c r="R532" s="50">
        <v>30.0</v>
      </c>
      <c r="S532" s="21"/>
      <c r="T532" s="41" t="str">
        <f>IFERROR(VLOOKUP(D532,BUSCARV!$A$1:$C$5524,2,0),"")</f>
        <v/>
      </c>
      <c r="U532" s="42"/>
      <c r="V532" s="42" t="str">
        <f t="shared" si="3"/>
        <v/>
      </c>
      <c r="W532" s="44" t="str">
        <f t="shared" si="4"/>
        <v/>
      </c>
      <c r="X532" s="44"/>
      <c r="Y532" s="45">
        <f>IFERROR(VLOOKUP(A532,'BuscarV Stock'!$A$1:$C$422,3,0),0)</f>
        <v>0</v>
      </c>
      <c r="Z532" s="46" t="s">
        <v>1075</v>
      </c>
      <c r="AA532" s="46"/>
    </row>
    <row r="533">
      <c r="A533" s="125" t="s">
        <v>4579</v>
      </c>
      <c r="B533" s="21"/>
      <c r="C533" s="19" t="s">
        <v>3</v>
      </c>
      <c r="D533" s="50" t="s">
        <v>4580</v>
      </c>
      <c r="E533" s="50" t="s">
        <v>4442</v>
      </c>
      <c r="F533" s="50" t="s">
        <v>1795</v>
      </c>
      <c r="G533" s="50" t="s">
        <v>2316</v>
      </c>
      <c r="H533" s="31">
        <f t="shared" si="29"/>
        <v>16155.3719</v>
      </c>
      <c r="I533" s="21"/>
      <c r="J533" s="50">
        <v>19548.0</v>
      </c>
      <c r="K533" s="111">
        <v>0.3</v>
      </c>
      <c r="L533" s="123">
        <f>IF('Global Precios'!J533*(1-I533)*(1+'Global Precios'!K533)&gt;1000,MROUND('Global Precios'!J533*(1-I533)*(1+'Global Precios'!K533),100),MROUND('Global Precios'!J533*(1-I533)*(1+'Global Precios'!K533),10))</f>
        <v>25400</v>
      </c>
      <c r="M533" s="50">
        <v>7.0</v>
      </c>
      <c r="N533" s="50" t="s">
        <v>1823</v>
      </c>
      <c r="O533" s="21"/>
      <c r="P533" s="115">
        <v>45292.0</v>
      </c>
      <c r="Q533" s="21">
        <f t="shared" si="30"/>
        <v>46</v>
      </c>
      <c r="R533" s="50">
        <v>30.0</v>
      </c>
      <c r="S533" s="21"/>
      <c r="T533" s="41" t="str">
        <f>IFERROR(VLOOKUP(D533,BUSCARV!$A$1:$C$5524,2,0),"")</f>
        <v/>
      </c>
      <c r="U533" s="42"/>
      <c r="V533" s="42" t="str">
        <f t="shared" si="3"/>
        <v/>
      </c>
      <c r="W533" s="44" t="str">
        <f t="shared" si="4"/>
        <v/>
      </c>
      <c r="X533" s="44"/>
      <c r="Y533" s="45">
        <f>IFERROR(VLOOKUP(A533,'BuscarV Stock'!$A$1:$C$422,3,0),0)</f>
        <v>0</v>
      </c>
      <c r="Z533" s="46" t="s">
        <v>1075</v>
      </c>
      <c r="AA533" s="46"/>
    </row>
    <row r="534">
      <c r="A534" s="125" t="s">
        <v>4581</v>
      </c>
      <c r="B534" s="21"/>
      <c r="C534" s="19" t="s">
        <v>3</v>
      </c>
      <c r="D534" s="50" t="s">
        <v>4582</v>
      </c>
      <c r="E534" s="50" t="s">
        <v>4501</v>
      </c>
      <c r="F534" s="50" t="s">
        <v>2308</v>
      </c>
      <c r="G534" s="50" t="s">
        <v>2325</v>
      </c>
      <c r="H534" s="31">
        <f t="shared" si="29"/>
        <v>2933.884298</v>
      </c>
      <c r="I534" s="21"/>
      <c r="J534" s="50">
        <v>3550.0</v>
      </c>
      <c r="K534" s="95">
        <v>0.8</v>
      </c>
      <c r="L534" s="33">
        <f>IF('Global Precios'!J534*(1-I534)*(1+'Global Precios'!K534)&gt;10000,MROUND('Global Precios'!J534*(1-I534)*(1+'Global Precios'!K534),1000),MROUND('Global Precios'!J534*(1-I534)*(1+'Global Precios'!K534),500))</f>
        <v>6500</v>
      </c>
      <c r="M534" s="50">
        <v>10.0</v>
      </c>
      <c r="N534" s="50" t="s">
        <v>4383</v>
      </c>
      <c r="O534" s="21"/>
      <c r="P534" s="35">
        <v>45839.0</v>
      </c>
      <c r="Q534" s="21">
        <f t="shared" si="30"/>
        <v>32</v>
      </c>
      <c r="R534" s="50">
        <v>30.0</v>
      </c>
      <c r="S534" s="21"/>
      <c r="T534" s="41" t="str">
        <f>IFERROR(VLOOKUP(D534,BUSCARV!$A$1:$C$5524,2,0),"")</f>
        <v/>
      </c>
      <c r="U534" s="42"/>
      <c r="V534" s="42" t="str">
        <f t="shared" si="3"/>
        <v/>
      </c>
      <c r="W534" s="44" t="str">
        <f t="shared" si="4"/>
        <v/>
      </c>
      <c r="X534" s="44"/>
      <c r="Y534" s="45">
        <f>IFERROR(VLOOKUP(A534,'BuscarV Stock'!$A$1:$C$422,3,0),0)</f>
        <v>0</v>
      </c>
      <c r="Z534" s="46" t="s">
        <v>449</v>
      </c>
      <c r="AA534" s="46"/>
    </row>
    <row r="535">
      <c r="A535" s="125" t="s">
        <v>4583</v>
      </c>
      <c r="B535" s="21"/>
      <c r="C535" s="19" t="s">
        <v>3</v>
      </c>
      <c r="D535" s="50" t="s">
        <v>4584</v>
      </c>
      <c r="E535" s="50" t="s">
        <v>4467</v>
      </c>
      <c r="F535" s="50" t="s">
        <v>1795</v>
      </c>
      <c r="G535" s="50" t="s">
        <v>2316</v>
      </c>
      <c r="H535" s="31">
        <f t="shared" si="29"/>
        <v>6461.983471</v>
      </c>
      <c r="I535" s="21"/>
      <c r="J535" s="50">
        <v>7819.0</v>
      </c>
      <c r="K535" s="111">
        <v>0.33</v>
      </c>
      <c r="L535" s="123">
        <f>IF('Global Precios'!J535*(1-I535)*(1+'Global Precios'!K535)&gt;1000,MROUND('Global Precios'!J535*(1-I535)*(1+'Global Precios'!K535),100),MROUND('Global Precios'!J535*(1-I535)*(1+'Global Precios'!K535),10))</f>
        <v>10400</v>
      </c>
      <c r="M535" s="50">
        <v>3.0</v>
      </c>
      <c r="N535" s="50" t="s">
        <v>1823</v>
      </c>
      <c r="O535" s="21"/>
      <c r="P535" s="115">
        <v>45292.0</v>
      </c>
      <c r="Q535" s="21">
        <f t="shared" si="30"/>
        <v>37</v>
      </c>
      <c r="R535" s="50">
        <v>30.0</v>
      </c>
      <c r="S535" s="21"/>
      <c r="T535" s="41" t="str">
        <f>IFERROR(VLOOKUP(D535,BUSCARV!$A$1:$C$5524,2,0),"")</f>
        <v/>
      </c>
      <c r="U535" s="42"/>
      <c r="V535" s="42" t="str">
        <f t="shared" si="3"/>
        <v/>
      </c>
      <c r="W535" s="44" t="str">
        <f t="shared" si="4"/>
        <v/>
      </c>
      <c r="X535" s="44"/>
      <c r="Y535" s="45">
        <f>IFERROR(VLOOKUP(A535,'BuscarV Stock'!$A$1:$C$422,3,0),0)</f>
        <v>0</v>
      </c>
      <c r="Z535" s="46" t="s">
        <v>1075</v>
      </c>
      <c r="AA535" s="46"/>
    </row>
    <row r="536">
      <c r="A536" s="125" t="s">
        <v>4585</v>
      </c>
      <c r="B536" s="21"/>
      <c r="C536" s="19" t="s">
        <v>3</v>
      </c>
      <c r="D536" s="50" t="s">
        <v>4212</v>
      </c>
      <c r="E536" s="50" t="s">
        <v>4454</v>
      </c>
      <c r="F536" s="50" t="s">
        <v>2308</v>
      </c>
      <c r="G536" s="50" t="s">
        <v>2325</v>
      </c>
      <c r="H536" s="31">
        <f t="shared" si="29"/>
        <v>9000</v>
      </c>
      <c r="I536" s="21"/>
      <c r="J536" s="19">
        <v>10890.0</v>
      </c>
      <c r="K536" s="95">
        <v>0.8</v>
      </c>
      <c r="L536" s="33">
        <f>IF('Global Precios'!J536*(1-I536)*(1+'Global Precios'!K536)&gt;10000,MROUND('Global Precios'!J536*(1-I536)*(1+'Global Precios'!K536),1000),MROUND('Global Precios'!J536*(1-I536)*(1+'Global Precios'!K536),500))</f>
        <v>20000</v>
      </c>
      <c r="M536" s="50">
        <v>10.0</v>
      </c>
      <c r="N536" s="50" t="s">
        <v>4383</v>
      </c>
      <c r="O536" s="21"/>
      <c r="P536" s="35">
        <v>46054.0</v>
      </c>
      <c r="Q536" s="21">
        <f t="shared" si="30"/>
        <v>31</v>
      </c>
      <c r="R536" s="50">
        <v>30.0</v>
      </c>
      <c r="S536" s="21"/>
      <c r="T536" s="41">
        <f>IFERROR(VLOOKUP(D536,BUSCARV!$A$1:$C$5524,2,0),"")</f>
        <v>9876</v>
      </c>
      <c r="U536" s="42"/>
      <c r="V536" s="42">
        <f t="shared" si="3"/>
        <v>9876</v>
      </c>
      <c r="W536" s="44">
        <f t="shared" si="4"/>
        <v>-0.09311294766</v>
      </c>
      <c r="X536" s="44"/>
      <c r="Y536" s="45">
        <f>IFERROR(VLOOKUP(A536,'BuscarV Stock'!$A$1:$C$422,3,0),0)</f>
        <v>0</v>
      </c>
      <c r="Z536" s="46" t="s">
        <v>449</v>
      </c>
      <c r="AA536" s="46"/>
    </row>
    <row r="537">
      <c r="A537" s="125" t="s">
        <v>4586</v>
      </c>
      <c r="B537" s="21"/>
      <c r="C537" s="19" t="s">
        <v>3</v>
      </c>
      <c r="D537" s="50" t="s">
        <v>4587</v>
      </c>
      <c r="E537" s="50" t="s">
        <v>4588</v>
      </c>
      <c r="F537" s="50" t="s">
        <v>1795</v>
      </c>
      <c r="G537" s="50" t="s">
        <v>2316</v>
      </c>
      <c r="H537" s="31">
        <f t="shared" si="29"/>
        <v>27432.2314</v>
      </c>
      <c r="I537" s="21"/>
      <c r="J537" s="50">
        <v>33193.0</v>
      </c>
      <c r="K537" s="95">
        <v>0.4</v>
      </c>
      <c r="L537" s="123">
        <f>IF('Global Precios'!J537*(1-I537)*(1+'Global Precios'!K537)&gt;1000,MROUND('Global Precios'!J537*(1-I537)*(1+'Global Precios'!K537),100),MROUND('Global Precios'!J537*(1-I537)*(1+'Global Precios'!K537),10))</f>
        <v>46500</v>
      </c>
      <c r="M537" s="50">
        <v>15.0</v>
      </c>
      <c r="N537" s="50" t="s">
        <v>1823</v>
      </c>
      <c r="O537" s="21"/>
      <c r="P537" s="115">
        <v>45505.0</v>
      </c>
      <c r="Q537" s="21">
        <f t="shared" si="30"/>
        <v>23</v>
      </c>
      <c r="R537" s="50">
        <v>30.0</v>
      </c>
      <c r="S537" s="21"/>
      <c r="T537" s="41" t="str">
        <f>IFERROR(VLOOKUP(D537,BUSCARV!$A$1:$C$5524,2,0),"")</f>
        <v/>
      </c>
      <c r="U537" s="42"/>
      <c r="V537" s="42" t="str">
        <f t="shared" si="3"/>
        <v/>
      </c>
      <c r="W537" s="44" t="str">
        <f t="shared" si="4"/>
        <v/>
      </c>
      <c r="X537" s="44"/>
      <c r="Y537" s="45">
        <f>IFERROR(VLOOKUP(A537,'BuscarV Stock'!$A$1:$C$422,3,0),0)</f>
        <v>0</v>
      </c>
      <c r="Z537" s="46" t="s">
        <v>1075</v>
      </c>
      <c r="AA537" s="46"/>
    </row>
    <row r="538">
      <c r="A538" s="37">
        <v>566.0</v>
      </c>
      <c r="B538" s="21"/>
      <c r="C538" s="29" t="s">
        <v>3</v>
      </c>
      <c r="D538" s="75" t="s">
        <v>4589</v>
      </c>
      <c r="E538" s="19" t="s">
        <v>4574</v>
      </c>
      <c r="F538" s="29" t="s">
        <v>1795</v>
      </c>
      <c r="G538" s="19" t="s">
        <v>2316</v>
      </c>
      <c r="H538" s="31">
        <f t="shared" si="29"/>
        <v>1322.31405</v>
      </c>
      <c r="I538" s="56"/>
      <c r="J538" s="57">
        <v>1600.0</v>
      </c>
      <c r="K538" s="60">
        <v>0.7</v>
      </c>
      <c r="L538" s="33">
        <f>IF('Global Precios'!J538*(1-I538)*(1+'Global Precios'!K538)&gt;10000,MROUND('Global Precios'!J538*(1-I538)*(1+'Global Precios'!K538),1000),MROUND('Global Precios'!J538*(1-I538)*(1+'Global Precios'!K538),500))</f>
        <v>2500</v>
      </c>
      <c r="M538" s="91">
        <v>1.0</v>
      </c>
      <c r="N538" s="29" t="s">
        <v>1823</v>
      </c>
      <c r="O538" s="21"/>
      <c r="P538" s="35">
        <v>45870.0</v>
      </c>
      <c r="Q538" s="21">
        <f t="shared" si="30"/>
        <v>37</v>
      </c>
      <c r="R538" s="37">
        <v>0.0</v>
      </c>
      <c r="S538" s="21"/>
      <c r="T538" s="41" t="str">
        <f>IFERROR(VLOOKUP(D538,BUSCARV!$A$1:$C$5524,2,0),"")</f>
        <v/>
      </c>
      <c r="U538" s="42"/>
      <c r="V538" s="42" t="str">
        <f t="shared" si="3"/>
        <v/>
      </c>
      <c r="W538" s="44" t="str">
        <f t="shared" si="4"/>
        <v/>
      </c>
      <c r="X538" s="44"/>
      <c r="Y538" s="45">
        <f t="shared" ref="Y538:Y540" si="31">IFERROR(VLOOKUP(A538,#REF!,3,0),0)</f>
        <v>0</v>
      </c>
      <c r="Z538" s="46" t="s">
        <v>449</v>
      </c>
      <c r="AA538" s="46"/>
    </row>
    <row r="539">
      <c r="A539" s="37">
        <v>568.0</v>
      </c>
      <c r="B539" s="21"/>
      <c r="C539" s="29" t="s">
        <v>3</v>
      </c>
      <c r="D539" s="75" t="s">
        <v>4590</v>
      </c>
      <c r="E539" s="19" t="s">
        <v>4574</v>
      </c>
      <c r="F539" s="29" t="s">
        <v>1795</v>
      </c>
      <c r="G539" s="19" t="s">
        <v>2321</v>
      </c>
      <c r="H539" s="31">
        <f t="shared" si="29"/>
        <v>1743.801653</v>
      </c>
      <c r="I539" s="56"/>
      <c r="J539" s="77">
        <f t="shared" ref="J539:J540" si="32">J531/M531</f>
        <v>2110</v>
      </c>
      <c r="K539" s="60">
        <v>0.7</v>
      </c>
      <c r="L539" s="33">
        <f>IF('Global Precios'!J539*(1-I539)*(1+'Global Precios'!K539)&gt;10000,MROUND('Global Precios'!J539*(1-I539)*(1+'Global Precios'!K539),1000),MROUND('Global Precios'!J539*(1-I539)*(1+'Global Precios'!K539),500))</f>
        <v>3500</v>
      </c>
      <c r="M539" s="91">
        <v>1.0</v>
      </c>
      <c r="N539" s="29" t="s">
        <v>1823</v>
      </c>
      <c r="O539" s="21"/>
      <c r="P539" s="35">
        <v>45109.0</v>
      </c>
      <c r="Q539" s="21">
        <f t="shared" si="30"/>
        <v>26</v>
      </c>
      <c r="R539" s="37">
        <v>0.0</v>
      </c>
      <c r="S539" s="21"/>
      <c r="T539" s="41" t="str">
        <f>IFERROR(VLOOKUP(D539,BUSCARV!$A$1:$C$5524,2,0),"")</f>
        <v/>
      </c>
      <c r="U539" s="42"/>
      <c r="V539" s="42" t="str">
        <f t="shared" si="3"/>
        <v/>
      </c>
      <c r="W539" s="44" t="str">
        <f t="shared" si="4"/>
        <v/>
      </c>
      <c r="X539" s="44"/>
      <c r="Y539" s="45">
        <f t="shared" si="31"/>
        <v>0</v>
      </c>
      <c r="Z539" s="46" t="s">
        <v>449</v>
      </c>
      <c r="AA539" s="46"/>
    </row>
    <row r="540">
      <c r="A540" s="37">
        <v>570.0</v>
      </c>
      <c r="B540" s="21"/>
      <c r="C540" s="29" t="s">
        <v>3</v>
      </c>
      <c r="D540" s="75" t="s">
        <v>4591</v>
      </c>
      <c r="E540" s="19" t="s">
        <v>4574</v>
      </c>
      <c r="F540" s="29" t="s">
        <v>1795</v>
      </c>
      <c r="G540" s="19" t="s">
        <v>2316</v>
      </c>
      <c r="H540" s="31">
        <f t="shared" si="29"/>
        <v>557.8512397</v>
      </c>
      <c r="I540" s="56"/>
      <c r="J540" s="77">
        <f t="shared" si="32"/>
        <v>675</v>
      </c>
      <c r="K540" s="60">
        <v>0.7</v>
      </c>
      <c r="L540" s="33">
        <f>IF('Global Precios'!J540*(1-I540)*(1+'Global Precios'!K540)&gt;10000,MROUND('Global Precios'!J540*(1-I540)*(1+'Global Precios'!K540),1000),MROUND('Global Precios'!J540*(1-I540)*(1+'Global Precios'!K540),500))</f>
        <v>1000</v>
      </c>
      <c r="M540" s="91">
        <v>1.0</v>
      </c>
      <c r="N540" s="29" t="s">
        <v>1823</v>
      </c>
      <c r="O540" s="21"/>
      <c r="P540" s="35">
        <v>45566.0</v>
      </c>
      <c r="Q540" s="21">
        <f t="shared" si="30"/>
        <v>37</v>
      </c>
      <c r="R540" s="37">
        <v>0.0</v>
      </c>
      <c r="S540" s="21"/>
      <c r="T540" s="41" t="str">
        <f>IFERROR(VLOOKUP(D540,BUSCARV!$A$1:$C$5524,2,0),"")</f>
        <v/>
      </c>
      <c r="U540" s="42"/>
      <c r="V540" s="42" t="str">
        <f t="shared" si="3"/>
        <v/>
      </c>
      <c r="W540" s="44" t="str">
        <f t="shared" si="4"/>
        <v/>
      </c>
      <c r="X540" s="44"/>
      <c r="Y540" s="45">
        <f t="shared" si="31"/>
        <v>0</v>
      </c>
      <c r="Z540" s="46" t="s">
        <v>1075</v>
      </c>
      <c r="AA540" s="46"/>
    </row>
    <row r="541">
      <c r="A541" s="125" t="s">
        <v>4592</v>
      </c>
      <c r="B541" s="21"/>
      <c r="C541" s="19" t="s">
        <v>3</v>
      </c>
      <c r="D541" s="50" t="s">
        <v>4593</v>
      </c>
      <c r="E541" s="50" t="s">
        <v>4453</v>
      </c>
      <c r="F541" s="50" t="s">
        <v>2308</v>
      </c>
      <c r="G541" s="50" t="s">
        <v>2316</v>
      </c>
      <c r="H541" s="31">
        <f t="shared" si="29"/>
        <v>7174.380165</v>
      </c>
      <c r="I541" s="21"/>
      <c r="J541" s="50">
        <v>8681.0</v>
      </c>
      <c r="K541" s="111">
        <v>0.7</v>
      </c>
      <c r="L541" s="123">
        <f>IF('Global Precios'!J541*(1-I541)*(1+'Global Precios'!K541)&gt;1000,MROUND('Global Precios'!J541*(1-I541)*(1+'Global Precios'!K541),100),MROUND('Global Precios'!J541*(1-I541)*(1+'Global Precios'!K541),10))</f>
        <v>14800</v>
      </c>
      <c r="M541" s="50">
        <v>1.0</v>
      </c>
      <c r="N541" s="50" t="s">
        <v>2496</v>
      </c>
      <c r="O541" s="21"/>
      <c r="P541" s="35">
        <v>45323.0</v>
      </c>
      <c r="Q541" s="21">
        <f t="shared" si="30"/>
        <v>9</v>
      </c>
      <c r="R541" s="50">
        <v>30.0</v>
      </c>
      <c r="S541" s="21"/>
      <c r="T541" s="41" t="str">
        <f>IFERROR(VLOOKUP(D541,BUSCARV!$A$1:$C$5524,2,0),"")</f>
        <v/>
      </c>
      <c r="U541" s="42"/>
      <c r="V541" s="42" t="str">
        <f t="shared" si="3"/>
        <v/>
      </c>
      <c r="W541" s="44" t="str">
        <f t="shared" si="4"/>
        <v/>
      </c>
      <c r="X541" s="44"/>
      <c r="Y541" s="45">
        <f>IFERROR(VLOOKUP(A541,'BuscarV Stock'!$A$1:$C$422,3,0),0)</f>
        <v>0</v>
      </c>
      <c r="Z541" s="46" t="s">
        <v>1075</v>
      </c>
      <c r="AA541" s="46"/>
    </row>
    <row r="542">
      <c r="A542" s="125" t="s">
        <v>4594</v>
      </c>
      <c r="B542" s="21"/>
      <c r="C542" s="19" t="s">
        <v>3</v>
      </c>
      <c r="D542" s="50" t="s">
        <v>4595</v>
      </c>
      <c r="E542" s="50" t="s">
        <v>4294</v>
      </c>
      <c r="F542" s="50" t="s">
        <v>1982</v>
      </c>
      <c r="G542" s="50" t="s">
        <v>2360</v>
      </c>
      <c r="H542" s="31">
        <f t="shared" si="29"/>
        <v>1623.966942</v>
      </c>
      <c r="I542" s="21"/>
      <c r="J542" s="50">
        <v>1965.0</v>
      </c>
      <c r="K542" s="95">
        <v>1.0</v>
      </c>
      <c r="L542" s="33">
        <f>IF('Global Precios'!J542*(1-I542)*(1+'Global Precios'!K542)&gt;10000,MROUND('Global Precios'!J542*(1-I542)*(1+'Global Precios'!K542),1000),MROUND('Global Precios'!J542*(1-I542)*(1+'Global Precios'!K542),500))</f>
        <v>4000</v>
      </c>
      <c r="M542" s="50">
        <v>1.0</v>
      </c>
      <c r="N542" s="50" t="s">
        <v>46</v>
      </c>
      <c r="O542" s="21"/>
      <c r="P542" s="35">
        <v>45839.0</v>
      </c>
      <c r="Q542" s="21">
        <f t="shared" si="30"/>
        <v>17</v>
      </c>
      <c r="R542" s="50">
        <v>30.0</v>
      </c>
      <c r="S542" s="21"/>
      <c r="T542" s="41" t="str">
        <f>IFERROR(VLOOKUP(D542,BUSCARV!$A$1:$C$5524,2,0),"")</f>
        <v/>
      </c>
      <c r="U542" s="42"/>
      <c r="V542" s="42" t="str">
        <f t="shared" si="3"/>
        <v/>
      </c>
      <c r="W542" s="44" t="str">
        <f t="shared" si="4"/>
        <v/>
      </c>
      <c r="X542" s="44"/>
      <c r="Y542" s="45">
        <f>IFERROR(VLOOKUP(A542,'BuscarV Stock'!$A$1:$C$422,3,0),0)</f>
        <v>0</v>
      </c>
      <c r="Z542" s="46" t="s">
        <v>449</v>
      </c>
      <c r="AA542" s="128"/>
    </row>
    <row r="543">
      <c r="A543" s="125" t="s">
        <v>4596</v>
      </c>
      <c r="B543" s="21"/>
      <c r="C543" s="19" t="s">
        <v>3</v>
      </c>
      <c r="D543" s="114" t="s">
        <v>4597</v>
      </c>
      <c r="E543" s="21"/>
      <c r="F543" s="50" t="s">
        <v>1982</v>
      </c>
      <c r="G543" s="50" t="s">
        <v>2316</v>
      </c>
      <c r="H543" s="31">
        <f t="shared" si="29"/>
        <v>12338.84298</v>
      </c>
      <c r="I543" s="21"/>
      <c r="J543" s="50">
        <v>14930.0</v>
      </c>
      <c r="K543" s="95">
        <v>0.6</v>
      </c>
      <c r="L543" s="33">
        <f>IF('Global Precios'!J543*(1-I543)*(1+'Global Precios'!K543)&gt;10000,MROUND('Global Precios'!J543*(1-I543)*(1+'Global Precios'!K543),1000),MROUND('Global Precios'!J543*(1-I543)*(1+'Global Precios'!K543),500))</f>
        <v>24000</v>
      </c>
      <c r="M543" s="50">
        <v>1.0</v>
      </c>
      <c r="N543" s="50" t="s">
        <v>46</v>
      </c>
      <c r="O543" s="21"/>
      <c r="P543" s="35">
        <v>45839.0</v>
      </c>
      <c r="Q543" s="21">
        <f t="shared" si="30"/>
        <v>41</v>
      </c>
      <c r="R543" s="50">
        <v>30.0</v>
      </c>
      <c r="S543" s="21"/>
      <c r="T543" s="41" t="str">
        <f>IFERROR(VLOOKUP(D543,BUSCARV!$A$1:$C$5524,2,0),"")</f>
        <v/>
      </c>
      <c r="U543" s="42"/>
      <c r="V543" s="42" t="str">
        <f t="shared" si="3"/>
        <v/>
      </c>
      <c r="W543" s="44" t="str">
        <f t="shared" si="4"/>
        <v/>
      </c>
      <c r="X543" s="44"/>
      <c r="Y543" s="45">
        <f>IFERROR(VLOOKUP(A543,'BuscarV Stock'!$A$1:$C$422,3,0),0)</f>
        <v>0</v>
      </c>
      <c r="Z543" s="46" t="s">
        <v>449</v>
      </c>
      <c r="AA543" s="128"/>
    </row>
    <row r="544">
      <c r="A544" s="125" t="s">
        <v>4598</v>
      </c>
      <c r="B544" s="21"/>
      <c r="C544" s="19" t="s">
        <v>3</v>
      </c>
      <c r="D544" s="114" t="s">
        <v>4599</v>
      </c>
      <c r="E544" s="21"/>
      <c r="F544" s="50" t="s">
        <v>1982</v>
      </c>
      <c r="G544" s="50" t="s">
        <v>2316</v>
      </c>
      <c r="H544" s="31">
        <f t="shared" si="29"/>
        <v>7246.280992</v>
      </c>
      <c r="I544" s="21"/>
      <c r="J544" s="50">
        <v>8768.0</v>
      </c>
      <c r="K544" s="95">
        <v>0.8</v>
      </c>
      <c r="L544" s="123">
        <f>IF('Global Precios'!J544*(1-I544)*(1+'Global Precios'!K544)&gt;1000,MROUND('Global Precios'!J544*(1-I544)*(1+'Global Precios'!K544),100),MROUND('Global Precios'!J544*(1-I544)*(1+'Global Precios'!K544),10))</f>
        <v>15800</v>
      </c>
      <c r="M544" s="50">
        <v>1.0</v>
      </c>
      <c r="N544" s="50" t="s">
        <v>46</v>
      </c>
      <c r="O544" s="21"/>
      <c r="P544" s="35">
        <v>45383.0</v>
      </c>
      <c r="Q544" s="21">
        <f t="shared" si="30"/>
        <v>31</v>
      </c>
      <c r="R544" s="50">
        <v>30.0</v>
      </c>
      <c r="S544" s="21"/>
      <c r="T544" s="41" t="str">
        <f>IFERROR(VLOOKUP(D544,BUSCARV!$A$1:$C$5524,2,0),"")</f>
        <v/>
      </c>
      <c r="U544" s="42"/>
      <c r="V544" s="42" t="str">
        <f t="shared" si="3"/>
        <v/>
      </c>
      <c r="W544" s="44" t="str">
        <f t="shared" si="4"/>
        <v/>
      </c>
      <c r="X544" s="44"/>
      <c r="Y544" s="45">
        <f>IFERROR(VLOOKUP(A544,'BuscarV Stock'!$A$1:$C$422,3,0),0)</f>
        <v>0</v>
      </c>
      <c r="Z544" s="46" t="s">
        <v>1075</v>
      </c>
      <c r="AA544" s="128"/>
    </row>
    <row r="545">
      <c r="A545" s="125" t="s">
        <v>4600</v>
      </c>
      <c r="B545" s="21"/>
      <c r="C545" s="19" t="s">
        <v>3</v>
      </c>
      <c r="D545" s="114" t="s">
        <v>4601</v>
      </c>
      <c r="E545" s="21"/>
      <c r="F545" s="50" t="s">
        <v>1982</v>
      </c>
      <c r="G545" s="50" t="s">
        <v>2321</v>
      </c>
      <c r="H545" s="31">
        <f t="shared" si="29"/>
        <v>798.3471074</v>
      </c>
      <c r="I545" s="21"/>
      <c r="J545" s="50">
        <v>966.0</v>
      </c>
      <c r="K545" s="95">
        <v>0.8</v>
      </c>
      <c r="L545" s="33">
        <f>IF('Global Precios'!J545*(1-I545)*(1+'Global Precios'!K545)&gt;10000,MROUND('Global Precios'!J545*(1-I545)*(1+'Global Precios'!K545),1000),MROUND('Global Precios'!J545*(1-I545)*(1+'Global Precios'!K545),500))</f>
        <v>1500</v>
      </c>
      <c r="M545" s="50">
        <v>1.0</v>
      </c>
      <c r="N545" s="50" t="s">
        <v>46</v>
      </c>
      <c r="O545" s="21"/>
      <c r="P545" s="35">
        <v>45839.0</v>
      </c>
      <c r="Q545" s="21">
        <f t="shared" si="30"/>
        <v>17</v>
      </c>
      <c r="R545" s="50">
        <v>30.0</v>
      </c>
      <c r="S545" s="21"/>
      <c r="T545" s="41" t="str">
        <f>IFERROR(VLOOKUP(D545,BUSCARV!$A$1:$C$5524,2,0),"")</f>
        <v/>
      </c>
      <c r="U545" s="42"/>
      <c r="V545" s="42" t="str">
        <f t="shared" si="3"/>
        <v/>
      </c>
      <c r="W545" s="44" t="str">
        <f t="shared" si="4"/>
        <v/>
      </c>
      <c r="X545" s="44"/>
      <c r="Y545" s="45">
        <f>IFERROR(VLOOKUP(A545,'BuscarV Stock'!$A$1:$C$422,3,0),0)</f>
        <v>0</v>
      </c>
      <c r="Z545" s="46" t="s">
        <v>449</v>
      </c>
      <c r="AA545" s="46" t="s">
        <v>4602</v>
      </c>
    </row>
    <row r="546">
      <c r="A546" s="125" t="s">
        <v>4603</v>
      </c>
      <c r="B546" s="21"/>
      <c r="C546" s="19" t="s">
        <v>3</v>
      </c>
      <c r="D546" s="19" t="s">
        <v>4604</v>
      </c>
      <c r="E546" s="50" t="s">
        <v>4457</v>
      </c>
      <c r="F546" s="50" t="s">
        <v>2308</v>
      </c>
      <c r="G546" s="50" t="s">
        <v>2346</v>
      </c>
      <c r="H546" s="31">
        <f t="shared" si="29"/>
        <v>4214.876033</v>
      </c>
      <c r="I546" s="21"/>
      <c r="J546" s="50">
        <v>5100.0</v>
      </c>
      <c r="K546" s="95">
        <v>0.8</v>
      </c>
      <c r="L546" s="33">
        <f>IF('Global Precios'!J546*(1-I546)*(1+'Global Precios'!K546)&gt;10000,MROUND('Global Precios'!J546*(1-I546)*(1+'Global Precios'!K546),1000),MROUND('Global Precios'!J546*(1-I546)*(1+'Global Precios'!K546),500))</f>
        <v>9000</v>
      </c>
      <c r="M546" s="50">
        <v>15.0</v>
      </c>
      <c r="N546" s="50" t="s">
        <v>2496</v>
      </c>
      <c r="O546" s="21"/>
      <c r="P546" s="35">
        <v>45839.0</v>
      </c>
      <c r="Q546" s="21">
        <f t="shared" si="30"/>
        <v>22</v>
      </c>
      <c r="R546" s="50">
        <v>30.0</v>
      </c>
      <c r="S546" s="21"/>
      <c r="T546" s="41" t="str">
        <f>IFERROR(VLOOKUP(D546,BUSCARV!$A$1:$C$5524,2,0),"")</f>
        <v/>
      </c>
      <c r="U546" s="42"/>
      <c r="V546" s="42" t="str">
        <f t="shared" si="3"/>
        <v/>
      </c>
      <c r="W546" s="44" t="str">
        <f t="shared" si="4"/>
        <v/>
      </c>
      <c r="X546" s="44"/>
      <c r="Y546" s="45">
        <f>IFERROR(VLOOKUP(A546,'BuscarV Stock'!$A$1:$C$422,3,0),0)</f>
        <v>0</v>
      </c>
      <c r="Z546" s="46" t="s">
        <v>449</v>
      </c>
      <c r="AA546" s="128"/>
    </row>
    <row r="547">
      <c r="A547" s="125" t="s">
        <v>4605</v>
      </c>
      <c r="B547" s="21"/>
      <c r="C547" s="19" t="s">
        <v>3</v>
      </c>
      <c r="D547" s="19" t="s">
        <v>4606</v>
      </c>
      <c r="E547" s="50" t="s">
        <v>4456</v>
      </c>
      <c r="F547" s="50" t="s">
        <v>2308</v>
      </c>
      <c r="G547" s="50" t="s">
        <v>2344</v>
      </c>
      <c r="H547" s="31">
        <f t="shared" si="29"/>
        <v>5600</v>
      </c>
      <c r="I547" s="21"/>
      <c r="J547" s="19">
        <v>6776.0</v>
      </c>
      <c r="K547" s="95">
        <v>0.8</v>
      </c>
      <c r="L547" s="33">
        <f>IF('Global Precios'!J547*(1-I547)*(1+'Global Precios'!K547)&gt;10000,MROUND('Global Precios'!J547*(1-I547)*(1+'Global Precios'!K547),1000),MROUND('Global Precios'!J547*(1-I547)*(1+'Global Precios'!K547),500))</f>
        <v>12000</v>
      </c>
      <c r="M547" s="50">
        <v>1.0</v>
      </c>
      <c r="N547" s="50" t="s">
        <v>46</v>
      </c>
      <c r="O547" s="21"/>
      <c r="P547" s="35">
        <v>45962.0</v>
      </c>
      <c r="Q547" s="21">
        <f t="shared" si="30"/>
        <v>30</v>
      </c>
      <c r="R547" s="50">
        <v>30.0</v>
      </c>
      <c r="S547" s="21"/>
      <c r="T547" s="41" t="str">
        <f>IFERROR(VLOOKUP(D547,BUSCARV!$A$1:$C$5524,2,0),"")</f>
        <v/>
      </c>
      <c r="U547" s="42"/>
      <c r="V547" s="42" t="str">
        <f t="shared" si="3"/>
        <v/>
      </c>
      <c r="W547" s="44" t="str">
        <f t="shared" si="4"/>
        <v/>
      </c>
      <c r="X547" s="44"/>
      <c r="Y547" s="45">
        <f>IFERROR(VLOOKUP(A547,'BuscarV Stock'!$A$1:$C$422,3,0),0)</f>
        <v>0</v>
      </c>
      <c r="Z547" s="46" t="s">
        <v>449</v>
      </c>
      <c r="AA547" s="128"/>
    </row>
    <row r="548">
      <c r="A548" s="125" t="s">
        <v>4607</v>
      </c>
      <c r="B548" s="21"/>
      <c r="C548" s="19" t="s">
        <v>3</v>
      </c>
      <c r="D548" s="50" t="s">
        <v>4608</v>
      </c>
      <c r="E548" s="50" t="s">
        <v>4609</v>
      </c>
      <c r="F548" s="50" t="s">
        <v>2308</v>
      </c>
      <c r="G548" s="50" t="s">
        <v>2350</v>
      </c>
      <c r="H548" s="31">
        <f t="shared" si="29"/>
        <v>1827.272727</v>
      </c>
      <c r="I548" s="21"/>
      <c r="J548" s="50">
        <v>2211.0</v>
      </c>
      <c r="K548" s="95">
        <v>0.8</v>
      </c>
      <c r="L548" s="33">
        <f>IF('Global Precios'!J548*(1-I548)*(1+'Global Precios'!K548)&gt;10000,MROUND('Global Precios'!J548*(1-I548)*(1+'Global Precios'!K548),1000),MROUND('Global Precios'!J548*(1-I548)*(1+'Global Precios'!K548),500))</f>
        <v>4000</v>
      </c>
      <c r="M548" s="50">
        <v>1.0</v>
      </c>
      <c r="N548" s="50" t="s">
        <v>4383</v>
      </c>
      <c r="O548" s="21"/>
      <c r="P548" s="35">
        <v>45839.0</v>
      </c>
      <c r="Q548" s="21">
        <f t="shared" si="30"/>
        <v>30</v>
      </c>
      <c r="R548" s="50">
        <v>30.0</v>
      </c>
      <c r="S548" s="21"/>
      <c r="T548" s="41" t="str">
        <f>IFERROR(VLOOKUP(D548,BUSCARV!$A$1:$C$5524,2,0),"")</f>
        <v/>
      </c>
      <c r="U548" s="42"/>
      <c r="V548" s="42" t="str">
        <f t="shared" si="3"/>
        <v/>
      </c>
      <c r="W548" s="44" t="str">
        <f t="shared" si="4"/>
        <v/>
      </c>
      <c r="X548" s="44"/>
      <c r="Y548" s="45">
        <f>IFERROR(VLOOKUP(A548,'BuscarV Stock'!$A$1:$C$422,3,0),0)</f>
        <v>0</v>
      </c>
      <c r="Z548" s="46" t="s">
        <v>449</v>
      </c>
      <c r="AA548" s="128"/>
    </row>
    <row r="549">
      <c r="A549" s="125" t="s">
        <v>4610</v>
      </c>
      <c r="B549" s="21"/>
      <c r="C549" s="19" t="s">
        <v>3</v>
      </c>
      <c r="D549" s="50" t="s">
        <v>4611</v>
      </c>
      <c r="E549" s="50" t="s">
        <v>4609</v>
      </c>
      <c r="F549" s="50" t="s">
        <v>2308</v>
      </c>
      <c r="G549" s="50" t="s">
        <v>2350</v>
      </c>
      <c r="H549" s="31">
        <f t="shared" si="29"/>
        <v>7586.77686</v>
      </c>
      <c r="I549" s="21"/>
      <c r="J549" s="50">
        <v>9180.0</v>
      </c>
      <c r="K549" s="95">
        <v>0.8</v>
      </c>
      <c r="L549" s="33">
        <f>IF('Global Precios'!J549*(1-I549)*(1+'Global Precios'!K549)&gt;10000,MROUND('Global Precios'!J549*(1-I549)*(1+'Global Precios'!K549),1000),MROUND('Global Precios'!J549*(1-I549)*(1+'Global Precios'!K549),500))</f>
        <v>17000</v>
      </c>
      <c r="M549" s="50">
        <v>1.0</v>
      </c>
      <c r="N549" s="50" t="s">
        <v>4383</v>
      </c>
      <c r="O549" s="21"/>
      <c r="P549" s="115">
        <v>45839.0</v>
      </c>
      <c r="Q549" s="21">
        <f t="shared" si="30"/>
        <v>30</v>
      </c>
      <c r="R549" s="50">
        <v>30.0</v>
      </c>
      <c r="S549" s="21"/>
      <c r="T549" s="41" t="str">
        <f>IFERROR(VLOOKUP(D549,BUSCARV!$A$1:$C$5524,2,0),"")</f>
        <v/>
      </c>
      <c r="U549" s="42"/>
      <c r="V549" s="42" t="str">
        <f t="shared" si="3"/>
        <v/>
      </c>
      <c r="W549" s="44" t="str">
        <f t="shared" si="4"/>
        <v/>
      </c>
      <c r="X549" s="44"/>
      <c r="Y549" s="45">
        <f>IFERROR(VLOOKUP(A549,'BuscarV Stock'!$A$1:$C$422,3,0),0)</f>
        <v>0</v>
      </c>
      <c r="Z549" s="46" t="s">
        <v>449</v>
      </c>
      <c r="AA549" s="128"/>
    </row>
    <row r="550">
      <c r="A550" s="125" t="s">
        <v>4612</v>
      </c>
      <c r="B550" s="21"/>
      <c r="C550" s="19" t="s">
        <v>3</v>
      </c>
      <c r="D550" s="50" t="s">
        <v>4613</v>
      </c>
      <c r="E550" s="50" t="s">
        <v>4614</v>
      </c>
      <c r="F550" s="50" t="s">
        <v>2308</v>
      </c>
      <c r="G550" s="50" t="s">
        <v>2350</v>
      </c>
      <c r="H550" s="31">
        <f t="shared" si="29"/>
        <v>4214.876033</v>
      </c>
      <c r="I550" s="21"/>
      <c r="J550" s="50">
        <v>5100.0</v>
      </c>
      <c r="K550" s="95">
        <v>0.8</v>
      </c>
      <c r="L550" s="33">
        <f>IF('Global Precios'!J550*(1-I550)*(1+'Global Precios'!K550)&gt;10000,MROUND('Global Precios'!J550*(1-I550)*(1+'Global Precios'!K550),1000),MROUND('Global Precios'!J550*(1-I550)*(1+'Global Precios'!K550),500))</f>
        <v>9000</v>
      </c>
      <c r="M550" s="50">
        <v>1.0</v>
      </c>
      <c r="N550" s="50" t="s">
        <v>4383</v>
      </c>
      <c r="O550" s="21"/>
      <c r="P550" s="35">
        <v>45839.0</v>
      </c>
      <c r="Q550" s="21">
        <f t="shared" si="30"/>
        <v>29</v>
      </c>
      <c r="R550" s="50">
        <v>30.0</v>
      </c>
      <c r="S550" s="21"/>
      <c r="T550" s="41" t="str">
        <f>IFERROR(VLOOKUP(D550,BUSCARV!$A$1:$C$5524,2,0),"")</f>
        <v/>
      </c>
      <c r="U550" s="42"/>
      <c r="V550" s="42" t="str">
        <f t="shared" si="3"/>
        <v/>
      </c>
      <c r="W550" s="44" t="str">
        <f t="shared" si="4"/>
        <v/>
      </c>
      <c r="X550" s="44"/>
      <c r="Y550" s="45">
        <f>IFERROR(VLOOKUP(A550,'BuscarV Stock'!$A$1:$C$422,3,0),0)</f>
        <v>0</v>
      </c>
      <c r="Z550" s="46" t="s">
        <v>449</v>
      </c>
      <c r="AA550" s="128"/>
    </row>
    <row r="551">
      <c r="A551" s="125" t="s">
        <v>4615</v>
      </c>
      <c r="B551" s="21"/>
      <c r="C551" s="19" t="s">
        <v>3</v>
      </c>
      <c r="D551" s="50" t="s">
        <v>4616</v>
      </c>
      <c r="E551" s="50" t="s">
        <v>4574</v>
      </c>
      <c r="F551" s="50" t="s">
        <v>1795</v>
      </c>
      <c r="G551" s="50" t="s">
        <v>2316</v>
      </c>
      <c r="H551" s="31">
        <f t="shared" si="29"/>
        <v>20909.09091</v>
      </c>
      <c r="I551" s="21"/>
      <c r="J551" s="50">
        <v>25300.0</v>
      </c>
      <c r="K551" s="95">
        <v>0.5</v>
      </c>
      <c r="L551" s="33">
        <f>IF('Global Precios'!J551*(1-I551)*(1+'Global Precios'!K551)&gt;10000,MROUND('Global Precios'!J551*(1-I551)*(1+'Global Precios'!K551),1000),MROUND('Global Precios'!J551*(1-I551)*(1+'Global Precios'!K551),500))</f>
        <v>38000</v>
      </c>
      <c r="M551" s="50">
        <v>20.0</v>
      </c>
      <c r="N551" s="50" t="s">
        <v>1823</v>
      </c>
      <c r="O551" s="21"/>
      <c r="P551" s="115">
        <v>46204.0</v>
      </c>
      <c r="Q551" s="21">
        <f t="shared" si="30"/>
        <v>23</v>
      </c>
      <c r="R551" s="50">
        <v>30.0</v>
      </c>
      <c r="S551" s="21"/>
      <c r="T551" s="41" t="str">
        <f>IFERROR(VLOOKUP(D551,BUSCARV!$A$1:$C$5524,2,0),"")</f>
        <v/>
      </c>
      <c r="U551" s="42"/>
      <c r="V551" s="42" t="str">
        <f t="shared" si="3"/>
        <v/>
      </c>
      <c r="W551" s="44" t="str">
        <f t="shared" si="4"/>
        <v/>
      </c>
      <c r="X551" s="44"/>
      <c r="Y551" s="45">
        <f>IFERROR(VLOOKUP(A551,'BuscarV Stock'!$A$1:$C$422,3,0),0)</f>
        <v>0</v>
      </c>
      <c r="Z551" s="46" t="s">
        <v>1075</v>
      </c>
      <c r="AA551" s="128"/>
    </row>
    <row r="552">
      <c r="A552" s="125" t="s">
        <v>4617</v>
      </c>
      <c r="B552" s="21"/>
      <c r="C552" s="19" t="s">
        <v>3</v>
      </c>
      <c r="D552" s="19" t="s">
        <v>4618</v>
      </c>
      <c r="E552" s="50" t="s">
        <v>4443</v>
      </c>
      <c r="F552" s="50" t="s">
        <v>1795</v>
      </c>
      <c r="G552" s="50" t="s">
        <v>2321</v>
      </c>
      <c r="H552" s="31">
        <f t="shared" si="29"/>
        <v>8252.066116</v>
      </c>
      <c r="I552" s="21"/>
      <c r="J552" s="50">
        <v>9985.0</v>
      </c>
      <c r="K552" s="95">
        <v>0.35</v>
      </c>
      <c r="L552" s="33">
        <f>IF('Global Precios'!J552*(1-I552)*(1+'Global Precios'!K552)&gt;10000,MROUND('Global Precios'!J552*(1-I552)*(1+'Global Precios'!K552),1000),MROUND('Global Precios'!J552*(1-I552)*(1+'Global Precios'!K552),500))</f>
        <v>13000</v>
      </c>
      <c r="M552" s="50">
        <v>1.0</v>
      </c>
      <c r="N552" s="50" t="s">
        <v>1823</v>
      </c>
      <c r="O552" s="21"/>
      <c r="P552" s="115">
        <v>45839.0</v>
      </c>
      <c r="Q552" s="21">
        <f t="shared" si="30"/>
        <v>26</v>
      </c>
      <c r="R552" s="50">
        <v>30.0</v>
      </c>
      <c r="S552" s="21"/>
      <c r="T552" s="41" t="str">
        <f>IFERROR(VLOOKUP(D552,BUSCARV!$A$1:$C$5524,2,0),"")</f>
        <v/>
      </c>
      <c r="U552" s="42"/>
      <c r="V552" s="42" t="str">
        <f t="shared" si="3"/>
        <v/>
      </c>
      <c r="W552" s="44" t="str">
        <f t="shared" si="4"/>
        <v/>
      </c>
      <c r="X552" s="44"/>
      <c r="Y552" s="45">
        <f>IFERROR(VLOOKUP(A552,'BuscarV Stock'!$A$1:$C$422,3,0),0)</f>
        <v>0</v>
      </c>
      <c r="Z552" s="46" t="s">
        <v>449</v>
      </c>
      <c r="AA552" s="128"/>
    </row>
    <row r="553">
      <c r="A553" s="125" t="s">
        <v>4619</v>
      </c>
      <c r="B553" s="21"/>
      <c r="C553" s="19" t="s">
        <v>3</v>
      </c>
      <c r="D553" s="50" t="s">
        <v>4620</v>
      </c>
      <c r="E553" s="50" t="s">
        <v>4443</v>
      </c>
      <c r="F553" s="50" t="s">
        <v>1795</v>
      </c>
      <c r="G553" s="50" t="s">
        <v>2321</v>
      </c>
      <c r="H553" s="31">
        <f t="shared" si="29"/>
        <v>8264.46281</v>
      </c>
      <c r="I553" s="21"/>
      <c r="J553" s="50">
        <v>10000.0</v>
      </c>
      <c r="K553" s="95">
        <v>0.35</v>
      </c>
      <c r="L553" s="33">
        <f>IF('Global Precios'!J553*(1-I553)*(1+'Global Precios'!K553)&gt;10000,MROUND('Global Precios'!J553*(1-I553)*(1+'Global Precios'!K553),1000),MROUND('Global Precios'!J553*(1-I553)*(1+'Global Precios'!K553),500))</f>
        <v>14000</v>
      </c>
      <c r="M553" s="50">
        <v>1.0</v>
      </c>
      <c r="N553" s="50" t="s">
        <v>1823</v>
      </c>
      <c r="O553" s="21"/>
      <c r="P553" s="115">
        <v>45839.0</v>
      </c>
      <c r="Q553" s="21">
        <f t="shared" si="30"/>
        <v>27</v>
      </c>
      <c r="R553" s="50">
        <v>30.0</v>
      </c>
      <c r="S553" s="21"/>
      <c r="T553" s="41" t="str">
        <f>IFERROR(VLOOKUP(D553,BUSCARV!$A$1:$C$5524,2,0),"")</f>
        <v/>
      </c>
      <c r="U553" s="42"/>
      <c r="V553" s="42" t="str">
        <f t="shared" si="3"/>
        <v/>
      </c>
      <c r="W553" s="44" t="str">
        <f t="shared" si="4"/>
        <v/>
      </c>
      <c r="X553" s="44"/>
      <c r="Y553" s="45">
        <f>IFERROR(VLOOKUP(A553,'BuscarV Stock'!$A$1:$C$422,3,0),0)</f>
        <v>0</v>
      </c>
      <c r="Z553" s="46" t="s">
        <v>449</v>
      </c>
      <c r="AA553" s="128"/>
    </row>
    <row r="554">
      <c r="A554" s="125" t="s">
        <v>4621</v>
      </c>
      <c r="B554" s="21"/>
      <c r="C554" s="19" t="s">
        <v>3</v>
      </c>
      <c r="D554" s="50" t="s">
        <v>4622</v>
      </c>
      <c r="E554" s="50" t="s">
        <v>4574</v>
      </c>
      <c r="F554" s="50" t="s">
        <v>1795</v>
      </c>
      <c r="G554" s="50" t="s">
        <v>2316</v>
      </c>
      <c r="H554" s="31">
        <f t="shared" si="29"/>
        <v>32727.27273</v>
      </c>
      <c r="I554" s="21"/>
      <c r="J554" s="50">
        <v>39600.0</v>
      </c>
      <c r="K554" s="95">
        <v>0.5</v>
      </c>
      <c r="L554" s="33">
        <f>IF('Global Precios'!J554*(1-I554)*(1+'Global Precios'!K554)&gt;10000,MROUND('Global Precios'!J554*(1-I554)*(1+'Global Precios'!K554),1000),MROUND('Global Precios'!J554*(1-I554)*(1+'Global Precios'!K554),500))</f>
        <v>59000</v>
      </c>
      <c r="M554" s="50">
        <v>20.0</v>
      </c>
      <c r="N554" s="50" t="s">
        <v>1823</v>
      </c>
      <c r="O554" s="21"/>
      <c r="P554" s="115">
        <v>45748.0</v>
      </c>
      <c r="Q554" s="21">
        <f t="shared" si="30"/>
        <v>27</v>
      </c>
      <c r="R554" s="50">
        <v>30.0</v>
      </c>
      <c r="S554" s="21"/>
      <c r="T554" s="41" t="str">
        <f>IFERROR(VLOOKUP(D554,BUSCARV!$A$1:$C$5524,2,0),"")</f>
        <v/>
      </c>
      <c r="U554" s="42"/>
      <c r="V554" s="42" t="str">
        <f t="shared" si="3"/>
        <v/>
      </c>
      <c r="W554" s="44" t="str">
        <f t="shared" si="4"/>
        <v/>
      </c>
      <c r="X554" s="44"/>
      <c r="Y554" s="45">
        <f>IFERROR(VLOOKUP(A554,'BuscarV Stock'!$A$1:$C$422,3,0),0)</f>
        <v>0</v>
      </c>
      <c r="Z554" s="46" t="s">
        <v>449</v>
      </c>
      <c r="AA554" s="128"/>
    </row>
    <row r="555">
      <c r="A555" s="125" t="s">
        <v>4623</v>
      </c>
      <c r="B555" s="21"/>
      <c r="C555" s="19" t="s">
        <v>3</v>
      </c>
      <c r="D555" s="50" t="s">
        <v>4624</v>
      </c>
      <c r="E555" s="50" t="s">
        <v>4501</v>
      </c>
      <c r="F555" s="50" t="s">
        <v>2308</v>
      </c>
      <c r="G555" s="50" t="s">
        <v>2351</v>
      </c>
      <c r="H555" s="31">
        <f t="shared" si="29"/>
        <v>2514.049587</v>
      </c>
      <c r="I555" s="21"/>
      <c r="J555" s="50">
        <v>3042.0</v>
      </c>
      <c r="K555" s="95">
        <v>0.7</v>
      </c>
      <c r="L555" s="33">
        <f>IF('Global Precios'!J555*(1-I555)*(1+'Global Precios'!K555)&gt;10000,MROUND('Global Precios'!J555*(1-I555)*(1+'Global Precios'!K555),1000),MROUND('Global Precios'!J555*(1-I555)*(1+'Global Precios'!K555),500))</f>
        <v>5000</v>
      </c>
      <c r="M555" s="50">
        <v>10.0</v>
      </c>
      <c r="N555" s="50" t="s">
        <v>4383</v>
      </c>
      <c r="O555" s="21"/>
      <c r="P555" s="35">
        <v>46023.0</v>
      </c>
      <c r="Q555" s="21">
        <f t="shared" si="30"/>
        <v>31</v>
      </c>
      <c r="R555" s="50">
        <v>30.0</v>
      </c>
      <c r="S555" s="21"/>
      <c r="T555" s="41" t="str">
        <f>IFERROR(VLOOKUP(D555,BUSCARV!$A$1:$C$5524,2,0),"")</f>
        <v/>
      </c>
      <c r="U555" s="42"/>
      <c r="V555" s="42" t="str">
        <f t="shared" si="3"/>
        <v/>
      </c>
      <c r="W555" s="44" t="str">
        <f t="shared" si="4"/>
        <v/>
      </c>
      <c r="X555" s="44"/>
      <c r="Y555" s="45">
        <f>IFERROR(VLOOKUP(A555,'BuscarV Stock'!$A$1:$C$422,3,0),0)</f>
        <v>0</v>
      </c>
      <c r="Z555" s="46" t="s">
        <v>449</v>
      </c>
      <c r="AA555" s="128"/>
    </row>
    <row r="556">
      <c r="A556" s="125" t="s">
        <v>4625</v>
      </c>
      <c r="B556" s="21"/>
      <c r="C556" s="19" t="s">
        <v>3</v>
      </c>
      <c r="D556" s="50" t="s">
        <v>4626</v>
      </c>
      <c r="E556" s="50" t="s">
        <v>4501</v>
      </c>
      <c r="F556" s="50" t="s">
        <v>2308</v>
      </c>
      <c r="G556" s="50" t="s">
        <v>2351</v>
      </c>
      <c r="H556" s="31">
        <f t="shared" si="29"/>
        <v>3246.280992</v>
      </c>
      <c r="I556" s="21"/>
      <c r="J556" s="50">
        <v>3928.0</v>
      </c>
      <c r="K556" s="95">
        <v>0.7</v>
      </c>
      <c r="L556" s="33">
        <f>IF('Global Precios'!J556*(1-I556)*(1+'Global Precios'!K556)&gt;10000,MROUND('Global Precios'!J556*(1-I556)*(1+'Global Precios'!K556),1000),MROUND('Global Precios'!J556*(1-I556)*(1+'Global Precios'!K556),500))</f>
        <v>6500</v>
      </c>
      <c r="M556" s="50">
        <v>10.0</v>
      </c>
      <c r="N556" s="50" t="s">
        <v>4383</v>
      </c>
      <c r="O556" s="21"/>
      <c r="P556" s="35">
        <v>46023.0</v>
      </c>
      <c r="Q556" s="21">
        <f t="shared" si="30"/>
        <v>35</v>
      </c>
      <c r="R556" s="50">
        <v>30.0</v>
      </c>
      <c r="S556" s="21"/>
      <c r="T556" s="41" t="str">
        <f>IFERROR(VLOOKUP(D556,BUSCARV!$A$1:$C$5524,2,0),"")</f>
        <v/>
      </c>
      <c r="U556" s="42"/>
      <c r="V556" s="42" t="str">
        <f t="shared" si="3"/>
        <v/>
      </c>
      <c r="W556" s="44" t="str">
        <f t="shared" si="4"/>
        <v/>
      </c>
      <c r="X556" s="44"/>
      <c r="Y556" s="45">
        <f>IFERROR(VLOOKUP(A556,'BuscarV Stock'!$A$1:$C$422,3,0),0)</f>
        <v>0</v>
      </c>
      <c r="Z556" s="46" t="s">
        <v>449</v>
      </c>
      <c r="AA556" s="128"/>
    </row>
    <row r="557">
      <c r="A557" s="125" t="s">
        <v>4627</v>
      </c>
      <c r="B557" s="21"/>
      <c r="C557" s="19" t="s">
        <v>3</v>
      </c>
      <c r="D557" s="19" t="s">
        <v>4266</v>
      </c>
      <c r="E557" s="50" t="s">
        <v>4454</v>
      </c>
      <c r="F557" s="50" t="s">
        <v>2308</v>
      </c>
      <c r="G557" s="50" t="s">
        <v>2344</v>
      </c>
      <c r="H557" s="31">
        <f t="shared" si="29"/>
        <v>3144.628099</v>
      </c>
      <c r="I557" s="21"/>
      <c r="J557" s="19">
        <v>3805.0</v>
      </c>
      <c r="K557" s="95">
        <v>0.7</v>
      </c>
      <c r="L557" s="33">
        <f>IF('Global Precios'!J557*(1-I557)*(1+'Global Precios'!K557)&gt;10000,MROUND('Global Precios'!J557*(1-I557)*(1+'Global Precios'!K557),1000),MROUND('Global Precios'!J557*(1-I557)*(1+'Global Precios'!K557),500))</f>
        <v>6500</v>
      </c>
      <c r="M557" s="50">
        <v>1.0</v>
      </c>
      <c r="N557" s="50" t="s">
        <v>46</v>
      </c>
      <c r="O557" s="21"/>
      <c r="P557" s="35">
        <v>45839.0</v>
      </c>
      <c r="Q557" s="21">
        <f t="shared" si="30"/>
        <v>29</v>
      </c>
      <c r="R557" s="50">
        <v>30.0</v>
      </c>
      <c r="S557" s="21"/>
      <c r="T557" s="41">
        <f>IFERROR(VLOOKUP(D557,BUSCARV!$A$1:$C$5524,2,0),"")</f>
        <v>3672</v>
      </c>
      <c r="U557" s="42"/>
      <c r="V557" s="42">
        <f t="shared" si="3"/>
        <v>3672</v>
      </c>
      <c r="W557" s="44">
        <f t="shared" si="4"/>
        <v>-0.03495400788</v>
      </c>
      <c r="X557" s="44"/>
      <c r="Y557" s="45">
        <f>IFERROR(VLOOKUP(A557,'BuscarV Stock'!$A$1:$C$422,3,0),0)</f>
        <v>0</v>
      </c>
      <c r="Z557" s="46" t="s">
        <v>449</v>
      </c>
      <c r="AA557" s="128"/>
    </row>
    <row r="558">
      <c r="A558" s="125" t="s">
        <v>4628</v>
      </c>
      <c r="B558" s="21"/>
      <c r="C558" s="19" t="s">
        <v>3</v>
      </c>
      <c r="D558" s="19" t="s">
        <v>4267</v>
      </c>
      <c r="E558" s="50" t="s">
        <v>4454</v>
      </c>
      <c r="F558" s="50" t="s">
        <v>2308</v>
      </c>
      <c r="G558" s="50" t="s">
        <v>2344</v>
      </c>
      <c r="H558" s="31">
        <f t="shared" si="29"/>
        <v>3547.933884</v>
      </c>
      <c r="I558" s="21"/>
      <c r="J558" s="19">
        <v>4293.0</v>
      </c>
      <c r="K558" s="95">
        <v>0.7</v>
      </c>
      <c r="L558" s="33">
        <f>IF('Global Precios'!J558*(1-I558)*(1+'Global Precios'!K558)&gt;10000,MROUND('Global Precios'!J558*(1-I558)*(1+'Global Precios'!K558),1000),MROUND('Global Precios'!J558*(1-I558)*(1+'Global Precios'!K558),500))</f>
        <v>7500</v>
      </c>
      <c r="M558" s="50">
        <v>1.0</v>
      </c>
      <c r="N558" s="50" t="s">
        <v>46</v>
      </c>
      <c r="O558" s="21"/>
      <c r="P558" s="35">
        <v>45839.0</v>
      </c>
      <c r="Q558" s="21">
        <f t="shared" si="30"/>
        <v>29</v>
      </c>
      <c r="R558" s="50">
        <v>30.0</v>
      </c>
      <c r="S558" s="21"/>
      <c r="T558" s="41">
        <f>IFERROR(VLOOKUP(D558,BUSCARV!$A$1:$C$5524,2,0),"")</f>
        <v>4142</v>
      </c>
      <c r="U558" s="42"/>
      <c r="V558" s="42">
        <f t="shared" si="3"/>
        <v>4142</v>
      </c>
      <c r="W558" s="44">
        <f t="shared" si="4"/>
        <v>-0.03517353832</v>
      </c>
      <c r="X558" s="44"/>
      <c r="Y558" s="45">
        <f>IFERROR(VLOOKUP(A558,'BuscarV Stock'!$A$1:$C$422,3,0),0)</f>
        <v>0</v>
      </c>
      <c r="Z558" s="46" t="s">
        <v>449</v>
      </c>
      <c r="AA558" s="128"/>
    </row>
    <row r="559">
      <c r="A559" s="125" t="s">
        <v>4629</v>
      </c>
      <c r="B559" s="21"/>
      <c r="C559" s="19" t="s">
        <v>3</v>
      </c>
      <c r="D559" s="50" t="s">
        <v>4630</v>
      </c>
      <c r="E559" s="50" t="s">
        <v>4574</v>
      </c>
      <c r="F559" s="50" t="s">
        <v>1795</v>
      </c>
      <c r="G559" s="50" t="s">
        <v>2321</v>
      </c>
      <c r="H559" s="31">
        <f t="shared" si="29"/>
        <v>16528.92562</v>
      </c>
      <c r="I559" s="21"/>
      <c r="J559" s="50">
        <v>20000.0</v>
      </c>
      <c r="K559" s="95">
        <v>0.5</v>
      </c>
      <c r="L559" s="33">
        <f>IF('Global Precios'!J559*(1-I559)*(1+'Global Precios'!K559)&gt;10000,MROUND('Global Precios'!J559*(1-I559)*(1+'Global Precios'!K559),1000),MROUND('Global Precios'!J559*(1-I559)*(1+'Global Precios'!K559),500))</f>
        <v>30000</v>
      </c>
      <c r="M559" s="50">
        <v>8.0</v>
      </c>
      <c r="N559" s="50" t="s">
        <v>1823</v>
      </c>
      <c r="O559" s="21"/>
      <c r="P559" s="115">
        <v>46204.0</v>
      </c>
      <c r="Q559" s="21">
        <f t="shared" si="30"/>
        <v>25</v>
      </c>
      <c r="R559" s="50">
        <v>30.0</v>
      </c>
      <c r="S559" s="21"/>
      <c r="T559" s="41" t="str">
        <f>IFERROR(VLOOKUP(D559,BUSCARV!$A$1:$C$5524,2,0),"")</f>
        <v/>
      </c>
      <c r="U559" s="42"/>
      <c r="V559" s="42" t="str">
        <f t="shared" si="3"/>
        <v/>
      </c>
      <c r="W559" s="44" t="str">
        <f t="shared" si="4"/>
        <v/>
      </c>
      <c r="X559" s="44"/>
      <c r="Y559" s="45">
        <f>IFERROR(VLOOKUP(A559,'BuscarV Stock'!$A$1:$C$422,3,0),0)</f>
        <v>0</v>
      </c>
      <c r="Z559" s="46" t="s">
        <v>1075</v>
      </c>
      <c r="AA559" s="128"/>
    </row>
    <row r="560">
      <c r="A560" s="125" t="s">
        <v>4631</v>
      </c>
      <c r="B560" s="21"/>
      <c r="C560" s="19" t="s">
        <v>3</v>
      </c>
      <c r="D560" s="50" t="s">
        <v>4632</v>
      </c>
      <c r="E560" s="21"/>
      <c r="F560" s="50" t="s">
        <v>1982</v>
      </c>
      <c r="G560" s="50" t="s">
        <v>2371</v>
      </c>
      <c r="H560" s="31">
        <f t="shared" si="29"/>
        <v>15753.71901</v>
      </c>
      <c r="I560" s="21"/>
      <c r="J560" s="50">
        <v>19062.0</v>
      </c>
      <c r="K560" s="95">
        <v>0.5</v>
      </c>
      <c r="L560" s="33">
        <f>IF('Global Precios'!J560*(1-I560)*(1+'Global Precios'!K560)&gt;10000,MROUND('Global Precios'!J560*(1-I560)*(1+'Global Precios'!K560),1000),MROUND('Global Precios'!J560*(1-I560)*(1+'Global Precios'!K560),500))</f>
        <v>29000</v>
      </c>
      <c r="M560" s="50">
        <v>1.0</v>
      </c>
      <c r="N560" s="50" t="s">
        <v>46</v>
      </c>
      <c r="O560" s="21"/>
      <c r="P560" s="115">
        <v>45839.0</v>
      </c>
      <c r="Q560" s="21">
        <f t="shared" si="30"/>
        <v>16</v>
      </c>
      <c r="R560" s="50">
        <v>30.0</v>
      </c>
      <c r="S560" s="21"/>
      <c r="T560" s="41" t="str">
        <f>IFERROR(VLOOKUP(D560,BUSCARV!$A$1:$C$5524,2,0),"")</f>
        <v/>
      </c>
      <c r="U560" s="42"/>
      <c r="V560" s="42" t="str">
        <f t="shared" si="3"/>
        <v/>
      </c>
      <c r="W560" s="44" t="str">
        <f t="shared" si="4"/>
        <v/>
      </c>
      <c r="X560" s="44"/>
      <c r="Y560" s="45">
        <f>IFERROR(VLOOKUP(A560,'BuscarV Stock'!$A$1:$C$422,3,0),0)</f>
        <v>0</v>
      </c>
      <c r="Z560" s="46" t="s">
        <v>449</v>
      </c>
      <c r="AA560" s="128"/>
    </row>
    <row r="561">
      <c r="A561" s="125" t="s">
        <v>4633</v>
      </c>
      <c r="B561" s="21"/>
      <c r="C561" s="19" t="s">
        <v>3</v>
      </c>
      <c r="D561" s="50" t="s">
        <v>4634</v>
      </c>
      <c r="E561" s="50" t="s">
        <v>4574</v>
      </c>
      <c r="F561" s="50" t="s">
        <v>1795</v>
      </c>
      <c r="G561" s="50" t="s">
        <v>2316</v>
      </c>
      <c r="H561" s="31">
        <f t="shared" si="29"/>
        <v>17768.59504</v>
      </c>
      <c r="I561" s="21"/>
      <c r="J561" s="50">
        <v>21500.0</v>
      </c>
      <c r="K561" s="95">
        <v>0.5</v>
      </c>
      <c r="L561" s="123">
        <f>IF('Global Precios'!J561*(1-I561)*(1+'Global Precios'!K561)&gt;1000,MROUND('Global Precios'!J561*(1-I561)*(1+'Global Precios'!K561),100),MROUND('Global Precios'!J561*(1-I561)*(1+'Global Precios'!K561),10))</f>
        <v>32300</v>
      </c>
      <c r="M561" s="50">
        <v>15.0</v>
      </c>
      <c r="N561" s="50" t="s">
        <v>1823</v>
      </c>
      <c r="O561" s="21"/>
      <c r="P561" s="115">
        <v>45261.0</v>
      </c>
      <c r="Q561" s="21">
        <f t="shared" si="30"/>
        <v>27</v>
      </c>
      <c r="R561" s="50">
        <v>30.0</v>
      </c>
      <c r="S561" s="21"/>
      <c r="T561" s="41" t="str">
        <f>IFERROR(VLOOKUP(D561,BUSCARV!$A$1:$C$5524,2,0),"")</f>
        <v/>
      </c>
      <c r="U561" s="42"/>
      <c r="V561" s="42" t="str">
        <f t="shared" si="3"/>
        <v/>
      </c>
      <c r="W561" s="44" t="str">
        <f t="shared" si="4"/>
        <v/>
      </c>
      <c r="X561" s="44"/>
      <c r="Y561" s="45">
        <f>IFERROR(VLOOKUP(A561,'BuscarV Stock'!$A$1:$C$422,3,0),0)</f>
        <v>0</v>
      </c>
      <c r="Z561" s="46" t="s">
        <v>1075</v>
      </c>
      <c r="AA561" s="128"/>
    </row>
    <row r="562">
      <c r="A562" s="125" t="s">
        <v>4635</v>
      </c>
      <c r="B562" s="21"/>
      <c r="C562" s="19" t="s">
        <v>3</v>
      </c>
      <c r="D562" s="19" t="s">
        <v>2783</v>
      </c>
      <c r="E562" s="50" t="s">
        <v>4465</v>
      </c>
      <c r="F562" s="50" t="s">
        <v>2308</v>
      </c>
      <c r="G562" s="50" t="s">
        <v>2348</v>
      </c>
      <c r="H562" s="31">
        <f t="shared" si="29"/>
        <v>11892.56198</v>
      </c>
      <c r="I562" s="21"/>
      <c r="J562" s="19">
        <v>14390.0</v>
      </c>
      <c r="K562" s="111">
        <v>0.6</v>
      </c>
      <c r="L562" s="33">
        <f>IF('Global Precios'!J562*(1-I562)*(1+'Global Precios'!K562)&gt;10000,MROUND('Global Precios'!J562*(1-I562)*(1+'Global Precios'!K562),1000),MROUND('Global Precios'!J562*(1-I562)*(1+'Global Precios'!K562),500))</f>
        <v>23000</v>
      </c>
      <c r="M562" s="50">
        <v>1.0</v>
      </c>
      <c r="N562" s="50" t="s">
        <v>46</v>
      </c>
      <c r="O562" s="21"/>
      <c r="P562" s="35">
        <v>45839.0</v>
      </c>
      <c r="Q562" s="21">
        <f t="shared" si="30"/>
        <v>18</v>
      </c>
      <c r="R562" s="50">
        <v>30.0</v>
      </c>
      <c r="S562" s="21"/>
      <c r="T562" s="41">
        <f>IFERROR(VLOOKUP(D562,BUSCARV!$A$1:$C$5524,2,0),"")</f>
        <v>14390</v>
      </c>
      <c r="U562" s="42"/>
      <c r="V562" s="42">
        <f t="shared" si="3"/>
        <v>14390</v>
      </c>
      <c r="W562" s="44">
        <f t="shared" si="4"/>
        <v>0</v>
      </c>
      <c r="X562" s="44"/>
      <c r="Y562" s="45">
        <f>IFERROR(VLOOKUP(A562,'BuscarV Stock'!$A$1:$C$422,3,0),0)</f>
        <v>0</v>
      </c>
      <c r="Z562" s="46" t="s">
        <v>449</v>
      </c>
      <c r="AA562" s="128"/>
    </row>
    <row r="563">
      <c r="A563" s="125" t="s">
        <v>4636</v>
      </c>
      <c r="B563" s="19"/>
      <c r="C563" s="19" t="s">
        <v>3</v>
      </c>
      <c r="D563" s="19" t="s">
        <v>4637</v>
      </c>
      <c r="E563" s="50" t="s">
        <v>4574</v>
      </c>
      <c r="F563" s="50" t="s">
        <v>1795</v>
      </c>
      <c r="G563" s="50" t="s">
        <v>2316</v>
      </c>
      <c r="H563" s="31">
        <f t="shared" si="29"/>
        <v>22099.17355</v>
      </c>
      <c r="I563" s="21"/>
      <c r="J563" s="50">
        <v>26740.0</v>
      </c>
      <c r="K563" s="111">
        <v>0.5</v>
      </c>
      <c r="L563" s="33">
        <f>IF('Global Precios'!J563*(1-I563)*(1+'Global Precios'!K563)&gt;10000,MROUND('Global Precios'!J563*(1-I563)*(1+'Global Precios'!K563),1000),MROUND('Global Precios'!J563*(1-I563)*(1+'Global Precios'!K563),500))</f>
        <v>40000</v>
      </c>
      <c r="M563" s="50">
        <v>15.0</v>
      </c>
      <c r="N563" s="50" t="s">
        <v>1823</v>
      </c>
      <c r="O563" s="21"/>
      <c r="P563" s="115">
        <v>45627.0</v>
      </c>
      <c r="Q563" s="21">
        <f t="shared" si="30"/>
        <v>27</v>
      </c>
      <c r="R563" s="50">
        <v>30.0</v>
      </c>
      <c r="S563" s="21"/>
      <c r="T563" s="41" t="str">
        <f>IFERROR(VLOOKUP(D563,BUSCARV!$A$1:$C$5524,2,0),"")</f>
        <v/>
      </c>
      <c r="U563" s="42"/>
      <c r="V563" s="42" t="str">
        <f t="shared" si="3"/>
        <v/>
      </c>
      <c r="W563" s="44" t="str">
        <f t="shared" si="4"/>
        <v/>
      </c>
      <c r="X563" s="44"/>
      <c r="Y563" s="45">
        <f>IFERROR(VLOOKUP(A563,'BuscarV Stock'!$A$1:$C$422,3,0),0)</f>
        <v>0</v>
      </c>
      <c r="Z563" s="46" t="s">
        <v>1075</v>
      </c>
      <c r="AA563" s="128"/>
    </row>
    <row r="564">
      <c r="A564" s="125" t="s">
        <v>4638</v>
      </c>
      <c r="B564" s="21"/>
      <c r="C564" s="19" t="s">
        <v>3</v>
      </c>
      <c r="D564" s="19" t="s">
        <v>838</v>
      </c>
      <c r="E564" s="50" t="s">
        <v>4470</v>
      </c>
      <c r="F564" s="50" t="s">
        <v>2308</v>
      </c>
      <c r="G564" s="50" t="s">
        <v>2348</v>
      </c>
      <c r="H564" s="31">
        <f t="shared" si="29"/>
        <v>6225.619835</v>
      </c>
      <c r="I564" s="21"/>
      <c r="J564" s="19">
        <v>7533.0</v>
      </c>
      <c r="K564" s="111">
        <v>0.6</v>
      </c>
      <c r="L564" s="33">
        <f>IF('Global Precios'!J564*(1-I564)*(1+'Global Precios'!K564)&gt;10000,MROUND('Global Precios'!J564*(1-I564)*(1+'Global Precios'!K564),1000),MROUND('Global Precios'!J564*(1-I564)*(1+'Global Precios'!K564),500))</f>
        <v>12000</v>
      </c>
      <c r="M564" s="50">
        <v>1.0</v>
      </c>
      <c r="N564" s="50" t="s">
        <v>46</v>
      </c>
      <c r="O564" s="21"/>
      <c r="P564" s="35">
        <v>45839.0</v>
      </c>
      <c r="Q564" s="21">
        <f t="shared" si="30"/>
        <v>15</v>
      </c>
      <c r="R564" s="50">
        <v>30.0</v>
      </c>
      <c r="S564" s="21"/>
      <c r="T564" s="41">
        <f>IFERROR(VLOOKUP(D564,BUSCARV!$A$1:$C$5524,2,0),"")</f>
        <v>7533</v>
      </c>
      <c r="U564" s="42"/>
      <c r="V564" s="42">
        <f t="shared" si="3"/>
        <v>7533</v>
      </c>
      <c r="W564" s="44">
        <f t="shared" si="4"/>
        <v>0</v>
      </c>
      <c r="X564" s="44"/>
      <c r="Y564" s="45">
        <f>IFERROR(VLOOKUP(A564,'BuscarV Stock'!$A$1:$C$422,3,0),0)</f>
        <v>0</v>
      </c>
      <c r="Z564" s="46" t="s">
        <v>449</v>
      </c>
      <c r="AA564" s="128"/>
    </row>
    <row r="565">
      <c r="A565" s="125" t="s">
        <v>4639</v>
      </c>
      <c r="B565" s="21"/>
      <c r="C565" s="19" t="s">
        <v>3</v>
      </c>
      <c r="D565" s="19" t="s">
        <v>3999</v>
      </c>
      <c r="E565" s="50" t="s">
        <v>4536</v>
      </c>
      <c r="F565" s="50" t="s">
        <v>2308</v>
      </c>
      <c r="G565" s="50" t="s">
        <v>2316</v>
      </c>
      <c r="H565" s="31">
        <f t="shared" si="29"/>
        <v>108986.7769</v>
      </c>
      <c r="I565" s="21"/>
      <c r="J565" s="19">
        <v>131874.0</v>
      </c>
      <c r="K565" s="95">
        <v>0.45</v>
      </c>
      <c r="L565" s="33">
        <f>IF('Global Precios'!J565*(1-I565)*(1+'Global Precios'!K565)&gt;10000,MROUND('Global Precios'!J565*(1-I565)*(1+'Global Precios'!K565),1000),MROUND('Global Precios'!J565*(1-I565)*(1+'Global Precios'!K565),500))</f>
        <v>191000</v>
      </c>
      <c r="M565" s="50">
        <v>1.0</v>
      </c>
      <c r="N565" s="50" t="s">
        <v>46</v>
      </c>
      <c r="O565" s="21"/>
      <c r="P565" s="35">
        <v>45839.0</v>
      </c>
      <c r="Q565" s="21">
        <f t="shared" si="30"/>
        <v>17</v>
      </c>
      <c r="R565" s="50">
        <v>30.0</v>
      </c>
      <c r="S565" s="21"/>
      <c r="T565" s="41">
        <f>IFERROR(VLOOKUP(D565,BUSCARV!$A$1:$C$5524,2,0),"")</f>
        <v>129810</v>
      </c>
      <c r="U565" s="42"/>
      <c r="V565" s="42">
        <f t="shared" si="3"/>
        <v>129810</v>
      </c>
      <c r="W565" s="44">
        <f t="shared" si="4"/>
        <v>-0.01565130352</v>
      </c>
      <c r="X565" s="44"/>
      <c r="Y565" s="45">
        <f>IFERROR(VLOOKUP(A565,'BuscarV Stock'!$A$1:$C$422,3,0),0)</f>
        <v>0</v>
      </c>
      <c r="Z565" s="46" t="s">
        <v>449</v>
      </c>
      <c r="AA565" s="128"/>
    </row>
    <row r="566">
      <c r="A566" s="125" t="s">
        <v>4640</v>
      </c>
      <c r="B566" s="21"/>
      <c r="C566" s="19" t="s">
        <v>3</v>
      </c>
      <c r="D566" s="19" t="s">
        <v>4641</v>
      </c>
      <c r="E566" s="50" t="s">
        <v>2676</v>
      </c>
      <c r="F566" s="50" t="s">
        <v>204</v>
      </c>
      <c r="G566" s="50" t="s">
        <v>2339</v>
      </c>
      <c r="H566" s="31">
        <f t="shared" si="29"/>
        <v>1760.330579</v>
      </c>
      <c r="I566" s="21"/>
      <c r="J566" s="50">
        <v>2130.0</v>
      </c>
      <c r="K566" s="111">
        <v>1.0</v>
      </c>
      <c r="L566" s="33">
        <f>IF('Global Precios'!J566*(1-I566)*(1+'Global Precios'!K566)&gt;10000,MROUND('Global Precios'!J566*(1-I566)*(1+'Global Precios'!K566),1000),MROUND('Global Precios'!J566*(1-I566)*(1+'Global Precios'!K566),500))</f>
        <v>4500</v>
      </c>
      <c r="M566" s="50">
        <v>4.0</v>
      </c>
      <c r="N566" s="50" t="s">
        <v>4383</v>
      </c>
      <c r="O566" s="21"/>
      <c r="P566" s="115">
        <v>46023.0</v>
      </c>
      <c r="Q566" s="21">
        <f t="shared" si="30"/>
        <v>22</v>
      </c>
      <c r="R566" s="37">
        <v>60.0</v>
      </c>
      <c r="S566" s="21"/>
      <c r="T566" s="41" t="str">
        <f>IFERROR(VLOOKUP(D566,BUSCARV!$A$1:$C$5524,2,0),"")</f>
        <v/>
      </c>
      <c r="U566" s="42"/>
      <c r="V566" s="42" t="str">
        <f t="shared" si="3"/>
        <v/>
      </c>
      <c r="W566" s="44" t="str">
        <f t="shared" si="4"/>
        <v/>
      </c>
      <c r="X566" s="44"/>
      <c r="Y566" s="45">
        <f>IFERROR(VLOOKUP(A566,'BuscarV Stock'!$A$1:$C$422,3,0),0)</f>
        <v>0</v>
      </c>
      <c r="Z566" s="46" t="s">
        <v>449</v>
      </c>
      <c r="AA566" s="128"/>
    </row>
    <row r="567">
      <c r="A567" s="125" t="s">
        <v>4642</v>
      </c>
      <c r="B567" s="21"/>
      <c r="C567" s="19" t="s">
        <v>3</v>
      </c>
      <c r="D567" s="19" t="s">
        <v>4643</v>
      </c>
      <c r="E567" s="50" t="s">
        <v>4335</v>
      </c>
      <c r="F567" s="50" t="s">
        <v>1795</v>
      </c>
      <c r="G567" s="50" t="s">
        <v>2321</v>
      </c>
      <c r="H567" s="31">
        <f t="shared" si="29"/>
        <v>20661.15702</v>
      </c>
      <c r="I567" s="21"/>
      <c r="J567" s="50">
        <v>25000.0</v>
      </c>
      <c r="K567" s="111">
        <v>0.4</v>
      </c>
      <c r="L567" s="33">
        <f>IF('Global Precios'!J567*(1-I567)*(1+'Global Precios'!K567)&gt;10000,MROUND('Global Precios'!J567*(1-I567)*(1+'Global Precios'!K567),1000),MROUND('Global Precios'!J567*(1-I567)*(1+'Global Precios'!K567),500))</f>
        <v>35000</v>
      </c>
      <c r="M567" s="50">
        <v>1.0</v>
      </c>
      <c r="N567" s="50" t="s">
        <v>1823</v>
      </c>
      <c r="O567" s="21"/>
      <c r="P567" s="115">
        <v>45839.0</v>
      </c>
      <c r="Q567" s="21">
        <f t="shared" si="30"/>
        <v>40</v>
      </c>
      <c r="R567" s="50">
        <v>30.0</v>
      </c>
      <c r="S567" s="21"/>
      <c r="T567" s="41" t="str">
        <f>IFERROR(VLOOKUP(D567,BUSCARV!$A$1:$C$5524,2,0),"")</f>
        <v/>
      </c>
      <c r="U567" s="42"/>
      <c r="V567" s="42" t="str">
        <f t="shared" si="3"/>
        <v/>
      </c>
      <c r="W567" s="44" t="str">
        <f t="shared" si="4"/>
        <v/>
      </c>
      <c r="X567" s="44"/>
      <c r="Y567" s="45">
        <f>IFERROR(VLOOKUP(A567,'BuscarV Stock'!$A$1:$C$422,3,0),0)</f>
        <v>0</v>
      </c>
      <c r="Z567" s="46" t="s">
        <v>449</v>
      </c>
      <c r="AA567" s="128"/>
    </row>
    <row r="568">
      <c r="A568" s="125" t="s">
        <v>4644</v>
      </c>
      <c r="B568" s="21"/>
      <c r="C568" s="19" t="s">
        <v>3</v>
      </c>
      <c r="D568" s="19" t="s">
        <v>4645</v>
      </c>
      <c r="E568" s="50" t="s">
        <v>4335</v>
      </c>
      <c r="F568" s="50" t="s">
        <v>1795</v>
      </c>
      <c r="G568" s="50" t="s">
        <v>2321</v>
      </c>
      <c r="H568" s="31">
        <f t="shared" si="29"/>
        <v>6704.958678</v>
      </c>
      <c r="I568" s="21"/>
      <c r="J568" s="50">
        <v>8113.0</v>
      </c>
      <c r="K568" s="111">
        <v>0.4</v>
      </c>
      <c r="L568" s="33">
        <f>IF('Global Precios'!J568*(1-I568)*(1+'Global Precios'!K568)&gt;10000,MROUND('Global Precios'!J568*(1-I568)*(1+'Global Precios'!K568),1000),MROUND('Global Precios'!J568*(1-I568)*(1+'Global Precios'!K568),500))</f>
        <v>11000</v>
      </c>
      <c r="M568" s="50">
        <v>400.0</v>
      </c>
      <c r="N568" s="50" t="s">
        <v>4431</v>
      </c>
      <c r="O568" s="21"/>
      <c r="P568" s="115">
        <v>45839.0</v>
      </c>
      <c r="Q568" s="21">
        <f t="shared" si="30"/>
        <v>41</v>
      </c>
      <c r="R568" s="50">
        <v>30.0</v>
      </c>
      <c r="S568" s="21"/>
      <c r="T568" s="41" t="str">
        <f>IFERROR(VLOOKUP(D568,BUSCARV!$A$1:$C$5524,2,0),"")</f>
        <v/>
      </c>
      <c r="U568" s="42"/>
      <c r="V568" s="42" t="str">
        <f t="shared" si="3"/>
        <v/>
      </c>
      <c r="W568" s="44" t="str">
        <f t="shared" si="4"/>
        <v/>
      </c>
      <c r="X568" s="44"/>
      <c r="Y568" s="45">
        <f>IFERROR(VLOOKUP(A568,'BuscarV Stock'!$A$1:$C$422,3,0),0)</f>
        <v>0</v>
      </c>
      <c r="Z568" s="46" t="s">
        <v>449</v>
      </c>
      <c r="AA568" s="128"/>
    </row>
    <row r="569">
      <c r="A569" s="125" t="s">
        <v>4646</v>
      </c>
      <c r="B569" s="21"/>
      <c r="C569" s="19" t="s">
        <v>3</v>
      </c>
      <c r="D569" s="114" t="s">
        <v>4647</v>
      </c>
      <c r="E569" s="21"/>
      <c r="F569" s="50" t="s">
        <v>1982</v>
      </c>
      <c r="G569" s="50" t="s">
        <v>2316</v>
      </c>
      <c r="H569" s="31">
        <f t="shared" si="29"/>
        <v>11323.96694</v>
      </c>
      <c r="I569" s="21"/>
      <c r="J569" s="50">
        <v>13702.0</v>
      </c>
      <c r="K569" s="111">
        <v>0.8</v>
      </c>
      <c r="L569" s="33">
        <f>IF('Global Precios'!J569*(1-I569)*(1+'Global Precios'!K569)&gt;10000,MROUND('Global Precios'!J569*(1-I569)*(1+'Global Precios'!K569),1000),MROUND('Global Precios'!J569*(1-I569)*(1+'Global Precios'!K569),500))</f>
        <v>25000</v>
      </c>
      <c r="M569" s="50">
        <v>1.0</v>
      </c>
      <c r="N569" s="50" t="s">
        <v>46</v>
      </c>
      <c r="O569" s="21"/>
      <c r="P569" s="115">
        <v>45839.0</v>
      </c>
      <c r="Q569" s="21">
        <f t="shared" si="30"/>
        <v>25</v>
      </c>
      <c r="R569" s="50">
        <v>30.0</v>
      </c>
      <c r="S569" s="21"/>
      <c r="T569" s="41" t="str">
        <f>IFERROR(VLOOKUP(D569,BUSCARV!$A$1:$C$5524,2,0),"")</f>
        <v/>
      </c>
      <c r="U569" s="42"/>
      <c r="V569" s="42" t="str">
        <f t="shared" si="3"/>
        <v/>
      </c>
      <c r="W569" s="44" t="str">
        <f t="shared" si="4"/>
        <v/>
      </c>
      <c r="X569" s="44"/>
      <c r="Y569" s="45">
        <f>IFERROR(VLOOKUP(A569,'BuscarV Stock'!$A$1:$C$422,3,0),0)</f>
        <v>0</v>
      </c>
      <c r="Z569" s="46" t="s">
        <v>449</v>
      </c>
      <c r="AA569" s="128"/>
    </row>
    <row r="570">
      <c r="A570" s="125" t="s">
        <v>4648</v>
      </c>
      <c r="B570" s="21"/>
      <c r="C570" s="19" t="s">
        <v>3</v>
      </c>
      <c r="D570" s="19" t="s">
        <v>4649</v>
      </c>
      <c r="E570" s="21"/>
      <c r="F570" s="50" t="s">
        <v>1982</v>
      </c>
      <c r="G570" s="50" t="s">
        <v>2316</v>
      </c>
      <c r="H570" s="31">
        <f t="shared" si="29"/>
        <v>1915.702479</v>
      </c>
      <c r="I570" s="21"/>
      <c r="J570" s="50">
        <v>2318.0</v>
      </c>
      <c r="K570" s="111">
        <v>0.8</v>
      </c>
      <c r="L570" s="33">
        <f>IF('Global Precios'!J570*(1-I570)*(1+'Global Precios'!K570)&gt;10000,MROUND('Global Precios'!J570*(1-I570)*(1+'Global Precios'!K570),1000),MROUND('Global Precios'!J570*(1-I570)*(1+'Global Precios'!K570),500))</f>
        <v>4000</v>
      </c>
      <c r="M570" s="50">
        <v>1.0</v>
      </c>
      <c r="N570" s="50" t="s">
        <v>46</v>
      </c>
      <c r="O570" s="21"/>
      <c r="P570" s="115">
        <v>45839.0</v>
      </c>
      <c r="Q570" s="21">
        <f t="shared" si="30"/>
        <v>20</v>
      </c>
      <c r="R570" s="50">
        <v>30.0</v>
      </c>
      <c r="S570" s="21"/>
      <c r="T570" s="41" t="str">
        <f>IFERROR(VLOOKUP(D570,BUSCARV!$A$1:$C$5524,2,0),"")</f>
        <v/>
      </c>
      <c r="U570" s="42"/>
      <c r="V570" s="42" t="str">
        <f t="shared" si="3"/>
        <v/>
      </c>
      <c r="W570" s="44" t="str">
        <f t="shared" si="4"/>
        <v/>
      </c>
      <c r="X570" s="44"/>
      <c r="Y570" s="45">
        <f>IFERROR(VLOOKUP(A570,'BuscarV Stock'!$A$1:$C$422,3,0),0)</f>
        <v>0</v>
      </c>
      <c r="Z570" s="46" t="s">
        <v>449</v>
      </c>
      <c r="AA570" s="128"/>
    </row>
    <row r="571">
      <c r="A571" s="125" t="s">
        <v>4650</v>
      </c>
      <c r="B571" s="21"/>
      <c r="C571" s="19" t="s">
        <v>3</v>
      </c>
      <c r="D571" s="114" t="s">
        <v>4651</v>
      </c>
      <c r="E571" s="21"/>
      <c r="F571" s="50" t="s">
        <v>1982</v>
      </c>
      <c r="G571" s="50" t="s">
        <v>2321</v>
      </c>
      <c r="H571" s="31">
        <f t="shared" si="29"/>
        <v>1328.099174</v>
      </c>
      <c r="I571" s="21"/>
      <c r="J571" s="50">
        <v>1607.0</v>
      </c>
      <c r="K571" s="111">
        <v>0.8</v>
      </c>
      <c r="L571" s="33">
        <f>IF('Global Precios'!J571*(1-I571)*(1+'Global Precios'!K571)&gt;10000,MROUND('Global Precios'!J571*(1-I571)*(1+'Global Precios'!K571),1000),MROUND('Global Precios'!J571*(1-I571)*(1+'Global Precios'!K571),500))</f>
        <v>3000</v>
      </c>
      <c r="M571" s="50">
        <v>2.0</v>
      </c>
      <c r="N571" s="50" t="s">
        <v>1823</v>
      </c>
      <c r="O571" s="21"/>
      <c r="P571" s="115">
        <v>45839.0</v>
      </c>
      <c r="Q571" s="21">
        <f t="shared" si="30"/>
        <v>37</v>
      </c>
      <c r="R571" s="50">
        <v>30.0</v>
      </c>
      <c r="S571" s="21"/>
      <c r="T571" s="41" t="str">
        <f>IFERROR(VLOOKUP(D571,BUSCARV!$A$1:$C$5524,2,0),"")</f>
        <v/>
      </c>
      <c r="U571" s="42"/>
      <c r="V571" s="42" t="str">
        <f t="shared" si="3"/>
        <v/>
      </c>
      <c r="W571" s="44" t="str">
        <f t="shared" si="4"/>
        <v/>
      </c>
      <c r="X571" s="44"/>
      <c r="Y571" s="45">
        <f>IFERROR(VLOOKUP(A571,'BuscarV Stock'!$A$1:$C$422,3,0),0)</f>
        <v>0</v>
      </c>
      <c r="Z571" s="46" t="s">
        <v>449</v>
      </c>
      <c r="AA571" s="128"/>
    </row>
    <row r="572">
      <c r="A572" s="125" t="s">
        <v>4652</v>
      </c>
      <c r="B572" s="21"/>
      <c r="C572" s="19" t="s">
        <v>3</v>
      </c>
      <c r="D572" s="114" t="s">
        <v>4565</v>
      </c>
      <c r="E572" s="21"/>
      <c r="F572" s="50" t="s">
        <v>1982</v>
      </c>
      <c r="G572" s="50" t="s">
        <v>2316</v>
      </c>
      <c r="H572" s="31">
        <f t="shared" si="29"/>
        <v>4229.752066</v>
      </c>
      <c r="I572" s="21"/>
      <c r="J572" s="50">
        <v>5118.0</v>
      </c>
      <c r="K572" s="111">
        <v>0.8</v>
      </c>
      <c r="L572" s="33">
        <f>IF('Global Precios'!J572*(1-I572)*(1+'Global Precios'!K572)&gt;10000,MROUND('Global Precios'!J572*(1-I572)*(1+'Global Precios'!K572),1000),MROUND('Global Precios'!J572*(1-I572)*(1+'Global Precios'!K572),500))</f>
        <v>9000</v>
      </c>
      <c r="M572" s="50">
        <v>1.0</v>
      </c>
      <c r="N572" s="50" t="s">
        <v>46</v>
      </c>
      <c r="O572" s="21"/>
      <c r="P572" s="115">
        <v>45839.0</v>
      </c>
      <c r="Q572" s="21">
        <f t="shared" si="30"/>
        <v>37</v>
      </c>
      <c r="R572" s="50">
        <v>30.0</v>
      </c>
      <c r="S572" s="21"/>
      <c r="T572" s="41" t="str">
        <f>IFERROR(VLOOKUP(D572,BUSCARV!$A$1:$C$5524,2,0),"")</f>
        <v/>
      </c>
      <c r="U572" s="42"/>
      <c r="V572" s="42" t="str">
        <f t="shared" si="3"/>
        <v/>
      </c>
      <c r="W572" s="44" t="str">
        <f t="shared" si="4"/>
        <v/>
      </c>
      <c r="X572" s="44"/>
      <c r="Y572" s="45">
        <f>IFERROR(VLOOKUP(A572,'BuscarV Stock'!$A$1:$C$422,3,0),0)</f>
        <v>0</v>
      </c>
      <c r="Z572" s="46" t="s">
        <v>449</v>
      </c>
      <c r="AA572" s="128"/>
    </row>
    <row r="573">
      <c r="A573" s="125" t="s">
        <v>4653</v>
      </c>
      <c r="B573" s="21"/>
      <c r="C573" s="19" t="s">
        <v>3</v>
      </c>
      <c r="D573" s="19" t="s">
        <v>2331</v>
      </c>
      <c r="E573" s="50" t="s">
        <v>2676</v>
      </c>
      <c r="F573" s="50" t="s">
        <v>2308</v>
      </c>
      <c r="G573" s="50" t="s">
        <v>2316</v>
      </c>
      <c r="H573" s="31">
        <f t="shared" si="29"/>
        <v>8376.033058</v>
      </c>
      <c r="I573" s="21"/>
      <c r="J573" s="19">
        <v>10135.0</v>
      </c>
      <c r="K573" s="111">
        <v>0.7</v>
      </c>
      <c r="L573" s="33">
        <f>IF('Global Precios'!J573*(1-I573)*(1+'Global Precios'!K573)&gt;10000,MROUND('Global Precios'!J573*(1-I573)*(1+'Global Precios'!K573),1000),MROUND('Global Precios'!J573*(1-I573)*(1+'Global Precios'!K573),500))</f>
        <v>17000</v>
      </c>
      <c r="M573" s="50">
        <v>30.0</v>
      </c>
      <c r="N573" s="50" t="s">
        <v>4431</v>
      </c>
      <c r="O573" s="21"/>
      <c r="P573" s="35">
        <v>45839.0</v>
      </c>
      <c r="Q573" s="21">
        <f t="shared" si="30"/>
        <v>21</v>
      </c>
      <c r="R573" s="50">
        <v>30.0</v>
      </c>
      <c r="S573" s="21"/>
      <c r="T573" s="41">
        <f>IFERROR(VLOOKUP(D573,BUSCARV!$A$1:$C$5524,2,0),"")</f>
        <v>10135</v>
      </c>
      <c r="U573" s="42"/>
      <c r="V573" s="42">
        <f t="shared" si="3"/>
        <v>10135</v>
      </c>
      <c r="W573" s="44">
        <f t="shared" si="4"/>
        <v>0</v>
      </c>
      <c r="X573" s="44"/>
      <c r="Y573" s="45">
        <f>IFERROR(VLOOKUP(A573,'BuscarV Stock'!$A$1:$C$422,3,0),0)</f>
        <v>0</v>
      </c>
      <c r="Z573" s="46" t="s">
        <v>449</v>
      </c>
      <c r="AA573" s="128"/>
    </row>
    <row r="574">
      <c r="A574" s="125" t="s">
        <v>4654</v>
      </c>
      <c r="B574" s="21"/>
      <c r="C574" s="19" t="s">
        <v>3</v>
      </c>
      <c r="D574" s="19" t="s">
        <v>4655</v>
      </c>
      <c r="E574" s="21"/>
      <c r="F574" s="50" t="s">
        <v>2308</v>
      </c>
      <c r="G574" s="50" t="s">
        <v>2329</v>
      </c>
      <c r="H574" s="31">
        <f t="shared" si="29"/>
        <v>12644.6281</v>
      </c>
      <c r="I574" s="21"/>
      <c r="J574" s="50">
        <v>15300.0</v>
      </c>
      <c r="K574" s="111">
        <v>0.7</v>
      </c>
      <c r="L574" s="33">
        <f>IF('Global Precios'!J574*(1-I574)*(1+'Global Precios'!K574)&gt;10000,MROUND('Global Precios'!J574*(1-I574)*(1+'Global Precios'!K574),1000),MROUND('Global Precios'!J574*(1-I574)*(1+'Global Precios'!K574),500))</f>
        <v>26000</v>
      </c>
      <c r="M574" s="50">
        <v>30.0</v>
      </c>
      <c r="N574" s="50" t="s">
        <v>2496</v>
      </c>
      <c r="O574" s="21"/>
      <c r="P574" s="35">
        <v>45839.0</v>
      </c>
      <c r="Q574" s="21">
        <f t="shared" si="30"/>
        <v>30</v>
      </c>
      <c r="R574" s="50">
        <v>30.0</v>
      </c>
      <c r="S574" s="21"/>
      <c r="T574" s="41" t="str">
        <f>IFERROR(VLOOKUP(D574,BUSCARV!$A$1:$C$5524,2,0),"")</f>
        <v/>
      </c>
      <c r="U574" s="42"/>
      <c r="V574" s="42" t="str">
        <f t="shared" si="3"/>
        <v/>
      </c>
      <c r="W574" s="44" t="str">
        <f t="shared" si="4"/>
        <v/>
      </c>
      <c r="X574" s="44"/>
      <c r="Y574" s="45">
        <f>IFERROR(VLOOKUP(A574,'BuscarV Stock'!$A$1:$C$422,3,0),0)</f>
        <v>0</v>
      </c>
      <c r="Z574" s="46" t="s">
        <v>449</v>
      </c>
      <c r="AA574" s="128"/>
    </row>
    <row r="575">
      <c r="A575" s="19">
        <v>605.0</v>
      </c>
      <c r="B575" s="21"/>
      <c r="C575" s="19" t="s">
        <v>3</v>
      </c>
      <c r="D575" s="19" t="s">
        <v>4656</v>
      </c>
      <c r="E575" s="50" t="s">
        <v>4574</v>
      </c>
      <c r="F575" s="19" t="s">
        <v>1795</v>
      </c>
      <c r="G575" s="19" t="s">
        <v>2321</v>
      </c>
      <c r="H575" s="31">
        <f t="shared" si="29"/>
        <v>2066.115702</v>
      </c>
      <c r="I575" s="21"/>
      <c r="J575" s="21">
        <f>J559/M559</f>
        <v>2500</v>
      </c>
      <c r="K575" s="111">
        <v>0.7</v>
      </c>
      <c r="L575" s="33">
        <f>IF('Global Precios'!J575*(1-I575)*(1+'Global Precios'!K575)&gt;10000,MROUND('Global Precios'!J575*(1-I575)*(1+'Global Precios'!K575),1000),MROUND('Global Precios'!J575*(1-I575)*(1+'Global Precios'!K575),500))</f>
        <v>4500</v>
      </c>
      <c r="M575" s="19">
        <v>1.0</v>
      </c>
      <c r="N575" s="50" t="s">
        <v>1823</v>
      </c>
      <c r="O575" s="21"/>
      <c r="P575" s="119">
        <v>45261.0</v>
      </c>
      <c r="Q575" s="21">
        <f t="shared" si="30"/>
        <v>34</v>
      </c>
      <c r="R575" s="19">
        <v>0.0</v>
      </c>
      <c r="S575" s="21"/>
      <c r="T575" s="41" t="str">
        <f>IFERROR(VLOOKUP(D575,BUSCARV!$A$1:$C$5524,2,0),"")</f>
        <v/>
      </c>
      <c r="U575" s="42"/>
      <c r="V575" s="42" t="str">
        <f t="shared" si="3"/>
        <v/>
      </c>
      <c r="W575" s="44" t="str">
        <f t="shared" si="4"/>
        <v/>
      </c>
      <c r="X575" s="44"/>
      <c r="Y575" s="80">
        <v>0.0</v>
      </c>
      <c r="Z575" s="46" t="s">
        <v>449</v>
      </c>
      <c r="AA575" s="128"/>
    </row>
    <row r="576">
      <c r="A576" s="19">
        <v>606.0</v>
      </c>
      <c r="B576" s="21"/>
      <c r="C576" s="19" t="s">
        <v>3</v>
      </c>
      <c r="D576" s="114" t="s">
        <v>4657</v>
      </c>
      <c r="E576" s="50" t="s">
        <v>2292</v>
      </c>
      <c r="F576" s="50" t="s">
        <v>1795</v>
      </c>
      <c r="G576" s="50" t="s">
        <v>2316</v>
      </c>
      <c r="H576" s="31">
        <f t="shared" si="29"/>
        <v>2314.049587</v>
      </c>
      <c r="I576" s="21"/>
      <c r="J576" s="50">
        <v>2800.0</v>
      </c>
      <c r="K576" s="111">
        <v>0.4</v>
      </c>
      <c r="L576" s="33">
        <f>IF('Global Precios'!J576*(1-I576)*(1+'Global Precios'!K576)&gt;10000,MROUND('Global Precios'!J576*(1-I576)*(1+'Global Precios'!K576),1000),MROUND('Global Precios'!J576*(1-I576)*(1+'Global Precios'!K576),500))</f>
        <v>4000</v>
      </c>
      <c r="M576" s="50">
        <v>340.0</v>
      </c>
      <c r="N576" s="50" t="s">
        <v>4431</v>
      </c>
      <c r="O576" s="21"/>
      <c r="P576" s="115">
        <v>45778.0</v>
      </c>
      <c r="Q576" s="21">
        <f t="shared" si="30"/>
        <v>34</v>
      </c>
      <c r="R576" s="19">
        <v>30.0</v>
      </c>
      <c r="S576" s="21"/>
      <c r="T576" s="41" t="str">
        <f>IFERROR(VLOOKUP(D576,BUSCARV!$A$1:$C$5524,2,0),"")</f>
        <v/>
      </c>
      <c r="U576" s="42"/>
      <c r="V576" s="42" t="str">
        <f t="shared" si="3"/>
        <v/>
      </c>
      <c r="W576" s="44" t="str">
        <f t="shared" si="4"/>
        <v/>
      </c>
      <c r="X576" s="44"/>
      <c r="Y576" s="45">
        <f>IFERROR(VLOOKUP(A576,'BuscarV Stock'!$A$1:$C$422,3,0),0)</f>
        <v>0</v>
      </c>
      <c r="Z576" s="46" t="s">
        <v>449</v>
      </c>
      <c r="AA576" s="128"/>
    </row>
    <row r="577">
      <c r="A577" s="19">
        <v>607.0</v>
      </c>
      <c r="B577" s="21"/>
      <c r="C577" s="19" t="s">
        <v>3</v>
      </c>
      <c r="D577" s="19" t="s">
        <v>791</v>
      </c>
      <c r="E577" s="50" t="s">
        <v>4658</v>
      </c>
      <c r="F577" s="50" t="s">
        <v>2308</v>
      </c>
      <c r="G577" s="50" t="s">
        <v>2350</v>
      </c>
      <c r="H577" s="31">
        <f t="shared" si="29"/>
        <v>17355.3719</v>
      </c>
      <c r="I577" s="21"/>
      <c r="J577" s="19">
        <v>21000.0</v>
      </c>
      <c r="K577" s="111">
        <v>0.5</v>
      </c>
      <c r="L577" s="33">
        <f>IF('Global Precios'!J577*(1-I577)*(1+'Global Precios'!K577)&gt;10000,MROUND('Global Precios'!J577*(1-I577)*(1+'Global Precios'!K577),1000),MROUND('Global Precios'!J577*(1-I577)*(1+'Global Precios'!K577),500))</f>
        <v>32000</v>
      </c>
      <c r="M577" s="50">
        <v>1.0</v>
      </c>
      <c r="N577" s="50" t="s">
        <v>4383</v>
      </c>
      <c r="O577" s="21"/>
      <c r="P577" s="35">
        <v>46054.0</v>
      </c>
      <c r="Q577" s="21">
        <f t="shared" si="30"/>
        <v>33</v>
      </c>
      <c r="R577" s="19">
        <v>30.0</v>
      </c>
      <c r="S577" s="21"/>
      <c r="T577" s="41">
        <f>IFERROR(VLOOKUP(D577,BUSCARV!$A$1:$C$5524,2,0),"")</f>
        <v>17623</v>
      </c>
      <c r="U577" s="42"/>
      <c r="V577" s="42">
        <f t="shared" si="3"/>
        <v>17623</v>
      </c>
      <c r="W577" s="44">
        <f t="shared" si="4"/>
        <v>-0.1608095238</v>
      </c>
      <c r="X577" s="44"/>
      <c r="Y577" s="45">
        <f>IFERROR(VLOOKUP(A577,'BuscarV Stock'!$A$1:$C$422,3,0),0)</f>
        <v>0</v>
      </c>
      <c r="Z577" s="46" t="s">
        <v>449</v>
      </c>
      <c r="AA577" s="128"/>
    </row>
    <row r="578">
      <c r="A578" s="19">
        <v>608.0</v>
      </c>
      <c r="B578" s="21"/>
      <c r="C578" s="19" t="s">
        <v>3</v>
      </c>
      <c r="D578" s="19" t="s">
        <v>2662</v>
      </c>
      <c r="E578" s="50" t="s">
        <v>4659</v>
      </c>
      <c r="F578" s="50" t="s">
        <v>2308</v>
      </c>
      <c r="G578" s="50" t="s">
        <v>2350</v>
      </c>
      <c r="H578" s="31">
        <f t="shared" si="29"/>
        <v>12606.61157</v>
      </c>
      <c r="I578" s="21"/>
      <c r="J578" s="19">
        <v>15254.0</v>
      </c>
      <c r="K578" s="111">
        <v>0.8</v>
      </c>
      <c r="L578" s="33">
        <f>IF('Global Precios'!J578*(1-I578)*(1+'Global Precios'!K578)&gt;10000,MROUND('Global Precios'!J578*(1-I578)*(1+'Global Precios'!K578),1000),MROUND('Global Precios'!J578*(1-I578)*(1+'Global Precios'!K578),500))</f>
        <v>27000</v>
      </c>
      <c r="M578" s="50">
        <v>1.0</v>
      </c>
      <c r="N578" s="50" t="s">
        <v>46</v>
      </c>
      <c r="O578" s="21"/>
      <c r="P578" s="35">
        <v>45839.0</v>
      </c>
      <c r="Q578" s="21">
        <f t="shared" si="30"/>
        <v>26</v>
      </c>
      <c r="R578" s="19">
        <v>30.0</v>
      </c>
      <c r="S578" s="21"/>
      <c r="T578" s="41">
        <f>IFERROR(VLOOKUP(D578,BUSCARV!$A$1:$C$5524,2,0),"")</f>
        <v>15254</v>
      </c>
      <c r="U578" s="42"/>
      <c r="V578" s="42">
        <f t="shared" si="3"/>
        <v>15254</v>
      </c>
      <c r="W578" s="44">
        <f t="shared" si="4"/>
        <v>0</v>
      </c>
      <c r="X578" s="44"/>
      <c r="Y578" s="45">
        <f>IFERROR(VLOOKUP(A578,'BuscarV Stock'!$A$1:$C$422,3,0),0)</f>
        <v>0</v>
      </c>
      <c r="Z578" s="46" t="s">
        <v>449</v>
      </c>
      <c r="AA578" s="128"/>
    </row>
    <row r="579">
      <c r="A579" s="19">
        <v>609.0</v>
      </c>
      <c r="B579" s="21"/>
      <c r="C579" s="19" t="s">
        <v>3</v>
      </c>
      <c r="D579" s="50" t="s">
        <v>4660</v>
      </c>
      <c r="E579" s="21"/>
      <c r="F579" s="50" t="s">
        <v>1982</v>
      </c>
      <c r="G579" s="50" t="s">
        <v>2316</v>
      </c>
      <c r="H579" s="31">
        <f t="shared" si="29"/>
        <v>851.2396694</v>
      </c>
      <c r="I579" s="21"/>
      <c r="J579" s="50">
        <v>1030.0</v>
      </c>
      <c r="K579" s="111">
        <v>1.0</v>
      </c>
      <c r="L579" s="123">
        <f>IF('Global Precios'!J579*(1-I579)*(1+'Global Precios'!K579)&gt;1000,MROUND('Global Precios'!J579*(1-I579)*(1+'Global Precios'!K579),100),MROUND('Global Precios'!J579*(1-I579)*(1+'Global Precios'!K579),10))</f>
        <v>2100</v>
      </c>
      <c r="M579" s="50">
        <v>1.0</v>
      </c>
      <c r="N579" s="50" t="s">
        <v>46</v>
      </c>
      <c r="O579" s="21"/>
      <c r="P579" s="115">
        <v>45474.0</v>
      </c>
      <c r="Q579" s="21">
        <f t="shared" si="30"/>
        <v>20</v>
      </c>
      <c r="R579" s="19">
        <v>30.0</v>
      </c>
      <c r="S579" s="21"/>
      <c r="T579" s="41" t="str">
        <f>IFERROR(VLOOKUP(D579,BUSCARV!$A$1:$C$5524,2,0),"")</f>
        <v/>
      </c>
      <c r="U579" s="42"/>
      <c r="V579" s="42" t="str">
        <f t="shared" si="3"/>
        <v/>
      </c>
      <c r="W579" s="44" t="str">
        <f t="shared" si="4"/>
        <v/>
      </c>
      <c r="X579" s="44"/>
      <c r="Y579" s="45">
        <f>IFERROR(VLOOKUP(A579,'BuscarV Stock'!$A$1:$C$422,3,0),0)</f>
        <v>0</v>
      </c>
      <c r="Z579" s="46" t="s">
        <v>1075</v>
      </c>
      <c r="AA579" s="128"/>
    </row>
    <row r="580">
      <c r="A580" s="19">
        <v>610.0</v>
      </c>
      <c r="B580" s="21"/>
      <c r="C580" s="19" t="s">
        <v>3</v>
      </c>
      <c r="D580" s="19" t="s">
        <v>2792</v>
      </c>
      <c r="E580" s="50" t="s">
        <v>4465</v>
      </c>
      <c r="F580" s="50" t="s">
        <v>2308</v>
      </c>
      <c r="G580" s="50" t="s">
        <v>2321</v>
      </c>
      <c r="H580" s="31">
        <f t="shared" si="29"/>
        <v>2765.289256</v>
      </c>
      <c r="I580" s="21"/>
      <c r="J580" s="19">
        <v>3346.0</v>
      </c>
      <c r="K580" s="111">
        <v>0.8</v>
      </c>
      <c r="L580" s="33">
        <f>IF('Global Precios'!J580*(1-I580)*(1+'Global Precios'!K580)&gt;10000,MROUND('Global Precios'!J580*(1-I580)*(1+'Global Precios'!K580),1000),MROUND('Global Precios'!J580*(1-I580)*(1+'Global Precios'!K580),500))</f>
        <v>6000</v>
      </c>
      <c r="M580" s="50">
        <v>1.0</v>
      </c>
      <c r="N580" s="50" t="s">
        <v>46</v>
      </c>
      <c r="O580" s="21"/>
      <c r="P580" s="35">
        <v>45839.0</v>
      </c>
      <c r="Q580" s="21">
        <f t="shared" si="30"/>
        <v>18</v>
      </c>
      <c r="R580" s="19">
        <v>30.0</v>
      </c>
      <c r="S580" s="21"/>
      <c r="T580" s="41">
        <f>IFERROR(VLOOKUP(D580,BUSCARV!$A$1:$C$5524,2,0),"")</f>
        <v>3346</v>
      </c>
      <c r="U580" s="42"/>
      <c r="V580" s="42">
        <f t="shared" si="3"/>
        <v>3346</v>
      </c>
      <c r="W580" s="44">
        <f t="shared" si="4"/>
        <v>0</v>
      </c>
      <c r="X580" s="44"/>
      <c r="Y580" s="45">
        <f>IFERROR(VLOOKUP(A580,'BuscarV Stock'!$A$1:$C$422,3,0),0)</f>
        <v>0</v>
      </c>
      <c r="Z580" s="46" t="s">
        <v>449</v>
      </c>
      <c r="AA580" s="128"/>
    </row>
    <row r="581">
      <c r="A581" s="19">
        <v>611.0</v>
      </c>
      <c r="B581" s="21"/>
      <c r="C581" s="19" t="s">
        <v>3</v>
      </c>
      <c r="D581" s="19" t="s">
        <v>4661</v>
      </c>
      <c r="E581" s="21"/>
      <c r="F581" s="50" t="s">
        <v>1982</v>
      </c>
      <c r="G581" s="50" t="s">
        <v>2316</v>
      </c>
      <c r="H581" s="31">
        <f t="shared" si="29"/>
        <v>1571.07438</v>
      </c>
      <c r="I581" s="21"/>
      <c r="J581" s="50">
        <v>1901.0</v>
      </c>
      <c r="K581" s="111">
        <v>1.0</v>
      </c>
      <c r="L581" s="33">
        <f>IF('Global Precios'!J581*(1-I581)*(1+'Global Precios'!K581)&gt;10000,MROUND('Global Precios'!J581*(1-I581)*(1+'Global Precios'!K581),1000),MROUND('Global Precios'!J581*(1-I581)*(1+'Global Precios'!K581),500))</f>
        <v>4000</v>
      </c>
      <c r="M581" s="50">
        <v>1.0</v>
      </c>
      <c r="N581" s="50" t="s">
        <v>46</v>
      </c>
      <c r="O581" s="21"/>
      <c r="P581" s="115">
        <v>45597.0</v>
      </c>
      <c r="Q581" s="21">
        <f t="shared" si="30"/>
        <v>15</v>
      </c>
      <c r="R581" s="19">
        <v>30.0</v>
      </c>
      <c r="S581" s="21"/>
      <c r="T581" s="41" t="str">
        <f>IFERROR(VLOOKUP(D581,BUSCARV!$A$1:$C$5524,2,0),"")</f>
        <v/>
      </c>
      <c r="U581" s="42"/>
      <c r="V581" s="42" t="str">
        <f t="shared" si="3"/>
        <v/>
      </c>
      <c r="W581" s="44" t="str">
        <f t="shared" si="4"/>
        <v/>
      </c>
      <c r="X581" s="44"/>
      <c r="Y581" s="45">
        <f>IFERROR(VLOOKUP(A581,'BuscarV Stock'!$A$1:$C$422,3,0),0)</f>
        <v>0</v>
      </c>
      <c r="Z581" s="46" t="s">
        <v>1075</v>
      </c>
      <c r="AA581" s="128"/>
    </row>
    <row r="582">
      <c r="A582" s="19">
        <v>612.0</v>
      </c>
      <c r="B582" s="21"/>
      <c r="C582" s="19" t="s">
        <v>3</v>
      </c>
      <c r="D582" s="50" t="s">
        <v>4662</v>
      </c>
      <c r="E582" s="21"/>
      <c r="F582" s="50" t="s">
        <v>1982</v>
      </c>
      <c r="G582" s="50" t="s">
        <v>2316</v>
      </c>
      <c r="H582" s="31">
        <f t="shared" si="29"/>
        <v>2413.22314</v>
      </c>
      <c r="I582" s="21"/>
      <c r="J582" s="50">
        <v>2920.0</v>
      </c>
      <c r="K582" s="111">
        <v>0.8</v>
      </c>
      <c r="L582" s="33">
        <f>IF('Global Precios'!J582*(1-I582)*(1+'Global Precios'!K582)&gt;10000,MROUND('Global Precios'!J582*(1-I582)*(1+'Global Precios'!K582),1000),MROUND('Global Precios'!J582*(1-I582)*(1+'Global Precios'!K582),500))</f>
        <v>5500</v>
      </c>
      <c r="M582" s="50">
        <v>1.0</v>
      </c>
      <c r="N582" s="50" t="s">
        <v>46</v>
      </c>
      <c r="O582" s="21"/>
      <c r="P582" s="115">
        <v>45839.0</v>
      </c>
      <c r="Q582" s="21">
        <f t="shared" si="30"/>
        <v>16</v>
      </c>
      <c r="R582" s="19">
        <v>30.0</v>
      </c>
      <c r="S582" s="21"/>
      <c r="T582" s="41" t="str">
        <f>IFERROR(VLOOKUP(D582,BUSCARV!$A$1:$C$5524,2,0),"")</f>
        <v/>
      </c>
      <c r="U582" s="42"/>
      <c r="V582" s="42" t="str">
        <f t="shared" si="3"/>
        <v/>
      </c>
      <c r="W582" s="44" t="str">
        <f t="shared" si="4"/>
        <v/>
      </c>
      <c r="X582" s="44"/>
      <c r="Y582" s="45">
        <f>IFERROR(VLOOKUP(A582,'BuscarV Stock'!$A$1:$C$422,3,0),0)</f>
        <v>0</v>
      </c>
      <c r="Z582" s="46" t="s">
        <v>449</v>
      </c>
      <c r="AA582" s="128"/>
    </row>
    <row r="583">
      <c r="A583" s="19">
        <v>613.0</v>
      </c>
      <c r="B583" s="21"/>
      <c r="C583" s="19" t="s">
        <v>3</v>
      </c>
      <c r="D583" s="50" t="s">
        <v>4663</v>
      </c>
      <c r="E583" s="21"/>
      <c r="F583" s="50" t="s">
        <v>1982</v>
      </c>
      <c r="G583" s="50" t="s">
        <v>2321</v>
      </c>
      <c r="H583" s="31">
        <f t="shared" si="29"/>
        <v>319.8347107</v>
      </c>
      <c r="I583" s="21"/>
      <c r="J583" s="50">
        <v>387.0</v>
      </c>
      <c r="K583" s="111">
        <v>1.0</v>
      </c>
      <c r="L583" s="33">
        <f>IF('Global Precios'!J583*(1-I583)*(1+'Global Precios'!K583)&gt;10000,MROUND('Global Precios'!J583*(1-I583)*(1+'Global Precios'!K583),1000),MROUND('Global Precios'!J583*(1-I583)*(1+'Global Precios'!K583),500))</f>
        <v>1000</v>
      </c>
      <c r="M583" s="50">
        <v>1.0</v>
      </c>
      <c r="N583" s="50" t="s">
        <v>46</v>
      </c>
      <c r="O583" s="21"/>
      <c r="P583" s="115">
        <v>45839.0</v>
      </c>
      <c r="Q583" s="21">
        <f t="shared" si="30"/>
        <v>6</v>
      </c>
      <c r="R583" s="19">
        <v>30.0</v>
      </c>
      <c r="S583" s="21"/>
      <c r="T583" s="41" t="str">
        <f>IFERROR(VLOOKUP(D583,BUSCARV!$A$1:$C$5524,2,0),"")</f>
        <v/>
      </c>
      <c r="U583" s="42"/>
      <c r="V583" s="42" t="str">
        <f t="shared" si="3"/>
        <v/>
      </c>
      <c r="W583" s="44" t="str">
        <f t="shared" si="4"/>
        <v/>
      </c>
      <c r="X583" s="44"/>
      <c r="Y583" s="45">
        <f>IFERROR(VLOOKUP(A583,'BuscarV Stock'!$A$1:$C$422,3,0),0)</f>
        <v>0</v>
      </c>
      <c r="Z583" s="46" t="s">
        <v>449</v>
      </c>
      <c r="AA583" s="128"/>
    </row>
    <row r="584">
      <c r="A584" s="19">
        <v>614.0</v>
      </c>
      <c r="B584" s="21"/>
      <c r="C584" s="19" t="s">
        <v>3</v>
      </c>
      <c r="D584" s="50" t="s">
        <v>3500</v>
      </c>
      <c r="E584" s="21"/>
      <c r="F584" s="50" t="s">
        <v>2308</v>
      </c>
      <c r="G584" s="50" t="s">
        <v>2341</v>
      </c>
      <c r="H584" s="31">
        <f t="shared" si="29"/>
        <v>2385.123967</v>
      </c>
      <c r="I584" s="21"/>
      <c r="J584" s="19">
        <v>2886.0</v>
      </c>
      <c r="K584" s="111">
        <v>0.8</v>
      </c>
      <c r="L584" s="33">
        <f>IF('Global Precios'!J584*(1-I584)*(1+'Global Precios'!K584)&gt;10000,MROUND('Global Precios'!J584*(1-I584)*(1+'Global Precios'!K584),1000),MROUND('Global Precios'!J584*(1-I584)*(1+'Global Precios'!K584),500))</f>
        <v>5000</v>
      </c>
      <c r="M584" s="50">
        <v>1.0</v>
      </c>
      <c r="N584" s="50" t="s">
        <v>46</v>
      </c>
      <c r="O584" s="21"/>
      <c r="P584" s="35">
        <v>45839.0</v>
      </c>
      <c r="Q584" s="21">
        <f t="shared" si="30"/>
        <v>28</v>
      </c>
      <c r="R584" s="19">
        <v>30.0</v>
      </c>
      <c r="S584" s="21"/>
      <c r="T584" s="41">
        <f>IFERROR(VLOOKUP(D584,BUSCARV!$A$1:$C$5524,2,0),"")</f>
        <v>2886</v>
      </c>
      <c r="U584" s="42"/>
      <c r="V584" s="42">
        <f t="shared" si="3"/>
        <v>2886</v>
      </c>
      <c r="W584" s="44">
        <f t="shared" si="4"/>
        <v>0</v>
      </c>
      <c r="X584" s="44"/>
      <c r="Y584" s="45">
        <f>IFERROR(VLOOKUP(A584,'BuscarV Stock'!$A$1:$C$422,3,0),0)</f>
        <v>0</v>
      </c>
      <c r="Z584" s="46" t="s">
        <v>449</v>
      </c>
      <c r="AA584" s="128"/>
    </row>
    <row r="585">
      <c r="A585" s="19">
        <v>615.0</v>
      </c>
      <c r="B585" s="21"/>
      <c r="C585" s="19" t="s">
        <v>3</v>
      </c>
      <c r="D585" s="19" t="s">
        <v>872</v>
      </c>
      <c r="E585" s="50" t="s">
        <v>4470</v>
      </c>
      <c r="F585" s="50" t="s">
        <v>2308</v>
      </c>
      <c r="G585" s="50" t="s">
        <v>2350</v>
      </c>
      <c r="H585" s="31">
        <f t="shared" si="29"/>
        <v>4039.669421</v>
      </c>
      <c r="I585" s="21"/>
      <c r="J585" s="19">
        <v>4888.0</v>
      </c>
      <c r="K585" s="111">
        <v>0.8</v>
      </c>
      <c r="L585" s="33">
        <f>IF('Global Precios'!J585*(1-I585)*(1+'Global Precios'!K585)&gt;10000,MROUND('Global Precios'!J585*(1-I585)*(1+'Global Precios'!K585),1000),MROUND('Global Precios'!J585*(1-I585)*(1+'Global Precios'!K585),500))</f>
        <v>9000</v>
      </c>
      <c r="M585" s="50">
        <v>1.0</v>
      </c>
      <c r="N585" s="50" t="s">
        <v>4383</v>
      </c>
      <c r="O585" s="21"/>
      <c r="P585" s="35">
        <v>45839.0</v>
      </c>
      <c r="Q585" s="21">
        <f t="shared" si="30"/>
        <v>34</v>
      </c>
      <c r="R585" s="19">
        <v>30.0</v>
      </c>
      <c r="S585" s="21"/>
      <c r="T585" s="41">
        <f>IFERROR(VLOOKUP(D585,BUSCARV!$A$1:$C$5524,2,0),"")</f>
        <v>3819</v>
      </c>
      <c r="U585" s="42"/>
      <c r="V585" s="42">
        <f t="shared" si="3"/>
        <v>3819</v>
      </c>
      <c r="W585" s="44">
        <f t="shared" si="4"/>
        <v>-0.2186988543</v>
      </c>
      <c r="X585" s="44"/>
      <c r="Y585" s="45">
        <f>IFERROR(VLOOKUP(A585,'BuscarV Stock'!$A$1:$C$422,3,0),0)</f>
        <v>0</v>
      </c>
      <c r="Z585" s="46" t="s">
        <v>449</v>
      </c>
      <c r="AA585" s="128"/>
    </row>
    <row r="586">
      <c r="A586" s="19">
        <v>616.0</v>
      </c>
      <c r="B586" s="21"/>
      <c r="C586" s="19" t="s">
        <v>3</v>
      </c>
      <c r="D586" s="19" t="s">
        <v>2663</v>
      </c>
      <c r="E586" s="50" t="s">
        <v>4440</v>
      </c>
      <c r="F586" s="50" t="s">
        <v>2308</v>
      </c>
      <c r="G586" s="50" t="s">
        <v>2350</v>
      </c>
      <c r="H586" s="31">
        <f t="shared" si="29"/>
        <v>11991.73554</v>
      </c>
      <c r="I586" s="21"/>
      <c r="J586" s="19">
        <v>14510.0</v>
      </c>
      <c r="K586" s="111">
        <v>0.8</v>
      </c>
      <c r="L586" s="33">
        <f>IF('Global Precios'!J586*(1-I586)*(1+'Global Precios'!K586)&gt;10000,MROUND('Global Precios'!J586*(1-I586)*(1+'Global Precios'!K586),1000),MROUND('Global Precios'!J586*(1-I586)*(1+'Global Precios'!K586),500))</f>
        <v>26000</v>
      </c>
      <c r="M586" s="50">
        <v>1.0</v>
      </c>
      <c r="N586" s="50" t="s">
        <v>46</v>
      </c>
      <c r="O586" s="21"/>
      <c r="P586" s="35">
        <v>45839.0</v>
      </c>
      <c r="Q586" s="21">
        <f t="shared" si="30"/>
        <v>25</v>
      </c>
      <c r="R586" s="19">
        <v>30.0</v>
      </c>
      <c r="S586" s="21"/>
      <c r="T586" s="41">
        <f>IFERROR(VLOOKUP(D586,BUSCARV!$A$1:$C$5524,2,0),"")</f>
        <v>14510</v>
      </c>
      <c r="U586" s="42"/>
      <c r="V586" s="42">
        <f t="shared" si="3"/>
        <v>14510</v>
      </c>
      <c r="W586" s="44">
        <f t="shared" si="4"/>
        <v>0</v>
      </c>
      <c r="X586" s="44"/>
      <c r="Y586" s="45">
        <f>IFERROR(VLOOKUP(A586,'BuscarV Stock'!$A$1:$C$422,3,0),0)</f>
        <v>0</v>
      </c>
      <c r="Z586" s="46" t="s">
        <v>449</v>
      </c>
      <c r="AA586" s="128"/>
    </row>
    <row r="587">
      <c r="A587" s="129" t="s">
        <v>4664</v>
      </c>
      <c r="B587" s="21"/>
      <c r="C587" s="19" t="s">
        <v>182</v>
      </c>
      <c r="D587" s="50" t="s">
        <v>4665</v>
      </c>
      <c r="E587" s="21"/>
      <c r="F587" s="50" t="s">
        <v>204</v>
      </c>
      <c r="G587" s="50" t="s">
        <v>2316</v>
      </c>
      <c r="H587" s="31">
        <f t="shared" si="29"/>
        <v>42121.4876</v>
      </c>
      <c r="I587" s="21"/>
      <c r="J587" s="50">
        <v>50967.0</v>
      </c>
      <c r="K587" s="111">
        <v>0.0</v>
      </c>
      <c r="L587" s="33">
        <f>IF('Global Precios'!J587*(1-I587)*(1+'Global Precios'!K587)&gt;10000,MROUND('Global Precios'!J587*(1-I587)*(1+'Global Precios'!K587),1000),MROUND('Global Precios'!J587*(1-I587)*(1+'Global Precios'!K587),500))</f>
        <v>51000</v>
      </c>
      <c r="M587" s="50">
        <v>1.0</v>
      </c>
      <c r="N587" s="50" t="s">
        <v>46</v>
      </c>
      <c r="O587" s="21"/>
      <c r="P587" s="130">
        <v>45809.0</v>
      </c>
      <c r="Q587" s="21">
        <f t="shared" si="30"/>
        <v>49</v>
      </c>
      <c r="R587" s="19">
        <v>60.0</v>
      </c>
      <c r="S587" s="21"/>
      <c r="T587" s="41" t="str">
        <f>IFERROR(VLOOKUP(D587,BUSCARV!$A$1:$C$5524,2,0),"")</f>
        <v/>
      </c>
      <c r="U587" s="42"/>
      <c r="V587" s="42" t="str">
        <f t="shared" si="3"/>
        <v/>
      </c>
      <c r="W587" s="44" t="str">
        <f t="shared" si="4"/>
        <v/>
      </c>
      <c r="X587" s="44"/>
      <c r="Y587" s="45">
        <f>IFERROR(VLOOKUP(A587,'BuscarV Stock'!$A$1:$C$422,3,0),0)</f>
        <v>0</v>
      </c>
      <c r="Z587" s="46" t="s">
        <v>449</v>
      </c>
      <c r="AA587" s="128"/>
    </row>
    <row r="588">
      <c r="A588" s="125" t="s">
        <v>4666</v>
      </c>
      <c r="B588" s="21"/>
      <c r="C588" s="19" t="s">
        <v>182</v>
      </c>
      <c r="D588" s="50" t="s">
        <v>4667</v>
      </c>
      <c r="E588" s="21"/>
      <c r="F588" s="50" t="s">
        <v>204</v>
      </c>
      <c r="G588" s="50" t="s">
        <v>2316</v>
      </c>
      <c r="H588" s="31">
        <f t="shared" si="29"/>
        <v>29484.29752</v>
      </c>
      <c r="I588" s="21"/>
      <c r="J588" s="50">
        <v>35676.0</v>
      </c>
      <c r="K588" s="111">
        <v>0.0</v>
      </c>
      <c r="L588" s="33">
        <f>IF('Global Precios'!J588*(1-I588)*(1+'Global Precios'!K588)&gt;10000,MROUND('Global Precios'!J588*(1-I588)*(1+'Global Precios'!K588),1000),MROUND('Global Precios'!J588*(1-I588)*(1+'Global Precios'!K588),500))</f>
        <v>36000</v>
      </c>
      <c r="M588" s="50">
        <v>1.0</v>
      </c>
      <c r="N588" s="50" t="s">
        <v>46</v>
      </c>
      <c r="O588" s="21"/>
      <c r="P588" s="130">
        <v>45809.0</v>
      </c>
      <c r="Q588" s="21">
        <f t="shared" si="30"/>
        <v>56</v>
      </c>
      <c r="R588" s="19">
        <v>60.0</v>
      </c>
      <c r="S588" s="21"/>
      <c r="T588" s="41" t="str">
        <f>IFERROR(VLOOKUP(D588,BUSCARV!$A$1:$C$5524,2,0),"")</f>
        <v/>
      </c>
      <c r="U588" s="42"/>
      <c r="V588" s="42" t="str">
        <f t="shared" si="3"/>
        <v/>
      </c>
      <c r="W588" s="44" t="str">
        <f t="shared" si="4"/>
        <v/>
      </c>
      <c r="X588" s="44"/>
      <c r="Y588" s="45">
        <f>IFERROR(VLOOKUP(A588,'BuscarV Stock'!$A$1:$C$422,3,0),0)</f>
        <v>0</v>
      </c>
      <c r="Z588" s="46" t="s">
        <v>449</v>
      </c>
      <c r="AA588" s="128"/>
    </row>
    <row r="589">
      <c r="A589" s="125" t="s">
        <v>4668</v>
      </c>
      <c r="B589" s="21"/>
      <c r="C589" s="19" t="s">
        <v>182</v>
      </c>
      <c r="D589" s="50" t="s">
        <v>4669</v>
      </c>
      <c r="E589" s="21"/>
      <c r="F589" s="50" t="s">
        <v>204</v>
      </c>
      <c r="G589" s="50" t="s">
        <v>2316</v>
      </c>
      <c r="H589" s="31">
        <f t="shared" si="29"/>
        <v>28345.45455</v>
      </c>
      <c r="I589" s="21"/>
      <c r="J589" s="50">
        <v>34298.0</v>
      </c>
      <c r="K589" s="111">
        <v>0.0</v>
      </c>
      <c r="L589" s="33">
        <f>IF('Global Precios'!J589*(1-I589)*(1+'Global Precios'!K589)&gt;10000,MROUND('Global Precios'!J589*(1-I589)*(1+'Global Precios'!K589),1000),MROUND('Global Precios'!J589*(1-I589)*(1+'Global Precios'!K589),500))</f>
        <v>34000</v>
      </c>
      <c r="M589" s="50">
        <v>1.0</v>
      </c>
      <c r="N589" s="50" t="s">
        <v>46</v>
      </c>
      <c r="O589" s="21"/>
      <c r="P589" s="130">
        <v>45809.0</v>
      </c>
      <c r="Q589" s="21">
        <f t="shared" si="30"/>
        <v>57</v>
      </c>
      <c r="R589" s="19">
        <v>60.0</v>
      </c>
      <c r="S589" s="21"/>
      <c r="T589" s="41" t="str">
        <f>IFERROR(VLOOKUP(D589,BUSCARV!$A$1:$C$5524,2,0),"")</f>
        <v/>
      </c>
      <c r="U589" s="42"/>
      <c r="V589" s="42" t="str">
        <f t="shared" si="3"/>
        <v/>
      </c>
      <c r="W589" s="44" t="str">
        <f t="shared" si="4"/>
        <v/>
      </c>
      <c r="X589" s="44"/>
      <c r="Y589" s="45">
        <f>IFERROR(VLOOKUP(A589,'BuscarV Stock'!$A$1:$C$422,3,0),0)</f>
        <v>0</v>
      </c>
      <c r="Z589" s="46" t="s">
        <v>1075</v>
      </c>
      <c r="AA589" s="128"/>
    </row>
    <row r="590">
      <c r="A590" s="125" t="s">
        <v>4670</v>
      </c>
      <c r="B590" s="21"/>
      <c r="C590" s="19" t="s">
        <v>182</v>
      </c>
      <c r="D590" s="50" t="s">
        <v>4671</v>
      </c>
      <c r="E590" s="21"/>
      <c r="F590" s="50" t="s">
        <v>204</v>
      </c>
      <c r="G590" s="50" t="s">
        <v>2316</v>
      </c>
      <c r="H590" s="31">
        <f t="shared" si="29"/>
        <v>20246.28099</v>
      </c>
      <c r="I590" s="21"/>
      <c r="J590" s="50">
        <v>24498.0</v>
      </c>
      <c r="K590" s="111">
        <v>0.0</v>
      </c>
      <c r="L590" s="33">
        <f>IF('Global Precios'!J590*(1-I590)*(1+'Global Precios'!K590)&gt;10000,MROUND('Global Precios'!J590*(1-I590)*(1+'Global Precios'!K590),1000),MROUND('Global Precios'!J590*(1-I590)*(1+'Global Precios'!K590),500))</f>
        <v>24000</v>
      </c>
      <c r="M590" s="50">
        <v>1.0</v>
      </c>
      <c r="N590" s="50" t="s">
        <v>46</v>
      </c>
      <c r="O590" s="21"/>
      <c r="P590" s="130">
        <v>45809.0</v>
      </c>
      <c r="Q590" s="21">
        <f t="shared" si="30"/>
        <v>53</v>
      </c>
      <c r="R590" s="19">
        <v>60.0</v>
      </c>
      <c r="S590" s="21"/>
      <c r="T590" s="41" t="str">
        <f>IFERROR(VLOOKUP(D590,BUSCARV!$A$1:$C$5524,2,0),"")</f>
        <v/>
      </c>
      <c r="U590" s="42"/>
      <c r="V590" s="42" t="str">
        <f t="shared" si="3"/>
        <v/>
      </c>
      <c r="W590" s="44" t="str">
        <f t="shared" si="4"/>
        <v/>
      </c>
      <c r="X590" s="44"/>
      <c r="Y590" s="45">
        <f>IFERROR(VLOOKUP(A590,'BuscarV Stock'!$A$1:$C$422,3,0),0)</f>
        <v>0</v>
      </c>
      <c r="Z590" s="46" t="s">
        <v>1075</v>
      </c>
      <c r="AA590" s="128"/>
    </row>
    <row r="591">
      <c r="A591" s="125" t="s">
        <v>4672</v>
      </c>
      <c r="B591" s="21"/>
      <c r="C591" s="19" t="s">
        <v>182</v>
      </c>
      <c r="D591" s="50" t="s">
        <v>4673</v>
      </c>
      <c r="E591" s="21"/>
      <c r="F591" s="50" t="s">
        <v>204</v>
      </c>
      <c r="G591" s="50" t="s">
        <v>2316</v>
      </c>
      <c r="H591" s="31">
        <f t="shared" si="29"/>
        <v>44541.32231</v>
      </c>
      <c r="I591" s="21"/>
      <c r="J591" s="50">
        <v>53895.0</v>
      </c>
      <c r="K591" s="111">
        <v>0.0</v>
      </c>
      <c r="L591" s="33">
        <f>IF('Global Precios'!J591*(1-I591)*(1+'Global Precios'!K591)&gt;10000,MROUND('Global Precios'!J591*(1-I591)*(1+'Global Precios'!K591),1000),MROUND('Global Precios'!J591*(1-I591)*(1+'Global Precios'!K591),500))</f>
        <v>54000</v>
      </c>
      <c r="M591" s="50">
        <v>1.0</v>
      </c>
      <c r="N591" s="50" t="s">
        <v>46</v>
      </c>
      <c r="O591" s="21"/>
      <c r="P591" s="130">
        <v>45809.0</v>
      </c>
      <c r="Q591" s="21">
        <f t="shared" si="30"/>
        <v>55</v>
      </c>
      <c r="R591" s="19">
        <v>60.0</v>
      </c>
      <c r="S591" s="21"/>
      <c r="T591" s="41" t="str">
        <f>IFERROR(VLOOKUP(D591,BUSCARV!$A$1:$C$5524,2,0),"")</f>
        <v/>
      </c>
      <c r="U591" s="42"/>
      <c r="V591" s="42" t="str">
        <f t="shared" si="3"/>
        <v/>
      </c>
      <c r="W591" s="44" t="str">
        <f t="shared" si="4"/>
        <v/>
      </c>
      <c r="X591" s="44"/>
      <c r="Y591" s="45">
        <f>IFERROR(VLOOKUP(A591,'BuscarV Stock'!$A$1:$C$422,3,0),0)</f>
        <v>0</v>
      </c>
      <c r="Z591" s="46" t="s">
        <v>1075</v>
      </c>
      <c r="AA591" s="128"/>
    </row>
    <row r="592">
      <c r="A592" s="125" t="s">
        <v>4674</v>
      </c>
      <c r="B592" s="21"/>
      <c r="C592" s="19" t="s">
        <v>182</v>
      </c>
      <c r="D592" s="50" t="s">
        <v>4675</v>
      </c>
      <c r="E592" s="21"/>
      <c r="F592" s="50" t="s">
        <v>204</v>
      </c>
      <c r="G592" s="50" t="s">
        <v>2316</v>
      </c>
      <c r="H592" s="31">
        <f t="shared" si="29"/>
        <v>48439.66942</v>
      </c>
      <c r="I592" s="21"/>
      <c r="J592" s="50">
        <v>58612.0</v>
      </c>
      <c r="K592" s="111">
        <v>0.0</v>
      </c>
      <c r="L592" s="33">
        <f>IF('Global Precios'!J592*(1-I592)*(1+'Global Precios'!K592)&gt;10000,MROUND('Global Precios'!J592*(1-I592)*(1+'Global Precios'!K592),1000),MROUND('Global Precios'!J592*(1-I592)*(1+'Global Precios'!K592),500))</f>
        <v>59000</v>
      </c>
      <c r="M592" s="50">
        <v>1.0</v>
      </c>
      <c r="N592" s="50" t="s">
        <v>46</v>
      </c>
      <c r="O592" s="21"/>
      <c r="P592" s="130">
        <v>45809.0</v>
      </c>
      <c r="Q592" s="21">
        <f t="shared" si="30"/>
        <v>52</v>
      </c>
      <c r="R592" s="19">
        <v>60.0</v>
      </c>
      <c r="S592" s="21"/>
      <c r="T592" s="41" t="str">
        <f>IFERROR(VLOOKUP(D592,BUSCARV!$A$1:$C$5524,2,0),"")</f>
        <v/>
      </c>
      <c r="U592" s="42"/>
      <c r="V592" s="42" t="str">
        <f t="shared" si="3"/>
        <v/>
      </c>
      <c r="W592" s="44" t="str">
        <f t="shared" si="4"/>
        <v/>
      </c>
      <c r="X592" s="44"/>
      <c r="Y592" s="45">
        <f>IFERROR(VLOOKUP(A592,'BuscarV Stock'!$A$1:$C$422,3,0),0)</f>
        <v>0</v>
      </c>
      <c r="Z592" s="46" t="s">
        <v>449</v>
      </c>
      <c r="AA592" s="128"/>
    </row>
    <row r="593">
      <c r="A593" s="125" t="s">
        <v>4676</v>
      </c>
      <c r="B593" s="21"/>
      <c r="C593" s="19" t="s">
        <v>182</v>
      </c>
      <c r="D593" s="50" t="s">
        <v>4677</v>
      </c>
      <c r="E593" s="21"/>
      <c r="F593" s="50" t="s">
        <v>204</v>
      </c>
      <c r="G593" s="50" t="s">
        <v>2316</v>
      </c>
      <c r="H593" s="31">
        <f t="shared" si="29"/>
        <v>36442.97521</v>
      </c>
      <c r="I593" s="21"/>
      <c r="J593" s="50">
        <v>44096.0</v>
      </c>
      <c r="K593" s="111">
        <v>0.0</v>
      </c>
      <c r="L593" s="33">
        <f>IF('Global Precios'!J593*(1-I593)*(1+'Global Precios'!K593)&gt;10000,MROUND('Global Precios'!J593*(1-I593)*(1+'Global Precios'!K593),1000),MROUND('Global Precios'!J593*(1-I593)*(1+'Global Precios'!K593),500))</f>
        <v>44000</v>
      </c>
      <c r="M593" s="50">
        <v>1.0</v>
      </c>
      <c r="N593" s="50" t="s">
        <v>46</v>
      </c>
      <c r="O593" s="21"/>
      <c r="P593" s="130">
        <v>45809.0</v>
      </c>
      <c r="Q593" s="21">
        <f t="shared" si="30"/>
        <v>55</v>
      </c>
      <c r="R593" s="19">
        <v>60.0</v>
      </c>
      <c r="S593" s="21"/>
      <c r="T593" s="41" t="str">
        <f>IFERROR(VLOOKUP(D593,BUSCARV!$A$1:$C$5524,2,0),"")</f>
        <v/>
      </c>
      <c r="U593" s="42"/>
      <c r="V593" s="42" t="str">
        <f t="shared" si="3"/>
        <v/>
      </c>
      <c r="W593" s="44" t="str">
        <f t="shared" si="4"/>
        <v/>
      </c>
      <c r="X593" s="44"/>
      <c r="Y593" s="45">
        <f>IFERROR(VLOOKUP(A593,'BuscarV Stock'!$A$1:$C$422,3,0),0)</f>
        <v>0</v>
      </c>
      <c r="Z593" s="46" t="s">
        <v>1075</v>
      </c>
      <c r="AA593" s="128"/>
    </row>
    <row r="594">
      <c r="A594" s="125" t="s">
        <v>4678</v>
      </c>
      <c r="B594" s="21"/>
      <c r="C594" s="19" t="s">
        <v>182</v>
      </c>
      <c r="D594" s="50" t="s">
        <v>4679</v>
      </c>
      <c r="E594" s="21"/>
      <c r="F594" s="50" t="s">
        <v>204</v>
      </c>
      <c r="G594" s="50" t="s">
        <v>2316</v>
      </c>
      <c r="H594" s="31">
        <f t="shared" si="29"/>
        <v>36856.19835</v>
      </c>
      <c r="I594" s="21"/>
      <c r="J594" s="50">
        <v>44596.0</v>
      </c>
      <c r="K594" s="111">
        <v>0.0</v>
      </c>
      <c r="L594" s="33">
        <f>IF('Global Precios'!J594*(1-I594)*(1+'Global Precios'!K594)&gt;10000,MROUND('Global Precios'!J594*(1-I594)*(1+'Global Precios'!K594),1000),MROUND('Global Precios'!J594*(1-I594)*(1+'Global Precios'!K594),500))</f>
        <v>45000</v>
      </c>
      <c r="M594" s="50">
        <v>1.0</v>
      </c>
      <c r="N594" s="50" t="s">
        <v>46</v>
      </c>
      <c r="O594" s="21"/>
      <c r="P594" s="130">
        <v>45809.0</v>
      </c>
      <c r="Q594" s="21">
        <f t="shared" si="30"/>
        <v>52</v>
      </c>
      <c r="R594" s="19">
        <v>60.0</v>
      </c>
      <c r="S594" s="21"/>
      <c r="T594" s="41" t="str">
        <f>IFERROR(VLOOKUP(D594,BUSCARV!$A$1:$C$5524,2,0),"")</f>
        <v/>
      </c>
      <c r="U594" s="42"/>
      <c r="V594" s="42" t="str">
        <f t="shared" si="3"/>
        <v/>
      </c>
      <c r="W594" s="44" t="str">
        <f t="shared" si="4"/>
        <v/>
      </c>
      <c r="X594" s="44"/>
      <c r="Y594" s="45">
        <f>IFERROR(VLOOKUP(A594,'BuscarV Stock'!$A$1:$C$422,3,0),0)</f>
        <v>0</v>
      </c>
      <c r="Z594" s="46" t="s">
        <v>449</v>
      </c>
      <c r="AA594" s="128"/>
    </row>
    <row r="595">
      <c r="A595" s="125" t="s">
        <v>4680</v>
      </c>
      <c r="B595" s="21"/>
      <c r="C595" s="19" t="s">
        <v>182</v>
      </c>
      <c r="D595" s="50" t="s">
        <v>4681</v>
      </c>
      <c r="E595" s="21"/>
      <c r="F595" s="50" t="s">
        <v>2323</v>
      </c>
      <c r="G595" s="50" t="s">
        <v>2316</v>
      </c>
      <c r="H595" s="31">
        <f t="shared" si="29"/>
        <v>8098.347107</v>
      </c>
      <c r="I595" s="21"/>
      <c r="J595" s="50">
        <v>9799.0</v>
      </c>
      <c r="K595" s="111">
        <v>0.0</v>
      </c>
      <c r="L595" s="123">
        <f>IF('Global Precios'!J595*(1-I595)*(1+'Global Precios'!K595)&gt;1000,MROUND('Global Precios'!J595*(1-I595)*(1+'Global Precios'!K595),100),MROUND('Global Precios'!J595*(1-I595)*(1+'Global Precios'!K595),10))</f>
        <v>9800</v>
      </c>
      <c r="M595" s="50">
        <v>1.0</v>
      </c>
      <c r="N595" s="50" t="s">
        <v>46</v>
      </c>
      <c r="O595" s="21"/>
      <c r="P595" s="130">
        <v>45809.0</v>
      </c>
      <c r="Q595" s="21">
        <f t="shared" si="30"/>
        <v>26</v>
      </c>
      <c r="R595" s="19">
        <v>60.0</v>
      </c>
      <c r="S595" s="21"/>
      <c r="T595" s="41" t="str">
        <f>IFERROR(VLOOKUP(A595,BUSCARV!$A$1:$C$500,3,0),"")</f>
        <v/>
      </c>
      <c r="U595" s="42"/>
      <c r="V595" s="42" t="str">
        <f t="shared" si="3"/>
        <v/>
      </c>
      <c r="W595" s="44" t="str">
        <f t="shared" ref="W595:W609" si="33">IF(V595="","", IFERROR((V595-H595)/H595,""))</f>
        <v/>
      </c>
      <c r="X595" s="44"/>
      <c r="Y595" s="45">
        <f>IFERROR(VLOOKUP(A595,'BuscarV Stock'!$A$1:$C$422,3,0),0)</f>
        <v>0</v>
      </c>
      <c r="Z595" s="46" t="s">
        <v>1075</v>
      </c>
      <c r="AA595" s="128"/>
    </row>
    <row r="596">
      <c r="A596" s="125" t="s">
        <v>4682</v>
      </c>
      <c r="B596" s="21"/>
      <c r="C596" s="19" t="s">
        <v>182</v>
      </c>
      <c r="D596" s="50" t="s">
        <v>4683</v>
      </c>
      <c r="E596" s="21"/>
      <c r="F596" s="50" t="s">
        <v>2323</v>
      </c>
      <c r="G596" s="50" t="s">
        <v>2316</v>
      </c>
      <c r="H596" s="31">
        <f t="shared" si="29"/>
        <v>9110.743802</v>
      </c>
      <c r="I596" s="21"/>
      <c r="J596" s="50">
        <v>11024.0</v>
      </c>
      <c r="K596" s="111">
        <v>0.0</v>
      </c>
      <c r="L596" s="123">
        <f>IF('Global Precios'!J596*(1-I596)*(1+'Global Precios'!K596)&gt;1000,MROUND('Global Precios'!J596*(1-I596)*(1+'Global Precios'!K596),100),MROUND('Global Precios'!J596*(1-I596)*(1+'Global Precios'!K596),10))</f>
        <v>11000</v>
      </c>
      <c r="M596" s="50">
        <v>1.0</v>
      </c>
      <c r="N596" s="50" t="s">
        <v>46</v>
      </c>
      <c r="O596" s="21"/>
      <c r="P596" s="130">
        <v>45809.0</v>
      </c>
      <c r="Q596" s="21">
        <f t="shared" si="30"/>
        <v>27</v>
      </c>
      <c r="R596" s="19">
        <v>60.0</v>
      </c>
      <c r="S596" s="21"/>
      <c r="T596" s="41" t="str">
        <f>IFERROR(VLOOKUP(A596,BUSCARV!$A$1:$C$500,3,0),"")</f>
        <v/>
      </c>
      <c r="U596" s="42"/>
      <c r="V596" s="42" t="str">
        <f t="shared" si="3"/>
        <v/>
      </c>
      <c r="W596" s="44" t="str">
        <f t="shared" si="33"/>
        <v/>
      </c>
      <c r="X596" s="44"/>
      <c r="Y596" s="45">
        <f>IFERROR(VLOOKUP(A596,'BuscarV Stock'!$A$1:$C$422,3,0),0)</f>
        <v>0</v>
      </c>
      <c r="Z596" s="46" t="s">
        <v>1075</v>
      </c>
      <c r="AA596" s="131"/>
    </row>
    <row r="597">
      <c r="A597" s="125" t="s">
        <v>4684</v>
      </c>
      <c r="B597" s="21"/>
      <c r="C597" s="19" t="s">
        <v>182</v>
      </c>
      <c r="D597" s="50" t="s">
        <v>4685</v>
      </c>
      <c r="E597" s="21"/>
      <c r="F597" s="50" t="s">
        <v>2323</v>
      </c>
      <c r="G597" s="50" t="s">
        <v>2316</v>
      </c>
      <c r="H597" s="31">
        <f t="shared" si="29"/>
        <v>12146.28099</v>
      </c>
      <c r="I597" s="21"/>
      <c r="J597" s="50">
        <v>14697.0</v>
      </c>
      <c r="K597" s="111">
        <v>0.0</v>
      </c>
      <c r="L597" s="123">
        <f>IF('Global Precios'!J597*(1-I597)*(1+'Global Precios'!K597)&gt;1000,MROUND('Global Precios'!J597*(1-I597)*(1+'Global Precios'!K597),100),MROUND('Global Precios'!J597*(1-I597)*(1+'Global Precios'!K597),10))</f>
        <v>14700</v>
      </c>
      <c r="M597" s="50">
        <v>1.0</v>
      </c>
      <c r="N597" s="50" t="s">
        <v>46</v>
      </c>
      <c r="O597" s="21"/>
      <c r="P597" s="130">
        <v>45809.0</v>
      </c>
      <c r="Q597" s="21">
        <f t="shared" si="30"/>
        <v>27</v>
      </c>
      <c r="R597" s="19">
        <v>60.0</v>
      </c>
      <c r="S597" s="21"/>
      <c r="T597" s="41" t="str">
        <f>IFERROR(VLOOKUP(A597,BUSCARV!$A$1:$C$500,3,0),"")</f>
        <v/>
      </c>
      <c r="U597" s="42"/>
      <c r="V597" s="42" t="str">
        <f t="shared" si="3"/>
        <v/>
      </c>
      <c r="W597" s="44" t="str">
        <f t="shared" si="33"/>
        <v/>
      </c>
      <c r="X597" s="44"/>
      <c r="Y597" s="45">
        <f>IFERROR(VLOOKUP(A597,'BuscarV Stock'!$A$1:$C$422,3,0),0)</f>
        <v>0</v>
      </c>
      <c r="Z597" s="46" t="s">
        <v>1075</v>
      </c>
      <c r="AA597" s="131"/>
    </row>
    <row r="598">
      <c r="A598" s="125" t="s">
        <v>4686</v>
      </c>
      <c r="B598" s="21"/>
      <c r="C598" s="19" t="s">
        <v>182</v>
      </c>
      <c r="D598" s="50" t="s">
        <v>4687</v>
      </c>
      <c r="E598" s="21"/>
      <c r="F598" s="50" t="s">
        <v>2323</v>
      </c>
      <c r="G598" s="50" t="s">
        <v>2316</v>
      </c>
      <c r="H598" s="31">
        <f t="shared" si="29"/>
        <v>17210.7438</v>
      </c>
      <c r="I598" s="21"/>
      <c r="J598" s="50">
        <v>20825.0</v>
      </c>
      <c r="K598" s="111">
        <v>0.0</v>
      </c>
      <c r="L598" s="123">
        <f>IF('Global Precios'!J598*(1-I598)*(1+'Global Precios'!K598)&gt;1000,MROUND('Global Precios'!J598*(1-I598)*(1+'Global Precios'!K598),100),MROUND('Global Precios'!J598*(1-I598)*(1+'Global Precios'!K598),10))</f>
        <v>20800</v>
      </c>
      <c r="M598" s="50">
        <v>1.0</v>
      </c>
      <c r="N598" s="50" t="s">
        <v>46</v>
      </c>
      <c r="O598" s="21"/>
      <c r="P598" s="130">
        <v>45809.0</v>
      </c>
      <c r="Q598" s="21">
        <f t="shared" si="30"/>
        <v>27</v>
      </c>
      <c r="R598" s="19">
        <v>60.0</v>
      </c>
      <c r="S598" s="21"/>
      <c r="T598" s="41" t="str">
        <f>IFERROR(VLOOKUP(A598,BUSCARV!$A$1:$C$500,3,0),"")</f>
        <v/>
      </c>
      <c r="U598" s="42"/>
      <c r="V598" s="42" t="str">
        <f t="shared" si="3"/>
        <v/>
      </c>
      <c r="W598" s="44" t="str">
        <f t="shared" si="33"/>
        <v/>
      </c>
      <c r="X598" s="44"/>
      <c r="Y598" s="45">
        <f>IFERROR(VLOOKUP(A598,'BuscarV Stock'!$A$1:$C$422,3,0),0)</f>
        <v>0</v>
      </c>
      <c r="Z598" s="46" t="s">
        <v>1075</v>
      </c>
      <c r="AA598" s="131"/>
    </row>
    <row r="599">
      <c r="A599" s="125" t="s">
        <v>4688</v>
      </c>
      <c r="B599" s="21"/>
      <c r="C599" s="19" t="s">
        <v>182</v>
      </c>
      <c r="D599" s="50" t="s">
        <v>4689</v>
      </c>
      <c r="E599" s="21"/>
      <c r="F599" s="50" t="s">
        <v>2323</v>
      </c>
      <c r="G599" s="50" t="s">
        <v>2316</v>
      </c>
      <c r="H599" s="31">
        <f t="shared" si="29"/>
        <v>19234.71074</v>
      </c>
      <c r="I599" s="21"/>
      <c r="J599" s="50">
        <v>23274.0</v>
      </c>
      <c r="K599" s="111">
        <v>0.0</v>
      </c>
      <c r="L599" s="123">
        <f>IF('Global Precios'!J599*(1-I599)*(1+'Global Precios'!K599)&gt;1000,MROUND('Global Precios'!J599*(1-I599)*(1+'Global Precios'!K599),100),MROUND('Global Precios'!J599*(1-I599)*(1+'Global Precios'!K599),10))</f>
        <v>23300</v>
      </c>
      <c r="M599" s="50">
        <v>1.0</v>
      </c>
      <c r="N599" s="50" t="s">
        <v>46</v>
      </c>
      <c r="O599" s="21"/>
      <c r="P599" s="130">
        <v>45809.0</v>
      </c>
      <c r="Q599" s="21">
        <f t="shared" si="30"/>
        <v>28</v>
      </c>
      <c r="R599" s="19">
        <v>60.0</v>
      </c>
      <c r="S599" s="21"/>
      <c r="T599" s="41" t="str">
        <f>IFERROR(VLOOKUP(A599,BUSCARV!$A$1:$C$500,3,0),"")</f>
        <v/>
      </c>
      <c r="U599" s="42"/>
      <c r="V599" s="42" t="str">
        <f t="shared" si="3"/>
        <v/>
      </c>
      <c r="W599" s="44" t="str">
        <f t="shared" si="33"/>
        <v/>
      </c>
      <c r="X599" s="44"/>
      <c r="Y599" s="45">
        <f>IFERROR(VLOOKUP(A599,'BuscarV Stock'!$A$1:$C$422,3,0),0)</f>
        <v>0</v>
      </c>
      <c r="Z599" s="46" t="s">
        <v>1075</v>
      </c>
      <c r="AA599" s="131"/>
    </row>
    <row r="600">
      <c r="A600" s="125" t="s">
        <v>4690</v>
      </c>
      <c r="B600" s="21"/>
      <c r="C600" s="19" t="s">
        <v>182</v>
      </c>
      <c r="D600" s="50" t="s">
        <v>4691</v>
      </c>
      <c r="E600" s="21"/>
      <c r="F600" s="50" t="s">
        <v>2323</v>
      </c>
      <c r="G600" s="50" t="s">
        <v>2316</v>
      </c>
      <c r="H600" s="31">
        <f t="shared" si="29"/>
        <v>9110.743802</v>
      </c>
      <c r="I600" s="21"/>
      <c r="J600" s="50">
        <v>11024.0</v>
      </c>
      <c r="K600" s="111">
        <v>0.0</v>
      </c>
      <c r="L600" s="123">
        <f>IF('Global Precios'!J600*(1-I600)*(1+'Global Precios'!K600)&gt;1000,MROUND('Global Precios'!J600*(1-I600)*(1+'Global Precios'!K600),100),MROUND('Global Precios'!J600*(1-I600)*(1+'Global Precios'!K600),10))</f>
        <v>11000</v>
      </c>
      <c r="M600" s="50">
        <v>1.0</v>
      </c>
      <c r="N600" s="50" t="s">
        <v>46</v>
      </c>
      <c r="O600" s="21"/>
      <c r="P600" s="130">
        <v>45809.0</v>
      </c>
      <c r="Q600" s="21">
        <f t="shared" si="30"/>
        <v>26</v>
      </c>
      <c r="R600" s="19">
        <v>60.0</v>
      </c>
      <c r="S600" s="21"/>
      <c r="T600" s="41" t="str">
        <f>IFERROR(VLOOKUP(A600,BUSCARV!$A$1:$C$500,3,0),"")</f>
        <v/>
      </c>
      <c r="U600" s="42"/>
      <c r="V600" s="42" t="str">
        <f t="shared" si="3"/>
        <v/>
      </c>
      <c r="W600" s="44" t="str">
        <f t="shared" si="33"/>
        <v/>
      </c>
      <c r="X600" s="44"/>
      <c r="Y600" s="45">
        <f>IFERROR(VLOOKUP(A600,'BuscarV Stock'!$A$1:$C$422,3,0),0)</f>
        <v>0</v>
      </c>
      <c r="Z600" s="46" t="s">
        <v>1075</v>
      </c>
      <c r="AA600" s="131"/>
    </row>
    <row r="601">
      <c r="A601" s="125" t="s">
        <v>4692</v>
      </c>
      <c r="B601" s="21"/>
      <c r="C601" s="19" t="s">
        <v>182</v>
      </c>
      <c r="D601" s="50" t="s">
        <v>4693</v>
      </c>
      <c r="E601" s="21"/>
      <c r="F601" s="50" t="s">
        <v>2323</v>
      </c>
      <c r="G601" s="50" t="s">
        <v>2316</v>
      </c>
      <c r="H601" s="31">
        <f t="shared" si="29"/>
        <v>11134.71074</v>
      </c>
      <c r="I601" s="21"/>
      <c r="J601" s="50">
        <v>13473.0</v>
      </c>
      <c r="K601" s="111">
        <v>0.0</v>
      </c>
      <c r="L601" s="123">
        <f>IF('Global Precios'!J601*(1-I601)*(1+'Global Precios'!K601)&gt;1000,MROUND('Global Precios'!J601*(1-I601)*(1+'Global Precios'!K601),100),MROUND('Global Precios'!J601*(1-I601)*(1+'Global Precios'!K601),10))</f>
        <v>13500</v>
      </c>
      <c r="M601" s="50">
        <v>1.0</v>
      </c>
      <c r="N601" s="50" t="s">
        <v>46</v>
      </c>
      <c r="O601" s="21"/>
      <c r="P601" s="130">
        <v>45809.0</v>
      </c>
      <c r="Q601" s="21">
        <f t="shared" si="30"/>
        <v>27</v>
      </c>
      <c r="R601" s="19">
        <v>60.0</v>
      </c>
      <c r="S601" s="21"/>
      <c r="T601" s="41" t="str">
        <f>IFERROR(VLOOKUP(A601,BUSCARV!$A$1:$C$500,3,0),"")</f>
        <v/>
      </c>
      <c r="U601" s="42"/>
      <c r="V601" s="42" t="str">
        <f t="shared" si="3"/>
        <v/>
      </c>
      <c r="W601" s="44" t="str">
        <f t="shared" si="33"/>
        <v/>
      </c>
      <c r="X601" s="44"/>
      <c r="Y601" s="45">
        <f>IFERROR(VLOOKUP(A601,'BuscarV Stock'!$A$1:$C$422,3,0),0)</f>
        <v>0</v>
      </c>
      <c r="Z601" s="46" t="s">
        <v>1075</v>
      </c>
      <c r="AA601" s="131"/>
    </row>
    <row r="602">
      <c r="A602" s="125" t="s">
        <v>4694</v>
      </c>
      <c r="B602" s="21"/>
      <c r="C602" s="19" t="s">
        <v>182</v>
      </c>
      <c r="D602" s="50" t="s">
        <v>4695</v>
      </c>
      <c r="E602" s="21"/>
      <c r="F602" s="50" t="s">
        <v>2323</v>
      </c>
      <c r="G602" s="50" t="s">
        <v>2316</v>
      </c>
      <c r="H602" s="31">
        <f t="shared" si="29"/>
        <v>15184.29752</v>
      </c>
      <c r="I602" s="21"/>
      <c r="J602" s="50">
        <v>18373.0</v>
      </c>
      <c r="K602" s="111">
        <v>0.0</v>
      </c>
      <c r="L602" s="123">
        <f>IF('Global Precios'!J602*(1-I602)*(1+'Global Precios'!K602)&gt;1000,MROUND('Global Precios'!J602*(1-I602)*(1+'Global Precios'!K602),100),MROUND('Global Precios'!J602*(1-I602)*(1+'Global Precios'!K602),10))</f>
        <v>18400</v>
      </c>
      <c r="M602" s="50">
        <v>1.0</v>
      </c>
      <c r="N602" s="50" t="s">
        <v>46</v>
      </c>
      <c r="O602" s="21"/>
      <c r="P602" s="130">
        <v>45809.0</v>
      </c>
      <c r="Q602" s="21">
        <f t="shared" si="30"/>
        <v>27</v>
      </c>
      <c r="R602" s="19">
        <v>60.0</v>
      </c>
      <c r="S602" s="21"/>
      <c r="T602" s="41" t="str">
        <f>IFERROR(VLOOKUP(A602,BUSCARV!$A$1:$C$500,3,0),"")</f>
        <v/>
      </c>
      <c r="U602" s="42"/>
      <c r="V602" s="42" t="str">
        <f t="shared" si="3"/>
        <v/>
      </c>
      <c r="W602" s="44" t="str">
        <f t="shared" si="33"/>
        <v/>
      </c>
      <c r="X602" s="44"/>
      <c r="Y602" s="45">
        <f>IFERROR(VLOOKUP(A602,'BuscarV Stock'!$A$1:$C$422,3,0),0)</f>
        <v>0</v>
      </c>
      <c r="Z602" s="46" t="s">
        <v>1075</v>
      </c>
      <c r="AA602" s="131"/>
    </row>
    <row r="603">
      <c r="A603" s="125" t="s">
        <v>4696</v>
      </c>
      <c r="B603" s="21"/>
      <c r="C603" s="19" t="s">
        <v>182</v>
      </c>
      <c r="D603" s="50" t="s">
        <v>4697</v>
      </c>
      <c r="E603" s="21"/>
      <c r="F603" s="50" t="s">
        <v>2323</v>
      </c>
      <c r="G603" s="50" t="s">
        <v>2316</v>
      </c>
      <c r="H603" s="31">
        <f t="shared" si="29"/>
        <v>19638.01653</v>
      </c>
      <c r="I603" s="21"/>
      <c r="J603" s="50">
        <v>23762.0</v>
      </c>
      <c r="K603" s="111">
        <v>0.0</v>
      </c>
      <c r="L603" s="123">
        <f>IF('Global Precios'!J603*(1-I603)*(1+'Global Precios'!K603)&gt;1000,MROUND('Global Precios'!J603*(1-I603)*(1+'Global Precios'!K603),100),MROUND('Global Precios'!J603*(1-I603)*(1+'Global Precios'!K603),10))</f>
        <v>23800</v>
      </c>
      <c r="M603" s="50">
        <v>1.0</v>
      </c>
      <c r="N603" s="50" t="s">
        <v>46</v>
      </c>
      <c r="O603" s="21"/>
      <c r="P603" s="130">
        <v>45809.0</v>
      </c>
      <c r="Q603" s="21">
        <f t="shared" si="30"/>
        <v>27</v>
      </c>
      <c r="R603" s="19">
        <v>60.0</v>
      </c>
      <c r="S603" s="21"/>
      <c r="T603" s="41" t="str">
        <f>IFERROR(VLOOKUP(A603,BUSCARV!$A$1:$C$500,3,0),"")</f>
        <v/>
      </c>
      <c r="U603" s="42"/>
      <c r="V603" s="42" t="str">
        <f t="shared" si="3"/>
        <v/>
      </c>
      <c r="W603" s="44" t="str">
        <f t="shared" si="33"/>
        <v/>
      </c>
      <c r="X603" s="44"/>
      <c r="Y603" s="45">
        <f>IFERROR(VLOOKUP(A603,'BuscarV Stock'!$A$1:$C$422,3,0),0)</f>
        <v>0</v>
      </c>
      <c r="Z603" s="46" t="s">
        <v>1075</v>
      </c>
      <c r="AA603" s="131"/>
    </row>
    <row r="604">
      <c r="A604" s="125" t="s">
        <v>4698</v>
      </c>
      <c r="B604" s="21"/>
      <c r="C604" s="19" t="s">
        <v>182</v>
      </c>
      <c r="D604" s="50" t="s">
        <v>4697</v>
      </c>
      <c r="E604" s="21"/>
      <c r="F604" s="50" t="s">
        <v>2323</v>
      </c>
      <c r="G604" s="50" t="s">
        <v>2316</v>
      </c>
      <c r="H604" s="31">
        <f t="shared" si="29"/>
        <v>21663.63636</v>
      </c>
      <c r="I604" s="21"/>
      <c r="J604" s="50">
        <v>26213.0</v>
      </c>
      <c r="K604" s="111">
        <v>0.0</v>
      </c>
      <c r="L604" s="123">
        <f>IF('Global Precios'!J604*(1-I604)*(1+'Global Precios'!K604)&gt;1000,MROUND('Global Precios'!J604*(1-I604)*(1+'Global Precios'!K604),100),MROUND('Global Precios'!J604*(1-I604)*(1+'Global Precios'!K604),10))</f>
        <v>26200</v>
      </c>
      <c r="M604" s="50">
        <v>1.0</v>
      </c>
      <c r="N604" s="50" t="s">
        <v>46</v>
      </c>
      <c r="O604" s="21"/>
      <c r="P604" s="130">
        <v>45809.0</v>
      </c>
      <c r="Q604" s="21">
        <f t="shared" si="30"/>
        <v>27</v>
      </c>
      <c r="R604" s="19">
        <v>60.0</v>
      </c>
      <c r="S604" s="21"/>
      <c r="T604" s="41" t="str">
        <f>IFERROR(VLOOKUP(A604,BUSCARV!$A$1:$C$500,3,0),"")</f>
        <v/>
      </c>
      <c r="U604" s="42"/>
      <c r="V604" s="42" t="str">
        <f t="shared" si="3"/>
        <v/>
      </c>
      <c r="W604" s="44" t="str">
        <f t="shared" si="33"/>
        <v/>
      </c>
      <c r="X604" s="44"/>
      <c r="Y604" s="45">
        <f>IFERROR(VLOOKUP(A604,'BuscarV Stock'!$A$1:$C$422,3,0),0)</f>
        <v>0</v>
      </c>
      <c r="Z604" s="46" t="s">
        <v>1075</v>
      </c>
      <c r="AA604" s="131"/>
    </row>
    <row r="605">
      <c r="A605" s="125" t="s">
        <v>4699</v>
      </c>
      <c r="B605" s="21"/>
      <c r="C605" s="19" t="s">
        <v>182</v>
      </c>
      <c r="D605" s="50" t="s">
        <v>4700</v>
      </c>
      <c r="E605" s="21"/>
      <c r="F605" s="50" t="s">
        <v>2323</v>
      </c>
      <c r="G605" s="50" t="s">
        <v>2316</v>
      </c>
      <c r="H605" s="31">
        <f t="shared" si="29"/>
        <v>13564.46281</v>
      </c>
      <c r="I605" s="21"/>
      <c r="J605" s="50">
        <v>16413.0</v>
      </c>
      <c r="K605" s="111">
        <v>0.0</v>
      </c>
      <c r="L605" s="123">
        <f>IF('Global Precios'!J605*(1-I605)*(1+'Global Precios'!K605)&gt;1000,MROUND('Global Precios'!J605*(1-I605)*(1+'Global Precios'!K605),100),MROUND('Global Precios'!J605*(1-I605)*(1+'Global Precios'!K605),10))</f>
        <v>16400</v>
      </c>
      <c r="M605" s="50">
        <v>1.0</v>
      </c>
      <c r="N605" s="50" t="s">
        <v>46</v>
      </c>
      <c r="O605" s="21"/>
      <c r="P605" s="130">
        <v>45809.0</v>
      </c>
      <c r="Q605" s="21">
        <f t="shared" si="30"/>
        <v>23</v>
      </c>
      <c r="R605" s="19">
        <v>60.0</v>
      </c>
      <c r="S605" s="21"/>
      <c r="T605" s="41" t="str">
        <f>IFERROR(VLOOKUP(A605,BUSCARV!$A$1:$C$500,3,0),"")</f>
        <v/>
      </c>
      <c r="U605" s="42"/>
      <c r="V605" s="42" t="str">
        <f t="shared" si="3"/>
        <v/>
      </c>
      <c r="W605" s="44" t="str">
        <f t="shared" si="33"/>
        <v/>
      </c>
      <c r="X605" s="44"/>
      <c r="Y605" s="45">
        <f>IFERROR(VLOOKUP(A605,'BuscarV Stock'!$A$1:$C$422,3,0),0)</f>
        <v>0</v>
      </c>
      <c r="Z605" s="46" t="s">
        <v>1075</v>
      </c>
      <c r="AA605" s="131"/>
    </row>
    <row r="606">
      <c r="A606" s="125" t="s">
        <v>4701</v>
      </c>
      <c r="B606" s="21"/>
      <c r="C606" s="19" t="s">
        <v>182</v>
      </c>
      <c r="D606" s="50" t="s">
        <v>4702</v>
      </c>
      <c r="E606" s="21"/>
      <c r="F606" s="50" t="s">
        <v>2323</v>
      </c>
      <c r="G606" s="50" t="s">
        <v>2316</v>
      </c>
      <c r="H606" s="31">
        <f t="shared" si="29"/>
        <v>14982.64463</v>
      </c>
      <c r="I606" s="21"/>
      <c r="J606" s="50">
        <v>18129.0</v>
      </c>
      <c r="K606" s="111">
        <v>0.0</v>
      </c>
      <c r="L606" s="123">
        <f>IF('Global Precios'!J606*(1-I606)*(1+'Global Precios'!K606)&gt;1000,MROUND('Global Precios'!J606*(1-I606)*(1+'Global Precios'!K606),100),MROUND('Global Precios'!J606*(1-I606)*(1+'Global Precios'!K606),10))</f>
        <v>18100</v>
      </c>
      <c r="M606" s="50">
        <v>1.0</v>
      </c>
      <c r="N606" s="50" t="s">
        <v>46</v>
      </c>
      <c r="O606" s="21"/>
      <c r="P606" s="130">
        <v>45809.0</v>
      </c>
      <c r="Q606" s="21">
        <f t="shared" si="30"/>
        <v>24</v>
      </c>
      <c r="R606" s="19">
        <v>60.0</v>
      </c>
      <c r="S606" s="21"/>
      <c r="T606" s="41" t="str">
        <f>IFERROR(VLOOKUP(A606,BUSCARV!$A$1:$C$500,3,0),"")</f>
        <v/>
      </c>
      <c r="U606" s="42"/>
      <c r="V606" s="42" t="str">
        <f t="shared" si="3"/>
        <v/>
      </c>
      <c r="W606" s="44" t="str">
        <f t="shared" si="33"/>
        <v/>
      </c>
      <c r="X606" s="44"/>
      <c r="Y606" s="45">
        <f>IFERROR(VLOOKUP(A606,'BuscarV Stock'!$A$1:$C$422,3,0),0)</f>
        <v>0</v>
      </c>
      <c r="Z606" s="46" t="s">
        <v>1075</v>
      </c>
      <c r="AA606" s="131"/>
    </row>
    <row r="607">
      <c r="A607" s="125" t="s">
        <v>4703</v>
      </c>
      <c r="B607" s="21"/>
      <c r="C607" s="19" t="s">
        <v>182</v>
      </c>
      <c r="D607" s="50" t="s">
        <v>4704</v>
      </c>
      <c r="E607" s="21"/>
      <c r="F607" s="50" t="s">
        <v>2323</v>
      </c>
      <c r="G607" s="50" t="s">
        <v>2316</v>
      </c>
      <c r="H607" s="31">
        <f t="shared" si="29"/>
        <v>17614.04959</v>
      </c>
      <c r="I607" s="21"/>
      <c r="J607" s="50">
        <v>21313.0</v>
      </c>
      <c r="K607" s="111">
        <v>0.0</v>
      </c>
      <c r="L607" s="123">
        <f>IF('Global Precios'!J607*(1-I607)*(1+'Global Precios'!K607)&gt;1000,MROUND('Global Precios'!J607*(1-I607)*(1+'Global Precios'!K607),100),MROUND('Global Precios'!J607*(1-I607)*(1+'Global Precios'!K607),10))</f>
        <v>21300</v>
      </c>
      <c r="M607" s="50">
        <v>1.0</v>
      </c>
      <c r="N607" s="50" t="s">
        <v>46</v>
      </c>
      <c r="O607" s="21"/>
      <c r="P607" s="130">
        <v>45809.0</v>
      </c>
      <c r="Q607" s="21">
        <f t="shared" si="30"/>
        <v>24</v>
      </c>
      <c r="R607" s="19">
        <v>60.0</v>
      </c>
      <c r="S607" s="21"/>
      <c r="T607" s="41" t="str">
        <f>IFERROR(VLOOKUP(A607,BUSCARV!$A$1:$C$500,3,0),"")</f>
        <v/>
      </c>
      <c r="U607" s="42"/>
      <c r="V607" s="42" t="str">
        <f t="shared" si="3"/>
        <v/>
      </c>
      <c r="W607" s="44" t="str">
        <f t="shared" si="33"/>
        <v/>
      </c>
      <c r="X607" s="44"/>
      <c r="Y607" s="45">
        <f>IFERROR(VLOOKUP(A607,'BuscarV Stock'!$A$1:$C$422,3,0),0)</f>
        <v>0</v>
      </c>
      <c r="Z607" s="46" t="s">
        <v>1075</v>
      </c>
      <c r="AA607" s="131"/>
    </row>
    <row r="608">
      <c r="A608" s="125" t="s">
        <v>4705</v>
      </c>
      <c r="B608" s="21"/>
      <c r="C608" s="19" t="s">
        <v>182</v>
      </c>
      <c r="D608" s="50" t="s">
        <v>4706</v>
      </c>
      <c r="E608" s="21"/>
      <c r="F608" s="50" t="s">
        <v>2323</v>
      </c>
      <c r="G608" s="50" t="s">
        <v>2316</v>
      </c>
      <c r="H608" s="31">
        <f t="shared" si="29"/>
        <v>22270.24793</v>
      </c>
      <c r="I608" s="21"/>
      <c r="J608" s="50">
        <v>26947.0</v>
      </c>
      <c r="K608" s="111">
        <v>0.0</v>
      </c>
      <c r="L608" s="123">
        <f>IF('Global Precios'!J608*(1-I608)*(1+'Global Precios'!K608)&gt;1000,MROUND('Global Precios'!J608*(1-I608)*(1+'Global Precios'!K608),100),MROUND('Global Precios'!J608*(1-I608)*(1+'Global Precios'!K608),10))</f>
        <v>26900</v>
      </c>
      <c r="M608" s="50">
        <v>1.0</v>
      </c>
      <c r="N608" s="50" t="s">
        <v>46</v>
      </c>
      <c r="O608" s="21"/>
      <c r="P608" s="130">
        <v>45809.0</v>
      </c>
      <c r="Q608" s="21">
        <f t="shared" si="30"/>
        <v>24</v>
      </c>
      <c r="R608" s="19">
        <v>60.0</v>
      </c>
      <c r="S608" s="21"/>
      <c r="T608" s="41" t="str">
        <f>IFERROR(VLOOKUP(A608,BUSCARV!$A$1:$C$500,3,0),"")</f>
        <v/>
      </c>
      <c r="U608" s="42"/>
      <c r="V608" s="42" t="str">
        <f t="shared" si="3"/>
        <v/>
      </c>
      <c r="W608" s="44" t="str">
        <f t="shared" si="33"/>
        <v/>
      </c>
      <c r="X608" s="44"/>
      <c r="Y608" s="45">
        <f>IFERROR(VLOOKUP(A608,'BuscarV Stock'!$A$1:$C$422,3,0),0)</f>
        <v>0</v>
      </c>
      <c r="Z608" s="46" t="s">
        <v>1075</v>
      </c>
      <c r="AA608" s="131"/>
    </row>
    <row r="609" ht="16.5" customHeight="1">
      <c r="A609" s="125" t="s">
        <v>4707</v>
      </c>
      <c r="B609" s="21"/>
      <c r="C609" s="19" t="s">
        <v>182</v>
      </c>
      <c r="D609" s="50" t="s">
        <v>4708</v>
      </c>
      <c r="E609" s="21"/>
      <c r="F609" s="50" t="s">
        <v>2323</v>
      </c>
      <c r="G609" s="50" t="s">
        <v>2316</v>
      </c>
      <c r="H609" s="31">
        <f t="shared" si="29"/>
        <v>28345.45455</v>
      </c>
      <c r="I609" s="21"/>
      <c r="J609" s="50">
        <v>34298.0</v>
      </c>
      <c r="K609" s="111">
        <v>0.0</v>
      </c>
      <c r="L609" s="123">
        <f>IF('Global Precios'!J609*(1-I609)*(1+'Global Precios'!K609)&gt;1000,MROUND('Global Precios'!J609*(1-I609)*(1+'Global Precios'!K609),100),MROUND('Global Precios'!J609*(1-I609)*(1+'Global Precios'!K609),10))</f>
        <v>34300</v>
      </c>
      <c r="M609" s="50">
        <v>1.0</v>
      </c>
      <c r="N609" s="50" t="s">
        <v>46</v>
      </c>
      <c r="O609" s="21"/>
      <c r="P609" s="130">
        <v>45809.0</v>
      </c>
      <c r="Q609" s="21">
        <f t="shared" si="30"/>
        <v>25</v>
      </c>
      <c r="R609" s="19">
        <v>60.0</v>
      </c>
      <c r="S609" s="21"/>
      <c r="T609" s="41" t="str">
        <f>IFERROR(VLOOKUP(A609,BUSCARV!$A$1:$C$500,3,0),"")</f>
        <v/>
      </c>
      <c r="U609" s="42"/>
      <c r="V609" s="42" t="str">
        <f t="shared" si="3"/>
        <v/>
      </c>
      <c r="W609" s="44" t="str">
        <f t="shared" si="33"/>
        <v/>
      </c>
      <c r="X609" s="44"/>
      <c r="Y609" s="45">
        <f>IFERROR(VLOOKUP(A609,'BuscarV Stock'!$A$1:$C$422,3,0),0)</f>
        <v>0</v>
      </c>
      <c r="Z609" s="46" t="s">
        <v>1075</v>
      </c>
      <c r="AA609" s="131"/>
    </row>
    <row r="610">
      <c r="A610" s="125" t="s">
        <v>4709</v>
      </c>
      <c r="B610" s="21"/>
      <c r="C610" s="19" t="s">
        <v>3</v>
      </c>
      <c r="D610" s="50" t="s">
        <v>4710</v>
      </c>
      <c r="E610" s="50" t="s">
        <v>4451</v>
      </c>
      <c r="F610" s="50" t="s">
        <v>2308</v>
      </c>
      <c r="G610" s="50" t="s">
        <v>2325</v>
      </c>
      <c r="H610" s="31">
        <f t="shared" si="29"/>
        <v>7213.22314</v>
      </c>
      <c r="I610" s="21"/>
      <c r="J610" s="50">
        <v>8728.0</v>
      </c>
      <c r="K610" s="111">
        <v>0.7</v>
      </c>
      <c r="L610" s="123">
        <f>IF('Global Precios'!J610*(1-I610)*(1+'Global Precios'!K610)&gt;1000,MROUND('Global Precios'!J610*(1-I610)*(1+'Global Precios'!K610),100),MROUND('Global Precios'!J610*(1-I610)*(1+'Global Precios'!K610),10))</f>
        <v>14800</v>
      </c>
      <c r="M610" s="50">
        <v>90.0</v>
      </c>
      <c r="N610" s="50" t="s">
        <v>2496</v>
      </c>
      <c r="O610" s="21"/>
      <c r="P610" s="130">
        <v>45505.0</v>
      </c>
      <c r="Q610" s="21">
        <f t="shared" si="30"/>
        <v>19</v>
      </c>
      <c r="R610" s="19">
        <v>30.0</v>
      </c>
      <c r="S610" s="21"/>
      <c r="T610" s="41" t="str">
        <f>IFERROR(VLOOKUP(D610,BUSCARV!$A$1:$C$5524,2,0),"")</f>
        <v/>
      </c>
      <c r="U610" s="42"/>
      <c r="V610" s="42" t="str">
        <f t="shared" si="3"/>
        <v/>
      </c>
      <c r="W610" s="44" t="str">
        <f t="shared" ref="W610:W618" si="34">IF(V610="","", IFERROR((V610-J610)/J610,""))</f>
        <v/>
      </c>
      <c r="X610" s="44"/>
      <c r="Y610" s="45">
        <f>IFERROR(VLOOKUP(A610,'BuscarV Stock'!$A$1:$C$422,3,0),0)</f>
        <v>0</v>
      </c>
      <c r="Z610" s="46" t="s">
        <v>1075</v>
      </c>
      <c r="AA610" s="131"/>
    </row>
    <row r="611">
      <c r="A611" s="125" t="s">
        <v>4711</v>
      </c>
      <c r="B611" s="21"/>
      <c r="C611" s="19" t="s">
        <v>3</v>
      </c>
      <c r="D611" s="19" t="s">
        <v>874</v>
      </c>
      <c r="E611" s="50" t="s">
        <v>4470</v>
      </c>
      <c r="F611" s="50" t="s">
        <v>2308</v>
      </c>
      <c r="G611" s="50" t="s">
        <v>2350</v>
      </c>
      <c r="H611" s="31">
        <f t="shared" si="29"/>
        <v>4508.264463</v>
      </c>
      <c r="I611" s="21"/>
      <c r="J611" s="19">
        <v>5455.0</v>
      </c>
      <c r="K611" s="111">
        <v>0.8</v>
      </c>
      <c r="L611" s="33">
        <f>IF('Global Precios'!J611*(1-I611)*(1+'Global Precios'!K611)&gt;10000,MROUND('Global Precios'!J611*(1-I611)*(1+'Global Precios'!K611),1000),MROUND('Global Precios'!J611*(1-I611)*(1+'Global Precios'!K611),500))</f>
        <v>10000</v>
      </c>
      <c r="M611" s="50">
        <v>1.0</v>
      </c>
      <c r="N611" s="50" t="s">
        <v>4383</v>
      </c>
      <c r="O611" s="21"/>
      <c r="P611" s="35">
        <v>45839.0</v>
      </c>
      <c r="Q611" s="21">
        <f t="shared" si="30"/>
        <v>33</v>
      </c>
      <c r="R611" s="19">
        <v>30.0</v>
      </c>
      <c r="S611" s="21"/>
      <c r="T611" s="41">
        <f>IFERROR(VLOOKUP(D611,BUSCARV!$A$1:$C$5524,2,0),"")</f>
        <v>4262</v>
      </c>
      <c r="U611" s="42"/>
      <c r="V611" s="42">
        <f t="shared" si="3"/>
        <v>4262</v>
      </c>
      <c r="W611" s="44">
        <f t="shared" si="34"/>
        <v>-0.2186984418</v>
      </c>
      <c r="X611" s="44"/>
      <c r="Y611" s="45">
        <f>IFERROR(VLOOKUP(A611,'BuscarV Stock'!$A$1:$C$422,3,0),0)</f>
        <v>0</v>
      </c>
      <c r="Z611" s="46" t="s">
        <v>449</v>
      </c>
      <c r="AA611" s="131"/>
    </row>
    <row r="612">
      <c r="A612" s="125" t="s">
        <v>4712</v>
      </c>
      <c r="B612" s="21"/>
      <c r="C612" s="19" t="s">
        <v>3</v>
      </c>
      <c r="D612" s="19" t="s">
        <v>2751</v>
      </c>
      <c r="E612" s="50" t="s">
        <v>4713</v>
      </c>
      <c r="F612" s="50" t="s">
        <v>2308</v>
      </c>
      <c r="G612" s="50" t="s">
        <v>2350</v>
      </c>
      <c r="H612" s="31">
        <f t="shared" si="29"/>
        <v>2100.826446</v>
      </c>
      <c r="I612" s="21"/>
      <c r="J612" s="19">
        <v>2542.0</v>
      </c>
      <c r="K612" s="111">
        <v>0.8</v>
      </c>
      <c r="L612" s="33">
        <f>IF('Global Precios'!J612*(1-I612)*(1+'Global Precios'!K612)&gt;10000,MROUND('Global Precios'!J612*(1-I612)*(1+'Global Precios'!K612),1000),MROUND('Global Precios'!J612*(1-I612)*(1+'Global Precios'!K612),500))</f>
        <v>4500</v>
      </c>
      <c r="M612" s="50">
        <v>100.0</v>
      </c>
      <c r="N612" s="50" t="s">
        <v>4431</v>
      </c>
      <c r="O612" s="21"/>
      <c r="P612" s="35">
        <v>45839.0</v>
      </c>
      <c r="Q612" s="21">
        <f t="shared" si="30"/>
        <v>22</v>
      </c>
      <c r="R612" s="19">
        <v>30.0</v>
      </c>
      <c r="S612" s="21"/>
      <c r="T612" s="41">
        <f>IFERROR(VLOOKUP(D612,BUSCARV!$A$1:$C$5524,2,0),"")</f>
        <v>2542</v>
      </c>
      <c r="U612" s="42"/>
      <c r="V612" s="42">
        <f t="shared" si="3"/>
        <v>2542</v>
      </c>
      <c r="W612" s="44">
        <f t="shared" si="34"/>
        <v>0</v>
      </c>
      <c r="X612" s="44"/>
      <c r="Y612" s="45">
        <f>IFERROR(VLOOKUP(A612,'BuscarV Stock'!$A$1:$C$422,3,0),0)</f>
        <v>0</v>
      </c>
      <c r="Z612" s="46" t="s">
        <v>449</v>
      </c>
      <c r="AA612" s="131"/>
    </row>
    <row r="613">
      <c r="A613" s="125" t="s">
        <v>4714</v>
      </c>
      <c r="B613" s="21"/>
      <c r="C613" s="19" t="s">
        <v>3</v>
      </c>
      <c r="D613" s="19" t="s">
        <v>4715</v>
      </c>
      <c r="E613" s="50" t="s">
        <v>4454</v>
      </c>
      <c r="F613" s="50" t="s">
        <v>2308</v>
      </c>
      <c r="G613" s="50" t="s">
        <v>2346</v>
      </c>
      <c r="H613" s="31">
        <f t="shared" si="29"/>
        <v>809.9173554</v>
      </c>
      <c r="I613" s="21"/>
      <c r="J613" s="19">
        <v>980.0</v>
      </c>
      <c r="K613" s="111">
        <v>1.0</v>
      </c>
      <c r="L613" s="33">
        <f>IF('Global Precios'!J613*(1-I613)*(1+'Global Precios'!K613)&gt;10000,MROUND('Global Precios'!J613*(1-I613)*(1+'Global Precios'!K613),1000),MROUND('Global Precios'!J613*(1-I613)*(1+'Global Precios'!K613),500))</f>
        <v>2000</v>
      </c>
      <c r="M613" s="50">
        <v>1.0</v>
      </c>
      <c r="N613" s="50" t="s">
        <v>4383</v>
      </c>
      <c r="O613" s="21"/>
      <c r="P613" s="35">
        <v>46082.0</v>
      </c>
      <c r="Q613" s="21">
        <f t="shared" si="30"/>
        <v>38</v>
      </c>
      <c r="R613" s="19">
        <v>30.0</v>
      </c>
      <c r="S613" s="21"/>
      <c r="T613" s="41" t="str">
        <f>IFERROR(VLOOKUP(D613,BUSCARV!$A$1:$C$5524,2,0),"")</f>
        <v/>
      </c>
      <c r="U613" s="42"/>
      <c r="V613" s="42" t="str">
        <f t="shared" si="3"/>
        <v/>
      </c>
      <c r="W613" s="44" t="str">
        <f t="shared" si="34"/>
        <v/>
      </c>
      <c r="X613" s="44"/>
      <c r="Y613" s="45">
        <f>IFERROR(VLOOKUP(A613,'BuscarV Stock'!$A$1:$C$422,3,0),0)</f>
        <v>0</v>
      </c>
      <c r="Z613" s="46" t="s">
        <v>449</v>
      </c>
      <c r="AA613" s="131"/>
    </row>
    <row r="614">
      <c r="A614" s="125" t="s">
        <v>4716</v>
      </c>
      <c r="B614" s="21"/>
      <c r="C614" s="19" t="s">
        <v>3</v>
      </c>
      <c r="D614" s="19" t="s">
        <v>4717</v>
      </c>
      <c r="E614" s="50" t="s">
        <v>4469</v>
      </c>
      <c r="F614" s="50" t="s">
        <v>2308</v>
      </c>
      <c r="G614" s="50" t="s">
        <v>2339</v>
      </c>
      <c r="H614" s="31">
        <f t="shared" si="29"/>
        <v>4214.876033</v>
      </c>
      <c r="I614" s="21"/>
      <c r="J614" s="50">
        <v>5100.0</v>
      </c>
      <c r="K614" s="111">
        <v>0.8</v>
      </c>
      <c r="L614" s="33">
        <f>IF('Global Precios'!J614*(1-I614)*(1+'Global Precios'!K614)&gt;10000,MROUND('Global Precios'!J614*(1-I614)*(1+'Global Precios'!K614),1000),MROUND('Global Precios'!J614*(1-I614)*(1+'Global Precios'!K614),500))</f>
        <v>9000</v>
      </c>
      <c r="M614" s="50">
        <v>10.0</v>
      </c>
      <c r="N614" s="50" t="s">
        <v>4383</v>
      </c>
      <c r="O614" s="21"/>
      <c r="P614" s="130">
        <v>45839.0</v>
      </c>
      <c r="Q614" s="21">
        <f t="shared" si="30"/>
        <v>32</v>
      </c>
      <c r="R614" s="19">
        <v>30.0</v>
      </c>
      <c r="S614" s="21"/>
      <c r="T614" s="41" t="str">
        <f>IFERROR(VLOOKUP(D614,BUSCARV!$A$1:$C$5524,2,0),"")</f>
        <v/>
      </c>
      <c r="U614" s="42"/>
      <c r="V614" s="42" t="str">
        <f t="shared" si="3"/>
        <v/>
      </c>
      <c r="W614" s="44" t="str">
        <f t="shared" si="34"/>
        <v/>
      </c>
      <c r="X614" s="44"/>
      <c r="Y614" s="45">
        <f>IFERROR(VLOOKUP(A614,'BuscarV Stock'!$A$1:$C$422,3,0),0)</f>
        <v>0</v>
      </c>
      <c r="Z614" s="46" t="s">
        <v>449</v>
      </c>
      <c r="AA614" s="131"/>
    </row>
    <row r="615">
      <c r="A615" s="125" t="s">
        <v>4718</v>
      </c>
      <c r="B615" s="21"/>
      <c r="C615" s="19" t="s">
        <v>3</v>
      </c>
      <c r="D615" s="114" t="s">
        <v>4719</v>
      </c>
      <c r="E615" s="21"/>
      <c r="F615" s="50" t="s">
        <v>1982</v>
      </c>
      <c r="G615" s="50" t="s">
        <v>2316</v>
      </c>
      <c r="H615" s="31">
        <f t="shared" si="29"/>
        <v>5414.876033</v>
      </c>
      <c r="I615" s="21"/>
      <c r="J615" s="19">
        <v>6552.0</v>
      </c>
      <c r="K615" s="111">
        <v>0.8</v>
      </c>
      <c r="L615" s="33">
        <f>IF('Global Precios'!J615*(1-I615)*(1+'Global Precios'!K615)&gt;10000,MROUND('Global Precios'!J615*(1-I615)*(1+'Global Precios'!K615),1000),MROUND('Global Precios'!J615*(1-I615)*(1+'Global Precios'!K615),500))</f>
        <v>12000</v>
      </c>
      <c r="M615" s="50">
        <v>1.0</v>
      </c>
      <c r="N615" s="50" t="s">
        <v>46</v>
      </c>
      <c r="O615" s="21"/>
      <c r="P615" s="130">
        <v>45839.0</v>
      </c>
      <c r="Q615" s="21">
        <f t="shared" si="30"/>
        <v>32</v>
      </c>
      <c r="R615" s="19">
        <v>30.0</v>
      </c>
      <c r="S615" s="21"/>
      <c r="T615" s="41" t="str">
        <f>IFERROR(VLOOKUP(D615,BUSCARV!$A$1:$C$5524,2,0),"")</f>
        <v/>
      </c>
      <c r="U615" s="42"/>
      <c r="V615" s="42" t="str">
        <f t="shared" si="3"/>
        <v/>
      </c>
      <c r="W615" s="44" t="str">
        <f t="shared" si="34"/>
        <v/>
      </c>
      <c r="X615" s="44"/>
      <c r="Y615" s="45">
        <f>IFERROR(VLOOKUP(A615,'BuscarV Stock'!$A$1:$C$422,3,0),0)</f>
        <v>0</v>
      </c>
      <c r="Z615" s="46" t="s">
        <v>449</v>
      </c>
      <c r="AA615" s="131"/>
    </row>
    <row r="616">
      <c r="A616" s="125" t="s">
        <v>4720</v>
      </c>
      <c r="B616" s="21"/>
      <c r="C616" s="19" t="s">
        <v>3</v>
      </c>
      <c r="D616" s="50" t="s">
        <v>4721</v>
      </c>
      <c r="E616" s="21"/>
      <c r="F616" s="50" t="s">
        <v>1982</v>
      </c>
      <c r="G616" s="50" t="s">
        <v>2316</v>
      </c>
      <c r="H616" s="31">
        <f t="shared" si="29"/>
        <v>10001.65289</v>
      </c>
      <c r="I616" s="21"/>
      <c r="J616" s="19">
        <v>12102.0</v>
      </c>
      <c r="K616" s="111">
        <v>0.6</v>
      </c>
      <c r="L616" s="33">
        <f>IF('Global Precios'!J616*(1-I616)*(1+'Global Precios'!K616)&gt;10000,MROUND('Global Precios'!J616*(1-I616)*(1+'Global Precios'!K616),1000),MROUND('Global Precios'!J616*(1-I616)*(1+'Global Precios'!K616),500))</f>
        <v>19000</v>
      </c>
      <c r="M616" s="50">
        <v>1.0</v>
      </c>
      <c r="N616" s="50" t="s">
        <v>46</v>
      </c>
      <c r="O616" s="21"/>
      <c r="P616" s="130">
        <v>45839.0</v>
      </c>
      <c r="Q616" s="21">
        <f t="shared" si="30"/>
        <v>35</v>
      </c>
      <c r="R616" s="19">
        <v>30.0</v>
      </c>
      <c r="S616" s="21"/>
      <c r="T616" s="41" t="str">
        <f>IFERROR(VLOOKUP(D616,BUSCARV!$A$1:$C$5524,2,0),"")</f>
        <v/>
      </c>
      <c r="U616" s="42"/>
      <c r="V616" s="42" t="str">
        <f t="shared" si="3"/>
        <v/>
      </c>
      <c r="W616" s="44" t="str">
        <f t="shared" si="34"/>
        <v/>
      </c>
      <c r="X616" s="44"/>
      <c r="Y616" s="45">
        <f>IFERROR(VLOOKUP(A616,'BuscarV Stock'!$A$1:$C$422,3,0),0)</f>
        <v>0</v>
      </c>
      <c r="Z616" s="46" t="s">
        <v>449</v>
      </c>
      <c r="AA616" s="131"/>
    </row>
    <row r="617">
      <c r="A617" s="125" t="s">
        <v>4722</v>
      </c>
      <c r="B617" s="21"/>
      <c r="C617" s="19" t="s">
        <v>3</v>
      </c>
      <c r="D617" s="114" t="s">
        <v>4723</v>
      </c>
      <c r="E617" s="21"/>
      <c r="F617" s="50" t="s">
        <v>1982</v>
      </c>
      <c r="G617" s="50" t="s">
        <v>2316</v>
      </c>
      <c r="H617" s="31">
        <f t="shared" si="29"/>
        <v>11628.92562</v>
      </c>
      <c r="I617" s="21"/>
      <c r="J617" s="50">
        <v>14071.0</v>
      </c>
      <c r="K617" s="111">
        <v>0.6</v>
      </c>
      <c r="L617" s="33">
        <f>IF('Global Precios'!J617*(1-I617)*(1+'Global Precios'!K617)&gt;10000,MROUND('Global Precios'!J617*(1-I617)*(1+'Global Precios'!K617),1000),MROUND('Global Precios'!J617*(1-I617)*(1+'Global Precios'!K617),500))</f>
        <v>23000</v>
      </c>
      <c r="M617" s="50">
        <v>1.0</v>
      </c>
      <c r="N617" s="50" t="s">
        <v>46</v>
      </c>
      <c r="O617" s="21"/>
      <c r="P617" s="130">
        <v>45839.0</v>
      </c>
      <c r="Q617" s="21">
        <f t="shared" si="30"/>
        <v>22</v>
      </c>
      <c r="R617" s="19">
        <v>30.0</v>
      </c>
      <c r="S617" s="21"/>
      <c r="T617" s="41" t="str">
        <f>IFERROR(VLOOKUP(D617,BUSCARV!$A$1:$C$5524,2,0),"")</f>
        <v/>
      </c>
      <c r="U617" s="42"/>
      <c r="V617" s="42" t="str">
        <f t="shared" si="3"/>
        <v/>
      </c>
      <c r="W617" s="44" t="str">
        <f t="shared" si="34"/>
        <v/>
      </c>
      <c r="X617" s="44"/>
      <c r="Y617" s="45">
        <f>IFERROR(VLOOKUP(A617,'BuscarV Stock'!$A$1:$C$422,3,0),0)</f>
        <v>0</v>
      </c>
      <c r="Z617" s="46" t="s">
        <v>449</v>
      </c>
      <c r="AA617" s="131"/>
    </row>
    <row r="618">
      <c r="A618" s="125" t="s">
        <v>4724</v>
      </c>
      <c r="B618" s="21"/>
      <c r="C618" s="19" t="s">
        <v>3</v>
      </c>
      <c r="D618" s="50" t="s">
        <v>4725</v>
      </c>
      <c r="E618" s="50" t="s">
        <v>4574</v>
      </c>
      <c r="F618" s="50" t="s">
        <v>1795</v>
      </c>
      <c r="G618" s="50" t="s">
        <v>2316</v>
      </c>
      <c r="H618" s="31">
        <f t="shared" si="29"/>
        <v>29355.3719</v>
      </c>
      <c r="I618" s="21"/>
      <c r="J618" s="50">
        <v>35520.0</v>
      </c>
      <c r="K618" s="111">
        <v>0.5</v>
      </c>
      <c r="L618" s="33">
        <f>IF('Global Precios'!J618*(1-I618)*(1+'Global Precios'!K618)&gt;10000,MROUND('Global Precios'!J618*(1-I618)*(1+'Global Precios'!K618),1000),MROUND('Global Precios'!J618*(1-I618)*(1+'Global Precios'!K618),500))</f>
        <v>53000</v>
      </c>
      <c r="M618" s="50">
        <v>20.0</v>
      </c>
      <c r="N618" s="50" t="s">
        <v>1823</v>
      </c>
      <c r="O618" s="21"/>
      <c r="P618" s="130">
        <v>45748.0</v>
      </c>
      <c r="Q618" s="21">
        <f t="shared" si="30"/>
        <v>27</v>
      </c>
      <c r="R618" s="19">
        <v>30.0</v>
      </c>
      <c r="S618" s="21"/>
      <c r="T618" s="41" t="str">
        <f>IFERROR(VLOOKUP(D618,BUSCARV!$A$1:$C$5524,2,0),"")</f>
        <v/>
      </c>
      <c r="U618" s="42"/>
      <c r="V618" s="42" t="str">
        <f t="shared" si="3"/>
        <v/>
      </c>
      <c r="W618" s="44" t="str">
        <f t="shared" si="34"/>
        <v/>
      </c>
      <c r="X618" s="44"/>
      <c r="Y618" s="45">
        <f>IFERROR(VLOOKUP(A618,'BuscarV Stock'!$A$1:$C$422,3,0),0)</f>
        <v>0</v>
      </c>
      <c r="Z618" s="46" t="s">
        <v>1075</v>
      </c>
      <c r="AA618" s="131"/>
    </row>
    <row r="619">
      <c r="A619" s="125" t="s">
        <v>4726</v>
      </c>
      <c r="B619" s="21"/>
      <c r="C619" s="19" t="s">
        <v>3</v>
      </c>
      <c r="D619" s="50" t="s">
        <v>4727</v>
      </c>
      <c r="E619" s="21"/>
      <c r="F619" s="50" t="s">
        <v>2308</v>
      </c>
      <c r="G619" s="50" t="s">
        <v>2316</v>
      </c>
      <c r="H619" s="31">
        <f t="shared" si="29"/>
        <v>3793.38843</v>
      </c>
      <c r="I619" s="21"/>
      <c r="J619" s="50">
        <v>4590.0</v>
      </c>
      <c r="K619" s="111">
        <v>0.0</v>
      </c>
      <c r="L619" s="33">
        <f>IF('Global Precios'!J619*(1-I619)*(1+'Global Precios'!K619)&gt;10000,MROUND('Global Precios'!J619*(1-I619)*(1+'Global Precios'!K619),1000),MROUND('Global Precios'!J619*(1-I619)*(1+'Global Precios'!K619),500))</f>
        <v>4500</v>
      </c>
      <c r="M619" s="50">
        <v>1.0</v>
      </c>
      <c r="N619" s="50" t="s">
        <v>46</v>
      </c>
      <c r="O619" s="21"/>
      <c r="P619" s="130">
        <v>45839.0</v>
      </c>
      <c r="Q619" s="21">
        <f t="shared" si="30"/>
        <v>24</v>
      </c>
      <c r="R619" s="19">
        <v>30.0</v>
      </c>
      <c r="S619" s="21"/>
      <c r="T619" s="41" t="str">
        <f>IFERROR(VLOOKUP(A619,BUSCARV!$A$1:$C$500,3,0),"")</f>
        <v/>
      </c>
      <c r="U619" s="42"/>
      <c r="V619" s="42" t="str">
        <f t="shared" si="3"/>
        <v/>
      </c>
      <c r="W619" s="44" t="str">
        <f t="shared" ref="W619:W682" si="35">IF(V619="","", IFERROR((V619-H619)/H619,""))</f>
        <v/>
      </c>
      <c r="X619" s="44"/>
      <c r="Y619" s="45">
        <f>IFERROR(VLOOKUP(A619,'BuscarV Stock'!$A$1:$C$422,3,0),0)</f>
        <v>0</v>
      </c>
      <c r="Z619" s="46" t="s">
        <v>449</v>
      </c>
      <c r="AA619" s="131"/>
    </row>
    <row r="620">
      <c r="A620" s="125" t="s">
        <v>4728</v>
      </c>
      <c r="B620" s="21"/>
      <c r="C620" s="19" t="s">
        <v>3</v>
      </c>
      <c r="D620" s="50" t="s">
        <v>4729</v>
      </c>
      <c r="E620" s="21"/>
      <c r="F620" s="50" t="s">
        <v>2308</v>
      </c>
      <c r="G620" s="50" t="s">
        <v>2316</v>
      </c>
      <c r="H620" s="31">
        <f t="shared" si="29"/>
        <v>4214.876033</v>
      </c>
      <c r="I620" s="21"/>
      <c r="J620" s="50">
        <v>5100.0</v>
      </c>
      <c r="K620" s="111">
        <v>0.0</v>
      </c>
      <c r="L620" s="33">
        <f>IF('Global Precios'!J620*(1-I620)*(1+'Global Precios'!K620)&gt;10000,MROUND('Global Precios'!J620*(1-I620)*(1+'Global Precios'!K620),1000),MROUND('Global Precios'!J620*(1-I620)*(1+'Global Precios'!K620),500))</f>
        <v>5000</v>
      </c>
      <c r="M620" s="50">
        <v>1.0</v>
      </c>
      <c r="N620" s="50" t="s">
        <v>46</v>
      </c>
      <c r="O620" s="21"/>
      <c r="P620" s="130">
        <v>45839.0</v>
      </c>
      <c r="Q620" s="21">
        <f t="shared" si="30"/>
        <v>20</v>
      </c>
      <c r="R620" s="19">
        <v>30.0</v>
      </c>
      <c r="S620" s="21"/>
      <c r="T620" s="41" t="str">
        <f>IFERROR(VLOOKUP(A620,BUSCARV!$A$1:$C$500,3,0),"")</f>
        <v/>
      </c>
      <c r="U620" s="42"/>
      <c r="V620" s="42" t="str">
        <f t="shared" si="3"/>
        <v/>
      </c>
      <c r="W620" s="44" t="str">
        <f t="shared" si="35"/>
        <v/>
      </c>
      <c r="X620" s="44"/>
      <c r="Y620" s="45">
        <f>IFERROR(VLOOKUP(A620,'BuscarV Stock'!$A$1:$C$422,3,0),0)</f>
        <v>0</v>
      </c>
      <c r="Z620" s="46" t="s">
        <v>449</v>
      </c>
      <c r="AA620" s="131"/>
    </row>
    <row r="621">
      <c r="A621" s="125" t="s">
        <v>4730</v>
      </c>
      <c r="B621" s="21"/>
      <c r="C621" s="19" t="s">
        <v>3</v>
      </c>
      <c r="D621" s="50" t="s">
        <v>4731</v>
      </c>
      <c r="E621" s="21"/>
      <c r="F621" s="50" t="s">
        <v>2308</v>
      </c>
      <c r="G621" s="50" t="s">
        <v>2316</v>
      </c>
      <c r="H621" s="31">
        <f t="shared" si="29"/>
        <v>4636.363636</v>
      </c>
      <c r="I621" s="21"/>
      <c r="J621" s="50">
        <v>5610.0</v>
      </c>
      <c r="K621" s="111">
        <v>0.0</v>
      </c>
      <c r="L621" s="33">
        <f>IF('Global Precios'!J621*(1-I621)*(1+'Global Precios'!K621)&gt;10000,MROUND('Global Precios'!J621*(1-I621)*(1+'Global Precios'!K621),1000),MROUND('Global Precios'!J621*(1-I621)*(1+'Global Precios'!K621),500))</f>
        <v>5500</v>
      </c>
      <c r="M621" s="50">
        <v>1.0</v>
      </c>
      <c r="N621" s="50" t="s">
        <v>46</v>
      </c>
      <c r="O621" s="21"/>
      <c r="P621" s="130">
        <v>45839.0</v>
      </c>
      <c r="Q621" s="21">
        <f t="shared" si="30"/>
        <v>19</v>
      </c>
      <c r="R621" s="19">
        <v>30.0</v>
      </c>
      <c r="S621" s="21"/>
      <c r="T621" s="41" t="str">
        <f>IFERROR(VLOOKUP(A621,BUSCARV!$A$1:$C$500,3,0),"")</f>
        <v/>
      </c>
      <c r="U621" s="42"/>
      <c r="V621" s="42" t="str">
        <f t="shared" si="3"/>
        <v/>
      </c>
      <c r="W621" s="44" t="str">
        <f t="shared" si="35"/>
        <v/>
      </c>
      <c r="X621" s="44"/>
      <c r="Y621" s="45">
        <f>IFERROR(VLOOKUP(A621,'BuscarV Stock'!$A$1:$C$422,3,0),0)</f>
        <v>0</v>
      </c>
      <c r="Z621" s="46" t="s">
        <v>449</v>
      </c>
      <c r="AA621" s="131"/>
    </row>
    <row r="622">
      <c r="A622" s="125" t="s">
        <v>4732</v>
      </c>
      <c r="B622" s="21"/>
      <c r="C622" s="19" t="s">
        <v>3</v>
      </c>
      <c r="D622" s="114" t="s">
        <v>4733</v>
      </c>
      <c r="E622" s="21"/>
      <c r="F622" s="50" t="s">
        <v>2308</v>
      </c>
      <c r="G622" s="50" t="s">
        <v>2316</v>
      </c>
      <c r="H622" s="31">
        <f t="shared" si="29"/>
        <v>4132.231405</v>
      </c>
      <c r="I622" s="21"/>
      <c r="J622" s="50">
        <v>5000.0</v>
      </c>
      <c r="K622" s="111">
        <v>0.0</v>
      </c>
      <c r="L622" s="33">
        <f>IF('Global Precios'!J622*(1-I622)*(1+'Global Precios'!K622)&gt;10000,MROUND('Global Precios'!J622*(1-I622)*(1+'Global Precios'!K622),1000),MROUND('Global Precios'!J622*(1-I622)*(1+'Global Precios'!K622),500))</f>
        <v>5000</v>
      </c>
      <c r="M622" s="50">
        <v>1.0</v>
      </c>
      <c r="N622" s="50" t="s">
        <v>46</v>
      </c>
      <c r="O622" s="21"/>
      <c r="P622" s="130">
        <v>45748.0</v>
      </c>
      <c r="Q622" s="21">
        <f t="shared" si="30"/>
        <v>14</v>
      </c>
      <c r="R622" s="19">
        <v>30.0</v>
      </c>
      <c r="S622" s="21"/>
      <c r="T622" s="41" t="str">
        <f>IFERROR(VLOOKUP(A622,BUSCARV!$A$1:$C$500,3,0),"")</f>
        <v/>
      </c>
      <c r="U622" s="42"/>
      <c r="V622" s="42" t="str">
        <f t="shared" si="3"/>
        <v/>
      </c>
      <c r="W622" s="44" t="str">
        <f t="shared" si="35"/>
        <v/>
      </c>
      <c r="X622" s="44"/>
      <c r="Y622" s="45">
        <f>IFERROR(VLOOKUP(A622,'BuscarV Stock'!$A$1:$C$422,3,0),0)</f>
        <v>0</v>
      </c>
      <c r="Z622" s="46" t="s">
        <v>1075</v>
      </c>
      <c r="AA622" s="131"/>
    </row>
    <row r="623">
      <c r="A623" s="125" t="s">
        <v>4734</v>
      </c>
      <c r="B623" s="21"/>
      <c r="C623" s="19" t="s">
        <v>3</v>
      </c>
      <c r="D623" s="50" t="s">
        <v>4735</v>
      </c>
      <c r="E623" s="21"/>
      <c r="F623" s="50" t="s">
        <v>1982</v>
      </c>
      <c r="G623" s="50" t="s">
        <v>2316</v>
      </c>
      <c r="H623" s="31">
        <f t="shared" si="29"/>
        <v>4259.504132</v>
      </c>
      <c r="I623" s="21"/>
      <c r="J623" s="50">
        <v>5154.0</v>
      </c>
      <c r="K623" s="111">
        <v>1.0</v>
      </c>
      <c r="L623" s="33">
        <f>IF('Global Precios'!J623*(1-I623)*(1+'Global Precios'!K623)&gt;10000,MROUND('Global Precios'!J623*(1-I623)*(1+'Global Precios'!K623),1000),MROUND('Global Precios'!J623*(1-I623)*(1+'Global Precios'!K623),500))</f>
        <v>10000</v>
      </c>
      <c r="M623" s="50">
        <v>1.0</v>
      </c>
      <c r="N623" s="50" t="s">
        <v>46</v>
      </c>
      <c r="O623" s="21"/>
      <c r="P623" s="130">
        <v>45839.0</v>
      </c>
      <c r="Q623" s="21">
        <f t="shared" si="30"/>
        <v>11</v>
      </c>
      <c r="R623" s="19">
        <v>30.0</v>
      </c>
      <c r="S623" s="21"/>
      <c r="T623" s="41" t="str">
        <f>IFERROR(VLOOKUP(A623,BUSCARV!$A$1:$C$500,3,0),"")</f>
        <v/>
      </c>
      <c r="U623" s="42"/>
      <c r="V623" s="42" t="str">
        <f t="shared" si="3"/>
        <v/>
      </c>
      <c r="W623" s="44" t="str">
        <f t="shared" si="35"/>
        <v/>
      </c>
      <c r="X623" s="44"/>
      <c r="Y623" s="45">
        <f>IFERROR(VLOOKUP(A623,'BuscarV Stock'!$A$1:$C$422,3,0),0)</f>
        <v>0</v>
      </c>
      <c r="Z623" s="46" t="s">
        <v>449</v>
      </c>
      <c r="AA623" s="131"/>
    </row>
    <row r="624">
      <c r="A624" s="125" t="s">
        <v>4736</v>
      </c>
      <c r="B624" s="21"/>
      <c r="C624" s="19" t="s">
        <v>3</v>
      </c>
      <c r="D624" s="50" t="s">
        <v>4737</v>
      </c>
      <c r="E624" s="50" t="s">
        <v>4738</v>
      </c>
      <c r="F624" s="50" t="s">
        <v>1795</v>
      </c>
      <c r="G624" s="50" t="s">
        <v>2316</v>
      </c>
      <c r="H624" s="31">
        <f t="shared" si="29"/>
        <v>12892.56198</v>
      </c>
      <c r="I624" s="21"/>
      <c r="J624" s="50">
        <v>15600.0</v>
      </c>
      <c r="K624" s="111">
        <v>0.4</v>
      </c>
      <c r="L624" s="33">
        <f>IF('Global Precios'!J624*(1-I624)*(1+'Global Precios'!K624)&gt;10000,MROUND('Global Precios'!J624*(1-I624)*(1+'Global Precios'!K624),1000),MROUND('Global Precios'!J624*(1-I624)*(1+'Global Precios'!K624),500))</f>
        <v>22000</v>
      </c>
      <c r="M624" s="50">
        <v>3.0</v>
      </c>
      <c r="N624" s="50" t="s">
        <v>1823</v>
      </c>
      <c r="O624" s="21"/>
      <c r="P624" s="130">
        <v>46174.0</v>
      </c>
      <c r="Q624" s="21">
        <f t="shared" si="30"/>
        <v>32</v>
      </c>
      <c r="R624" s="19">
        <v>30.0</v>
      </c>
      <c r="S624" s="21"/>
      <c r="T624" s="41" t="str">
        <f>IFERROR(VLOOKUP(A624,BUSCARV!$A$1:$C$500,3,0),"")</f>
        <v/>
      </c>
      <c r="U624" s="42"/>
      <c r="V624" s="42" t="str">
        <f t="shared" si="3"/>
        <v/>
      </c>
      <c r="W624" s="44" t="str">
        <f t="shared" si="35"/>
        <v/>
      </c>
      <c r="X624" s="44"/>
      <c r="Y624" s="45">
        <f>IFERROR(VLOOKUP(A624,'BuscarV Stock'!$A$1:$C$422,3,0),0)</f>
        <v>0</v>
      </c>
      <c r="Z624" s="46" t="s">
        <v>1075</v>
      </c>
      <c r="AA624" s="131"/>
    </row>
    <row r="625">
      <c r="A625" s="125" t="s">
        <v>4739</v>
      </c>
      <c r="B625" s="21"/>
      <c r="C625" s="19" t="s">
        <v>3</v>
      </c>
      <c r="D625" s="50" t="s">
        <v>4740</v>
      </c>
      <c r="E625" s="21"/>
      <c r="F625" s="50" t="s">
        <v>1982</v>
      </c>
      <c r="G625" s="50" t="s">
        <v>2316</v>
      </c>
      <c r="H625" s="31">
        <f t="shared" si="29"/>
        <v>2107.438017</v>
      </c>
      <c r="I625" s="21"/>
      <c r="J625" s="50">
        <v>2550.0</v>
      </c>
      <c r="K625" s="111">
        <v>1.0</v>
      </c>
      <c r="L625" s="33">
        <f>IF('Global Precios'!J625*(1-I625)*(1+'Global Precios'!K625)&gt;10000,MROUND('Global Precios'!J625*(1-I625)*(1+'Global Precios'!K625),1000),MROUND('Global Precios'!J625*(1-I625)*(1+'Global Precios'!K625),500))</f>
        <v>5000</v>
      </c>
      <c r="M625" s="50">
        <v>1.0</v>
      </c>
      <c r="N625" s="50" t="s">
        <v>46</v>
      </c>
      <c r="O625" s="21"/>
      <c r="P625" s="130">
        <v>45839.0</v>
      </c>
      <c r="Q625" s="21">
        <f t="shared" si="30"/>
        <v>20</v>
      </c>
      <c r="R625" s="19">
        <v>30.0</v>
      </c>
      <c r="S625" s="21"/>
      <c r="T625" s="41" t="str">
        <f>IFERROR(VLOOKUP(A625,BUSCARV!$A$1:$C$500,3,0),"")</f>
        <v/>
      </c>
      <c r="U625" s="42"/>
      <c r="V625" s="42" t="str">
        <f t="shared" si="3"/>
        <v/>
      </c>
      <c r="W625" s="44" t="str">
        <f t="shared" si="35"/>
        <v/>
      </c>
      <c r="X625" s="44"/>
      <c r="Y625" s="45">
        <f>IFERROR(VLOOKUP(A625,'BuscarV Stock'!$A$1:$C$422,3,0),0)</f>
        <v>0</v>
      </c>
      <c r="Z625" s="46" t="s">
        <v>449</v>
      </c>
      <c r="AA625" s="131"/>
    </row>
    <row r="626">
      <c r="A626" s="125" t="s">
        <v>4741</v>
      </c>
      <c r="B626" s="21"/>
      <c r="C626" s="19" t="s">
        <v>3</v>
      </c>
      <c r="D626" s="50" t="s">
        <v>4742</v>
      </c>
      <c r="E626" s="50" t="s">
        <v>4449</v>
      </c>
      <c r="F626" s="50" t="s">
        <v>1795</v>
      </c>
      <c r="G626" s="50" t="s">
        <v>2316</v>
      </c>
      <c r="H626" s="31">
        <f t="shared" si="29"/>
        <v>12929.75207</v>
      </c>
      <c r="I626" s="21"/>
      <c r="J626" s="50">
        <v>15645.0</v>
      </c>
      <c r="K626" s="111">
        <v>0.4</v>
      </c>
      <c r="L626" s="33">
        <f>IF('Global Precios'!J626*(1-I626)*(1+'Global Precios'!K626)&gt;10000,MROUND('Global Precios'!J626*(1-I626)*(1+'Global Precios'!K626),1000),MROUND('Global Precios'!J626*(1-I626)*(1+'Global Precios'!K626),500))</f>
        <v>22000</v>
      </c>
      <c r="M626" s="50">
        <v>2.0</v>
      </c>
      <c r="N626" s="50" t="s">
        <v>1823</v>
      </c>
      <c r="O626" s="21"/>
      <c r="P626" s="130">
        <v>45748.0</v>
      </c>
      <c r="Q626" s="21">
        <f t="shared" si="30"/>
        <v>24</v>
      </c>
      <c r="R626" s="19">
        <v>30.0</v>
      </c>
      <c r="S626" s="21"/>
      <c r="T626" s="41" t="str">
        <f>IFERROR(VLOOKUP(A626,BUSCARV!$A$1:$C$500,3,0),"")</f>
        <v/>
      </c>
      <c r="U626" s="42"/>
      <c r="V626" s="42" t="str">
        <f t="shared" si="3"/>
        <v/>
      </c>
      <c r="W626" s="44" t="str">
        <f t="shared" si="35"/>
        <v/>
      </c>
      <c r="X626" s="44"/>
      <c r="Y626" s="45">
        <f>IFERROR(VLOOKUP(A626,'BuscarV Stock'!$A$1:$C$422,3,0),0)</f>
        <v>0</v>
      </c>
      <c r="Z626" s="46" t="s">
        <v>449</v>
      </c>
      <c r="AA626" s="131"/>
    </row>
    <row r="627">
      <c r="A627" s="125" t="s">
        <v>4743</v>
      </c>
      <c r="B627" s="21"/>
      <c r="C627" s="19" t="s">
        <v>3</v>
      </c>
      <c r="D627" s="50" t="s">
        <v>4744</v>
      </c>
      <c r="E627" s="21"/>
      <c r="F627" s="50" t="s">
        <v>1795</v>
      </c>
      <c r="G627" s="50" t="s">
        <v>2321</v>
      </c>
      <c r="H627" s="31">
        <f t="shared" si="29"/>
        <v>18284.29752</v>
      </c>
      <c r="I627" s="21"/>
      <c r="J627" s="50">
        <v>22124.0</v>
      </c>
      <c r="K627" s="111">
        <v>0.33</v>
      </c>
      <c r="L627" s="33">
        <f>IF('Global Precios'!J627*(1-I627)*(1+'Global Precios'!K627)&gt;10000,MROUND('Global Precios'!J627*(1-I627)*(1+'Global Precios'!K627),1000),MROUND('Global Precios'!J627*(1-I627)*(1+'Global Precios'!K627),500))</f>
        <v>29000</v>
      </c>
      <c r="M627" s="50">
        <v>3.0</v>
      </c>
      <c r="N627" s="50" t="s">
        <v>1823</v>
      </c>
      <c r="O627" s="21"/>
      <c r="P627" s="130">
        <v>45839.0</v>
      </c>
      <c r="Q627" s="21">
        <f t="shared" si="30"/>
        <v>28</v>
      </c>
      <c r="R627" s="19">
        <v>30.0</v>
      </c>
      <c r="S627" s="21"/>
      <c r="T627" s="41" t="str">
        <f>IFERROR(VLOOKUP(A627,BUSCARV!$A$1:$C$500,3,0),"")</f>
        <v/>
      </c>
      <c r="U627" s="42"/>
      <c r="V627" s="42" t="str">
        <f t="shared" si="3"/>
        <v/>
      </c>
      <c r="W627" s="44" t="str">
        <f t="shared" si="35"/>
        <v/>
      </c>
      <c r="X627" s="44"/>
      <c r="Y627" s="45">
        <f>IFERROR(VLOOKUP(A627,'BuscarV Stock'!$A$1:$C$422,3,0),0)</f>
        <v>0</v>
      </c>
      <c r="Z627" s="46" t="s">
        <v>449</v>
      </c>
      <c r="AA627" s="131"/>
    </row>
    <row r="628">
      <c r="A628" s="125" t="s">
        <v>4745</v>
      </c>
      <c r="B628" s="21"/>
      <c r="C628" s="19" t="s">
        <v>3</v>
      </c>
      <c r="D628" s="19" t="s">
        <v>3354</v>
      </c>
      <c r="E628" s="21"/>
      <c r="F628" s="50" t="s">
        <v>2308</v>
      </c>
      <c r="G628" s="50" t="s">
        <v>2346</v>
      </c>
      <c r="H628" s="31">
        <f t="shared" si="29"/>
        <v>2950.413223</v>
      </c>
      <c r="I628" s="21"/>
      <c r="J628" s="50">
        <v>3570.0</v>
      </c>
      <c r="K628" s="111">
        <v>1.0</v>
      </c>
      <c r="L628" s="33">
        <f>IF('Global Precios'!J628*(1-I628)*(1+'Global Precios'!K628)&gt;10000,MROUND('Global Precios'!J628*(1-I628)*(1+'Global Precios'!K628),1000),MROUND('Global Precios'!J628*(1-I628)*(1+'Global Precios'!K628),500))</f>
        <v>7000</v>
      </c>
      <c r="M628" s="50">
        <v>20.0</v>
      </c>
      <c r="N628" s="50" t="s">
        <v>2496</v>
      </c>
      <c r="O628" s="21"/>
      <c r="P628" s="130">
        <v>45839.0</v>
      </c>
      <c r="Q628" s="21">
        <f t="shared" si="30"/>
        <v>24</v>
      </c>
      <c r="R628" s="19">
        <v>30.0</v>
      </c>
      <c r="S628" s="21"/>
      <c r="T628" s="41" t="str">
        <f>IFERROR(VLOOKUP(A628,BUSCARV!$A$1:$C$500,3,0),"")</f>
        <v/>
      </c>
      <c r="U628" s="42"/>
      <c r="V628" s="42" t="str">
        <f t="shared" si="3"/>
        <v/>
      </c>
      <c r="W628" s="44" t="str">
        <f t="shared" si="35"/>
        <v/>
      </c>
      <c r="X628" s="44"/>
      <c r="Y628" s="45">
        <f>IFERROR(VLOOKUP(A628,'BuscarV Stock'!$A$1:$C$422,3,0),0)</f>
        <v>0</v>
      </c>
      <c r="Z628" s="46" t="s">
        <v>449</v>
      </c>
      <c r="AA628" s="131"/>
    </row>
    <row r="629">
      <c r="A629" s="125" t="s">
        <v>4746</v>
      </c>
      <c r="B629" s="21"/>
      <c r="C629" s="19" t="s">
        <v>3</v>
      </c>
      <c r="D629" s="50" t="s">
        <v>4747</v>
      </c>
      <c r="E629" s="21"/>
      <c r="F629" s="50" t="s">
        <v>2308</v>
      </c>
      <c r="G629" s="50" t="s">
        <v>2350</v>
      </c>
      <c r="H629" s="31">
        <f t="shared" si="29"/>
        <v>12396.69421</v>
      </c>
      <c r="I629" s="21"/>
      <c r="J629" s="50">
        <v>15000.0</v>
      </c>
      <c r="K629" s="111">
        <v>0.5</v>
      </c>
      <c r="L629" s="33">
        <f>IF('Global Precios'!J629*(1-I629)*(1+'Global Precios'!K629)&gt;10000,MROUND('Global Precios'!J629*(1-I629)*(1+'Global Precios'!K629),1000),MROUND('Global Precios'!J629*(1-I629)*(1+'Global Precios'!K629),500))</f>
        <v>23000</v>
      </c>
      <c r="M629" s="50">
        <v>1.0</v>
      </c>
      <c r="N629" s="50" t="s">
        <v>4383</v>
      </c>
      <c r="O629" s="21"/>
      <c r="P629" s="130">
        <v>45901.0</v>
      </c>
      <c r="Q629" s="21">
        <f t="shared" si="30"/>
        <v>21</v>
      </c>
      <c r="R629" s="19">
        <v>30.0</v>
      </c>
      <c r="S629" s="21"/>
      <c r="T629" s="41" t="str">
        <f>IFERROR(VLOOKUP(A629,BUSCARV!$A$1:$C$500,3,0),"")</f>
        <v/>
      </c>
      <c r="U629" s="42"/>
      <c r="V629" s="42" t="str">
        <f t="shared" si="3"/>
        <v/>
      </c>
      <c r="W629" s="44" t="str">
        <f t="shared" si="35"/>
        <v/>
      </c>
      <c r="X629" s="44"/>
      <c r="Y629" s="45">
        <f>IFERROR(VLOOKUP(A629,'BuscarV Stock'!$A$1:$C$422,3,0),0)</f>
        <v>0</v>
      </c>
      <c r="Z629" s="46" t="s">
        <v>449</v>
      </c>
      <c r="AA629" s="131"/>
    </row>
    <row r="630">
      <c r="A630" s="125" t="s">
        <v>4748</v>
      </c>
      <c r="B630" s="21"/>
      <c r="C630" s="19" t="s">
        <v>3</v>
      </c>
      <c r="D630" s="50" t="s">
        <v>4749</v>
      </c>
      <c r="E630" s="21"/>
      <c r="F630" s="50" t="s">
        <v>2308</v>
      </c>
      <c r="G630" s="50" t="s">
        <v>2350</v>
      </c>
      <c r="H630" s="31">
        <f t="shared" si="29"/>
        <v>22414.87603</v>
      </c>
      <c r="I630" s="21"/>
      <c r="J630" s="50">
        <v>27122.0</v>
      </c>
      <c r="K630" s="111">
        <v>0.5</v>
      </c>
      <c r="L630" s="33">
        <f>IF('Global Precios'!J630*(1-I630)*(1+'Global Precios'!K630)&gt;10000,MROUND('Global Precios'!J630*(1-I630)*(1+'Global Precios'!K630),1000),MROUND('Global Precios'!J630*(1-I630)*(1+'Global Precios'!K630),500))</f>
        <v>41000</v>
      </c>
      <c r="M630" s="50">
        <v>1.0</v>
      </c>
      <c r="N630" s="50" t="s">
        <v>4383</v>
      </c>
      <c r="O630" s="21"/>
      <c r="P630" s="130">
        <v>45839.0</v>
      </c>
      <c r="Q630" s="21">
        <f t="shared" si="30"/>
        <v>21</v>
      </c>
      <c r="R630" s="19">
        <v>30.0</v>
      </c>
      <c r="S630" s="21"/>
      <c r="T630" s="41" t="str">
        <f>IFERROR(VLOOKUP(A630,BUSCARV!$A$1:$C$500,3,0),"")</f>
        <v/>
      </c>
      <c r="U630" s="42"/>
      <c r="V630" s="42" t="str">
        <f t="shared" si="3"/>
        <v/>
      </c>
      <c r="W630" s="44" t="str">
        <f t="shared" si="35"/>
        <v/>
      </c>
      <c r="X630" s="44"/>
      <c r="Y630" s="45">
        <f>IFERROR(VLOOKUP(A630,'BuscarV Stock'!$A$1:$C$422,3,0),0)</f>
        <v>0</v>
      </c>
      <c r="Z630" s="46" t="s">
        <v>449</v>
      </c>
      <c r="AA630" s="131"/>
    </row>
    <row r="631">
      <c r="A631" s="125" t="s">
        <v>4750</v>
      </c>
      <c r="B631" s="21"/>
      <c r="C631" s="19" t="s">
        <v>3</v>
      </c>
      <c r="D631" s="50" t="s">
        <v>4751</v>
      </c>
      <c r="E631" s="21"/>
      <c r="F631" s="50" t="s">
        <v>2308</v>
      </c>
      <c r="G631" s="50" t="s">
        <v>2350</v>
      </c>
      <c r="H631" s="31">
        <f t="shared" si="29"/>
        <v>22760.33058</v>
      </c>
      <c r="I631" s="21"/>
      <c r="J631" s="50">
        <v>27540.0</v>
      </c>
      <c r="K631" s="111">
        <v>0.5</v>
      </c>
      <c r="L631" s="33">
        <f>IF('Global Precios'!J631*(1-I631)*(1+'Global Precios'!K631)&gt;10000,MROUND('Global Precios'!J631*(1-I631)*(1+'Global Precios'!K631),1000),MROUND('Global Precios'!J631*(1-I631)*(1+'Global Precios'!K631),500))</f>
        <v>41000</v>
      </c>
      <c r="M631" s="50">
        <v>1.0</v>
      </c>
      <c r="N631" s="50" t="s">
        <v>4383</v>
      </c>
      <c r="O631" s="21"/>
      <c r="P631" s="130">
        <v>45839.0</v>
      </c>
      <c r="Q631" s="21">
        <f t="shared" si="30"/>
        <v>21</v>
      </c>
      <c r="R631" s="19">
        <v>30.0</v>
      </c>
      <c r="S631" s="21"/>
      <c r="T631" s="41" t="str">
        <f>IFERROR(VLOOKUP(A631,BUSCARV!$A$1:$C$500,3,0),"")</f>
        <v/>
      </c>
      <c r="U631" s="42"/>
      <c r="V631" s="42" t="str">
        <f t="shared" si="3"/>
        <v/>
      </c>
      <c r="W631" s="44" t="str">
        <f t="shared" si="35"/>
        <v/>
      </c>
      <c r="X631" s="44"/>
      <c r="Y631" s="45">
        <f>IFERROR(VLOOKUP(A631,'BuscarV Stock'!$A$1:$C$422,3,0),0)</f>
        <v>0</v>
      </c>
      <c r="Z631" s="46" t="s">
        <v>449</v>
      </c>
      <c r="AA631" s="131"/>
    </row>
    <row r="632">
      <c r="A632" s="125" t="s">
        <v>4752</v>
      </c>
      <c r="B632" s="21"/>
      <c r="C632" s="19" t="s">
        <v>3</v>
      </c>
      <c r="D632" s="19" t="s">
        <v>4753</v>
      </c>
      <c r="E632" s="50" t="s">
        <v>2828</v>
      </c>
      <c r="F632" s="50" t="s">
        <v>1795</v>
      </c>
      <c r="G632" s="50" t="s">
        <v>2321</v>
      </c>
      <c r="H632" s="31">
        <f t="shared" si="29"/>
        <v>7768.595041</v>
      </c>
      <c r="I632" s="21"/>
      <c r="J632" s="50">
        <v>9400.0</v>
      </c>
      <c r="K632" s="111">
        <v>0.33</v>
      </c>
      <c r="L632" s="33">
        <f>IF('Global Precios'!J632*(1-I632)*(1+'Global Precios'!K632)&gt;10000,MROUND('Global Precios'!J632*(1-I632)*(1+'Global Precios'!K632),1000),MROUND('Global Precios'!J632*(1-I632)*(1+'Global Precios'!K632),500))</f>
        <v>13000</v>
      </c>
      <c r="M632" s="50">
        <v>1.0</v>
      </c>
      <c r="N632" s="50" t="s">
        <v>1823</v>
      </c>
      <c r="O632" s="21"/>
      <c r="P632" s="130">
        <v>46174.0</v>
      </c>
      <c r="Q632" s="21">
        <f t="shared" si="30"/>
        <v>32</v>
      </c>
      <c r="R632" s="19">
        <v>30.0</v>
      </c>
      <c r="S632" s="21"/>
      <c r="T632" s="41" t="str">
        <f>IFERROR(VLOOKUP(A632,BUSCARV!$A$1:$C$500,3,0),"")</f>
        <v/>
      </c>
      <c r="U632" s="42"/>
      <c r="V632" s="42" t="str">
        <f t="shared" si="3"/>
        <v/>
      </c>
      <c r="W632" s="44" t="str">
        <f t="shared" si="35"/>
        <v/>
      </c>
      <c r="X632" s="44"/>
      <c r="Y632" s="44">
        <f>IFERROR(VLOOKUP(A632,'BuscarV Stock'!$A$1:$C$422,3,0),0)</f>
        <v>0</v>
      </c>
      <c r="Z632" s="46" t="s">
        <v>1075</v>
      </c>
      <c r="AA632" s="131"/>
    </row>
    <row r="633">
      <c r="A633" s="125" t="s">
        <v>4754</v>
      </c>
      <c r="B633" s="21"/>
      <c r="C633" s="19" t="s">
        <v>3</v>
      </c>
      <c r="D633" s="19" t="s">
        <v>4755</v>
      </c>
      <c r="E633" s="50" t="s">
        <v>4756</v>
      </c>
      <c r="F633" s="50" t="s">
        <v>2308</v>
      </c>
      <c r="G633" s="50" t="s">
        <v>2344</v>
      </c>
      <c r="H633" s="31">
        <f t="shared" si="29"/>
        <v>3553.719008</v>
      </c>
      <c r="I633" s="21"/>
      <c r="J633" s="50">
        <v>4300.0</v>
      </c>
      <c r="K633" s="111">
        <v>0.8</v>
      </c>
      <c r="L633" s="33">
        <f>IF('Global Precios'!J633*(1-I633)*(1+'Global Precios'!K633)&gt;10000,MROUND('Global Precios'!J633*(1-I633)*(1+'Global Precios'!K633),1000),MROUND('Global Precios'!J633*(1-I633)*(1+'Global Precios'!K633),500))</f>
        <v>7500</v>
      </c>
      <c r="M633" s="50">
        <v>1.0</v>
      </c>
      <c r="N633" s="50" t="s">
        <v>46</v>
      </c>
      <c r="O633" s="21"/>
      <c r="P633" s="130">
        <v>45839.0</v>
      </c>
      <c r="Q633" s="21">
        <f t="shared" si="30"/>
        <v>31</v>
      </c>
      <c r="R633" s="19">
        <v>30.0</v>
      </c>
      <c r="S633" s="21"/>
      <c r="T633" s="41" t="str">
        <f>IFERROR(VLOOKUP(A633,BUSCARV!$A$1:$C$500,3,0),"")</f>
        <v/>
      </c>
      <c r="U633" s="42"/>
      <c r="V633" s="42" t="str">
        <f t="shared" si="3"/>
        <v/>
      </c>
      <c r="W633" s="44" t="str">
        <f t="shared" si="35"/>
        <v/>
      </c>
      <c r="X633" s="44"/>
      <c r="Y633" s="44">
        <f>IFERROR(VLOOKUP(A633,'BuscarV Stock'!$A$1:$C$422,3,0),0)</f>
        <v>0</v>
      </c>
      <c r="Z633" s="46" t="s">
        <v>449</v>
      </c>
      <c r="AA633" s="131"/>
    </row>
    <row r="634">
      <c r="A634" s="125" t="s">
        <v>4757</v>
      </c>
      <c r="B634" s="21"/>
      <c r="C634" s="19" t="s">
        <v>3</v>
      </c>
      <c r="D634" s="19" t="s">
        <v>4758</v>
      </c>
      <c r="E634" s="21"/>
      <c r="F634" s="50" t="s">
        <v>2308</v>
      </c>
      <c r="G634" s="50" t="s">
        <v>2321</v>
      </c>
      <c r="H634" s="31">
        <f t="shared" si="29"/>
        <v>1735.53719</v>
      </c>
      <c r="I634" s="21"/>
      <c r="J634" s="50">
        <v>2100.0</v>
      </c>
      <c r="K634" s="111">
        <v>1.0</v>
      </c>
      <c r="L634" s="33">
        <f>IF('Global Precios'!J634*(1-I634)*(1+'Global Precios'!K634)&gt;10000,MROUND('Global Precios'!J634*(1-I634)*(1+'Global Precios'!K634),1000),MROUND('Global Precios'!J634*(1-I634)*(1+'Global Precios'!K634),500))</f>
        <v>4000</v>
      </c>
      <c r="M634" s="50">
        <v>10.0</v>
      </c>
      <c r="N634" s="50" t="s">
        <v>4383</v>
      </c>
      <c r="O634" s="21"/>
      <c r="P634" s="130">
        <v>45689.0</v>
      </c>
      <c r="Q634" s="21">
        <f t="shared" si="30"/>
        <v>23</v>
      </c>
      <c r="R634" s="19">
        <v>30.0</v>
      </c>
      <c r="S634" s="21"/>
      <c r="T634" s="41" t="str">
        <f>IFERROR(VLOOKUP(A634,BUSCARV!$A$1:$C$500,3,0),"")</f>
        <v/>
      </c>
      <c r="U634" s="42"/>
      <c r="V634" s="42" t="str">
        <f t="shared" si="3"/>
        <v/>
      </c>
      <c r="W634" s="44" t="str">
        <f t="shared" si="35"/>
        <v/>
      </c>
      <c r="X634" s="44"/>
      <c r="Y634" s="44">
        <f>IFERROR(VLOOKUP(A634,'BuscarV Stock'!$A$1:$C$422,3,0),0)</f>
        <v>0</v>
      </c>
      <c r="Z634" s="46" t="s">
        <v>1075</v>
      </c>
      <c r="AA634" s="131"/>
    </row>
    <row r="635">
      <c r="A635" s="125" t="s">
        <v>4759</v>
      </c>
      <c r="B635" s="21"/>
      <c r="C635" s="19" t="s">
        <v>3</v>
      </c>
      <c r="D635" s="19" t="s">
        <v>4760</v>
      </c>
      <c r="E635" s="50" t="s">
        <v>4761</v>
      </c>
      <c r="F635" s="50" t="s">
        <v>2308</v>
      </c>
      <c r="G635" s="50" t="s">
        <v>2321</v>
      </c>
      <c r="H635" s="31">
        <f t="shared" si="29"/>
        <v>2107.438017</v>
      </c>
      <c r="I635" s="21"/>
      <c r="J635" s="50">
        <v>2550.0</v>
      </c>
      <c r="K635" s="111">
        <v>1.0</v>
      </c>
      <c r="L635" s="33">
        <f>IF('Global Precios'!J635*(1-I635)*(1+'Global Precios'!K635)&gt;1000,MROUND('Global Precios'!J635*(1-I635)*(1+'Global Precios'!K635),100),MROUND('Global Precios'!J635*(1-I635)*(1+'Global Precios'!K635),10))</f>
        <v>5100</v>
      </c>
      <c r="M635" s="50">
        <v>6.0</v>
      </c>
      <c r="N635" s="50" t="s">
        <v>4383</v>
      </c>
      <c r="O635" s="21"/>
      <c r="P635" s="132">
        <v>45839.0</v>
      </c>
      <c r="Q635" s="21">
        <f t="shared" si="30"/>
        <v>40</v>
      </c>
      <c r="R635" s="19">
        <v>30.0</v>
      </c>
      <c r="S635" s="21"/>
      <c r="T635" s="41" t="str">
        <f>IFERROR(VLOOKUP(A635,BUSCARV!$A$1:$C$500,3,0),"")</f>
        <v/>
      </c>
      <c r="U635" s="42"/>
      <c r="V635" s="42" t="str">
        <f t="shared" si="3"/>
        <v/>
      </c>
      <c r="W635" s="44" t="str">
        <f t="shared" si="35"/>
        <v/>
      </c>
      <c r="X635" s="44"/>
      <c r="Y635" s="44">
        <f>IFERROR(VLOOKUP(A635,'BuscarV Stock'!$A$1:$C$422,3,0),0)</f>
        <v>0</v>
      </c>
      <c r="Z635" s="46" t="s">
        <v>449</v>
      </c>
      <c r="AA635" s="131"/>
    </row>
    <row r="636">
      <c r="A636" s="125" t="s">
        <v>4762</v>
      </c>
      <c r="B636" s="21"/>
      <c r="C636" s="19" t="s">
        <v>3</v>
      </c>
      <c r="D636" s="50" t="s">
        <v>4763</v>
      </c>
      <c r="E636" s="50" t="s">
        <v>4501</v>
      </c>
      <c r="F636" s="50" t="s">
        <v>2308</v>
      </c>
      <c r="G636" s="50" t="s">
        <v>2316</v>
      </c>
      <c r="H636" s="31">
        <f t="shared" si="29"/>
        <v>3600</v>
      </c>
      <c r="I636" s="21"/>
      <c r="J636" s="50">
        <v>4356.0</v>
      </c>
      <c r="K636" s="111">
        <v>0.8</v>
      </c>
      <c r="L636" s="33">
        <f>IF('Global Precios'!J636*(1-I636)*(1+'Global Precios'!K636)&gt;1000,MROUND('Global Precios'!J636*(1-I636)*(1+'Global Precios'!K636),100),MROUND('Global Precios'!J636*(1-I636)*(1+'Global Precios'!K636),10))</f>
        <v>7800</v>
      </c>
      <c r="M636" s="50">
        <v>10.0</v>
      </c>
      <c r="N636" s="50" t="s">
        <v>4383</v>
      </c>
      <c r="O636" s="21"/>
      <c r="P636" s="132">
        <v>45901.0</v>
      </c>
      <c r="Q636" s="21">
        <f t="shared" si="30"/>
        <v>22</v>
      </c>
      <c r="R636" s="19">
        <v>30.0</v>
      </c>
      <c r="S636" s="21"/>
      <c r="T636" s="41" t="str">
        <f>IFERROR(VLOOKUP(A636,BUSCARV!$A$1:$C$500,3,0),"")</f>
        <v/>
      </c>
      <c r="U636" s="42"/>
      <c r="V636" s="42" t="str">
        <f t="shared" si="3"/>
        <v/>
      </c>
      <c r="W636" s="44" t="str">
        <f t="shared" si="35"/>
        <v/>
      </c>
      <c r="X636" s="44"/>
      <c r="Y636" s="44">
        <f>IFERROR(VLOOKUP(A636,'BuscarV Stock'!$A$1:$C$422,3,0),0)</f>
        <v>0</v>
      </c>
      <c r="Z636" s="46" t="s">
        <v>449</v>
      </c>
      <c r="AA636" s="131"/>
    </row>
    <row r="637">
      <c r="A637" s="125" t="s">
        <v>4764</v>
      </c>
      <c r="B637" s="21"/>
      <c r="C637" s="19" t="s">
        <v>3</v>
      </c>
      <c r="D637" s="19" t="s">
        <v>4765</v>
      </c>
      <c r="E637" s="50" t="s">
        <v>4454</v>
      </c>
      <c r="F637" s="50" t="s">
        <v>2308</v>
      </c>
      <c r="G637" s="50" t="s">
        <v>2350</v>
      </c>
      <c r="H637" s="31">
        <f t="shared" si="29"/>
        <v>16590.08264</v>
      </c>
      <c r="I637" s="21"/>
      <c r="J637" s="50">
        <v>20074.0</v>
      </c>
      <c r="K637" s="111">
        <v>0.8</v>
      </c>
      <c r="L637" s="33">
        <f>IF('Global Precios'!J637*(1-I637)*(1+'Global Precios'!K637)&gt;1000,MROUND('Global Precios'!J637*(1-I637)*(1+'Global Precios'!K637),100),MROUND('Global Precios'!J637*(1-I637)*(1+'Global Precios'!K637),10))</f>
        <v>36100</v>
      </c>
      <c r="M637" s="50">
        <v>1.0</v>
      </c>
      <c r="N637" s="50" t="s">
        <v>4383</v>
      </c>
      <c r="O637" s="21"/>
      <c r="P637" s="132">
        <v>45839.0</v>
      </c>
      <c r="Q637" s="21">
        <f t="shared" si="30"/>
        <v>20</v>
      </c>
      <c r="R637" s="19">
        <v>30.0</v>
      </c>
      <c r="S637" s="21"/>
      <c r="T637" s="41" t="str">
        <f>IFERROR(VLOOKUP(A637,BUSCARV!$A$1:$C$500,3,0),"")</f>
        <v/>
      </c>
      <c r="U637" s="42"/>
      <c r="V637" s="42" t="str">
        <f t="shared" si="3"/>
        <v/>
      </c>
      <c r="W637" s="44" t="str">
        <f t="shared" si="35"/>
        <v/>
      </c>
      <c r="X637" s="44"/>
      <c r="Y637" s="44">
        <f>IFERROR(VLOOKUP(A637,'BuscarV Stock'!$A$1:$C$422,3,0),0)</f>
        <v>0</v>
      </c>
      <c r="Z637" s="46" t="s">
        <v>449</v>
      </c>
      <c r="AA637" s="131"/>
    </row>
    <row r="638">
      <c r="A638" s="125" t="s">
        <v>4766</v>
      </c>
      <c r="B638" s="21"/>
      <c r="C638" s="19" t="s">
        <v>3</v>
      </c>
      <c r="D638" s="19" t="s">
        <v>4767</v>
      </c>
      <c r="E638" s="50" t="s">
        <v>4454</v>
      </c>
      <c r="F638" s="50" t="s">
        <v>2308</v>
      </c>
      <c r="G638" s="50" t="s">
        <v>2350</v>
      </c>
      <c r="H638" s="31">
        <f t="shared" si="29"/>
        <v>20231.40496</v>
      </c>
      <c r="I638" s="21"/>
      <c r="J638" s="50">
        <v>24480.0</v>
      </c>
      <c r="K638" s="111">
        <v>0.8</v>
      </c>
      <c r="L638" s="33">
        <f>IF('Global Precios'!J638*(1-I638)*(1+'Global Precios'!K638)&gt;1000,MROUND('Global Precios'!J638*(1-I638)*(1+'Global Precios'!K638),100),MROUND('Global Precios'!J638*(1-I638)*(1+'Global Precios'!K638),10))</f>
        <v>44100</v>
      </c>
      <c r="M638" s="50">
        <v>1.0</v>
      </c>
      <c r="N638" s="50" t="s">
        <v>4383</v>
      </c>
      <c r="O638" s="21"/>
      <c r="P638" s="132">
        <v>45839.0</v>
      </c>
      <c r="Q638" s="21">
        <f t="shared" si="30"/>
        <v>20</v>
      </c>
      <c r="R638" s="19">
        <v>30.0</v>
      </c>
      <c r="S638" s="21"/>
      <c r="T638" s="41" t="str">
        <f>IFERROR(VLOOKUP(A638,BUSCARV!$A$1:$C$500,3,0),"")</f>
        <v/>
      </c>
      <c r="U638" s="42"/>
      <c r="V638" s="42" t="str">
        <f t="shared" si="3"/>
        <v/>
      </c>
      <c r="W638" s="44" t="str">
        <f t="shared" si="35"/>
        <v/>
      </c>
      <c r="X638" s="44"/>
      <c r="Y638" s="44">
        <f>IFERROR(VLOOKUP(A638,'BuscarV Stock'!$A$1:$C$422,3,0),0)</f>
        <v>0</v>
      </c>
      <c r="Z638" s="46" t="s">
        <v>449</v>
      </c>
      <c r="AA638" s="131"/>
    </row>
    <row r="639">
      <c r="A639" s="125" t="s">
        <v>4768</v>
      </c>
      <c r="B639" s="21"/>
      <c r="C639" s="19" t="s">
        <v>3</v>
      </c>
      <c r="D639" s="19" t="s">
        <v>4769</v>
      </c>
      <c r="E639" s="50" t="s">
        <v>4454</v>
      </c>
      <c r="F639" s="50" t="s">
        <v>2308</v>
      </c>
      <c r="G639" s="50" t="s">
        <v>2350</v>
      </c>
      <c r="H639" s="31">
        <f t="shared" si="29"/>
        <v>26300.82645</v>
      </c>
      <c r="I639" s="21"/>
      <c r="J639" s="50">
        <v>31824.0</v>
      </c>
      <c r="K639" s="111">
        <v>0.8</v>
      </c>
      <c r="L639" s="33">
        <f>IF('Global Precios'!J639*(1-I639)*(1+'Global Precios'!K639)&gt;1000,MROUND('Global Precios'!J639*(1-I639)*(1+'Global Precios'!K639),100),MROUND('Global Precios'!J639*(1-I639)*(1+'Global Precios'!K639),10))</f>
        <v>57300</v>
      </c>
      <c r="M639" s="50">
        <v>1.0</v>
      </c>
      <c r="N639" s="50" t="s">
        <v>4383</v>
      </c>
      <c r="O639" s="21"/>
      <c r="P639" s="132">
        <v>45839.0</v>
      </c>
      <c r="Q639" s="21">
        <f t="shared" si="30"/>
        <v>20</v>
      </c>
      <c r="R639" s="19">
        <v>30.0</v>
      </c>
      <c r="S639" s="21"/>
      <c r="T639" s="41" t="str">
        <f>IFERROR(VLOOKUP(A639,BUSCARV!$A$1:$C$500,3,0),"")</f>
        <v/>
      </c>
      <c r="U639" s="42"/>
      <c r="V639" s="42" t="str">
        <f t="shared" si="3"/>
        <v/>
      </c>
      <c r="W639" s="44" t="str">
        <f t="shared" si="35"/>
        <v/>
      </c>
      <c r="X639" s="44"/>
      <c r="Y639" s="44">
        <f>IFERROR(VLOOKUP(A639,'BuscarV Stock'!$A$1:$C$422,3,0),0)</f>
        <v>0</v>
      </c>
      <c r="Z639" s="46" t="s">
        <v>449</v>
      </c>
      <c r="AA639" s="131"/>
    </row>
    <row r="640">
      <c r="A640" s="125" t="s">
        <v>4770</v>
      </c>
      <c r="B640" s="21"/>
      <c r="C640" s="19" t="s">
        <v>3</v>
      </c>
      <c r="D640" s="19" t="s">
        <v>4771</v>
      </c>
      <c r="E640" s="50" t="s">
        <v>4772</v>
      </c>
      <c r="F640" s="50" t="s">
        <v>2308</v>
      </c>
      <c r="G640" s="50" t="s">
        <v>2350</v>
      </c>
      <c r="H640" s="31">
        <f t="shared" si="29"/>
        <v>11464.46281</v>
      </c>
      <c r="I640" s="21"/>
      <c r="J640" s="50">
        <v>13872.0</v>
      </c>
      <c r="K640" s="111">
        <v>0.8</v>
      </c>
      <c r="L640" s="33">
        <f>IF('Global Precios'!J640*(1-I640)*(1+'Global Precios'!K640)&gt;1000,MROUND('Global Precios'!J640*(1-I640)*(1+'Global Precios'!K640),100),MROUND('Global Precios'!J640*(1-I640)*(1+'Global Precios'!K640),10))</f>
        <v>25000</v>
      </c>
      <c r="M640" s="50">
        <v>1.0</v>
      </c>
      <c r="N640" s="50" t="s">
        <v>4383</v>
      </c>
      <c r="O640" s="21"/>
      <c r="P640" s="132">
        <v>45839.0</v>
      </c>
      <c r="Q640" s="21">
        <f t="shared" si="30"/>
        <v>25</v>
      </c>
      <c r="R640" s="19">
        <v>30.0</v>
      </c>
      <c r="S640" s="21"/>
      <c r="T640" s="41" t="str">
        <f>IFERROR(VLOOKUP(A640,BUSCARV!$A$1:$C$500,3,0),"")</f>
        <v/>
      </c>
      <c r="U640" s="42"/>
      <c r="V640" s="42" t="str">
        <f t="shared" si="3"/>
        <v/>
      </c>
      <c r="W640" s="44" t="str">
        <f t="shared" si="35"/>
        <v/>
      </c>
      <c r="X640" s="44"/>
      <c r="Y640" s="44">
        <f>IFERROR(VLOOKUP(A640,'BuscarV Stock'!$A$1:$C$422,3,0),0)</f>
        <v>0</v>
      </c>
      <c r="Z640" s="46" t="s">
        <v>449</v>
      </c>
      <c r="AA640" s="131"/>
    </row>
    <row r="641">
      <c r="A641" s="125" t="s">
        <v>4773</v>
      </c>
      <c r="B641" s="21"/>
      <c r="C641" s="19" t="s">
        <v>3</v>
      </c>
      <c r="D641" s="19" t="s">
        <v>4774</v>
      </c>
      <c r="E641" s="50" t="s">
        <v>4772</v>
      </c>
      <c r="F641" s="50" t="s">
        <v>2308</v>
      </c>
      <c r="G641" s="50" t="s">
        <v>2350</v>
      </c>
      <c r="H641" s="31">
        <f t="shared" si="29"/>
        <v>15426.44628</v>
      </c>
      <c r="I641" s="21"/>
      <c r="J641" s="50">
        <v>18666.0</v>
      </c>
      <c r="K641" s="111">
        <v>0.8</v>
      </c>
      <c r="L641" s="123">
        <f>IF('Global Precios'!J641*(1-I641)*(1+'Global Precios'!K641)&gt;1000,MROUND('Global Precios'!J641*(1-I641)*(1+'Global Precios'!K641),100),MROUND('Global Precios'!J641*(1-I641)*(1+'Global Precios'!K641),10))</f>
        <v>33600</v>
      </c>
      <c r="M641" s="50">
        <v>1.0</v>
      </c>
      <c r="N641" s="50" t="s">
        <v>4383</v>
      </c>
      <c r="O641" s="21"/>
      <c r="P641" s="132">
        <v>45839.0</v>
      </c>
      <c r="Q641" s="21">
        <f t="shared" si="30"/>
        <v>26</v>
      </c>
      <c r="R641" s="19">
        <v>30.0</v>
      </c>
      <c r="S641" s="21"/>
      <c r="T641" s="41" t="str">
        <f>IFERROR(VLOOKUP(A641,BUSCARV!$A$1:$C$500,3,0),"")</f>
        <v/>
      </c>
      <c r="U641" s="42"/>
      <c r="V641" s="42" t="str">
        <f t="shared" si="3"/>
        <v/>
      </c>
      <c r="W641" s="44" t="str">
        <f t="shared" si="35"/>
        <v/>
      </c>
      <c r="X641" s="44"/>
      <c r="Y641" s="44">
        <f>IFERROR(VLOOKUP(A641,'BuscarV Stock'!$A$1:$C$422,3,0),0)</f>
        <v>0</v>
      </c>
      <c r="Z641" s="46" t="s">
        <v>449</v>
      </c>
      <c r="AA641" s="131"/>
    </row>
    <row r="642">
      <c r="A642" s="125" t="s">
        <v>4775</v>
      </c>
      <c r="B642" s="21"/>
      <c r="C642" s="19" t="s">
        <v>3</v>
      </c>
      <c r="D642" s="19" t="s">
        <v>4776</v>
      </c>
      <c r="E642" s="50" t="s">
        <v>4772</v>
      </c>
      <c r="F642" s="50" t="s">
        <v>2308</v>
      </c>
      <c r="G642" s="50" t="s">
        <v>2350</v>
      </c>
      <c r="H642" s="31">
        <f t="shared" si="29"/>
        <v>18292.56198</v>
      </c>
      <c r="I642" s="21"/>
      <c r="J642" s="50">
        <v>22134.0</v>
      </c>
      <c r="K642" s="111">
        <v>0.8</v>
      </c>
      <c r="L642" s="123">
        <f>IF('Global Precios'!J642*(1-I642)*(1+'Global Precios'!K642)&gt;1000,MROUND('Global Precios'!J642*(1-I642)*(1+'Global Precios'!K642),100),MROUND('Global Precios'!J642*(1-I642)*(1+'Global Precios'!K642),10))</f>
        <v>39800</v>
      </c>
      <c r="M642" s="50">
        <v>1.0</v>
      </c>
      <c r="N642" s="50" t="s">
        <v>4383</v>
      </c>
      <c r="O642" s="21"/>
      <c r="P642" s="132">
        <v>45839.0</v>
      </c>
      <c r="Q642" s="21">
        <f t="shared" si="30"/>
        <v>26</v>
      </c>
      <c r="R642" s="19">
        <v>30.0</v>
      </c>
      <c r="S642" s="21"/>
      <c r="T642" s="41" t="str">
        <f>IFERROR(VLOOKUP(A642,BUSCARV!$A$1:$C$500,3,0),"")</f>
        <v/>
      </c>
      <c r="U642" s="42"/>
      <c r="V642" s="42" t="str">
        <f t="shared" si="3"/>
        <v/>
      </c>
      <c r="W642" s="44" t="str">
        <f t="shared" si="35"/>
        <v/>
      </c>
      <c r="X642" s="44"/>
      <c r="Y642" s="44">
        <f>IFERROR(VLOOKUP(A642,'BuscarV Stock'!$A$1:$C$422,3,0),0)</f>
        <v>0</v>
      </c>
      <c r="Z642" s="46" t="s">
        <v>449</v>
      </c>
      <c r="AA642" s="131"/>
    </row>
    <row r="643">
      <c r="A643" s="125" t="s">
        <v>4777</v>
      </c>
      <c r="B643" s="21"/>
      <c r="C643" s="19" t="s">
        <v>3</v>
      </c>
      <c r="D643" s="19" t="s">
        <v>4778</v>
      </c>
      <c r="E643" s="50" t="s">
        <v>4772</v>
      </c>
      <c r="F643" s="50" t="s">
        <v>2308</v>
      </c>
      <c r="G643" s="50" t="s">
        <v>2350</v>
      </c>
      <c r="H643" s="31">
        <f t="shared" si="29"/>
        <v>22844.6281</v>
      </c>
      <c r="I643" s="21"/>
      <c r="J643" s="50">
        <v>27642.0</v>
      </c>
      <c r="K643" s="111">
        <v>0.8</v>
      </c>
      <c r="L643" s="123">
        <f>IF('Global Precios'!J643*(1-I643)*(1+'Global Precios'!K643)&gt;1000,MROUND('Global Precios'!J643*(1-I643)*(1+'Global Precios'!K643),100),MROUND('Global Precios'!J643*(1-I643)*(1+'Global Precios'!K643),10))</f>
        <v>49800</v>
      </c>
      <c r="M643" s="50">
        <v>1.0</v>
      </c>
      <c r="N643" s="50" t="s">
        <v>4383</v>
      </c>
      <c r="O643" s="21"/>
      <c r="P643" s="132">
        <v>45839.0</v>
      </c>
      <c r="Q643" s="21">
        <f t="shared" si="30"/>
        <v>26</v>
      </c>
      <c r="R643" s="19">
        <v>30.0</v>
      </c>
      <c r="S643" s="21"/>
      <c r="T643" s="41" t="str">
        <f>IFERROR(VLOOKUP(A643,BUSCARV!$A$1:$C$500,3,0),"")</f>
        <v/>
      </c>
      <c r="U643" s="42"/>
      <c r="V643" s="42" t="str">
        <f t="shared" si="3"/>
        <v/>
      </c>
      <c r="W643" s="44" t="str">
        <f t="shared" si="35"/>
        <v/>
      </c>
      <c r="X643" s="44"/>
      <c r="Y643" s="44">
        <f>IFERROR(VLOOKUP(A643,'BuscarV Stock'!$A$1:$C$422,3,0),0)</f>
        <v>0</v>
      </c>
      <c r="Z643" s="46" t="s">
        <v>449</v>
      </c>
      <c r="AA643" s="131"/>
    </row>
    <row r="644">
      <c r="A644" s="125" t="s">
        <v>4779</v>
      </c>
      <c r="B644" s="21"/>
      <c r="C644" s="19" t="s">
        <v>3</v>
      </c>
      <c r="D644" s="50" t="s">
        <v>4780</v>
      </c>
      <c r="E644" s="50" t="s">
        <v>4772</v>
      </c>
      <c r="F644" s="50" t="s">
        <v>2308</v>
      </c>
      <c r="G644" s="50" t="s">
        <v>2350</v>
      </c>
      <c r="H644" s="31">
        <f t="shared" si="29"/>
        <v>3540.495868</v>
      </c>
      <c r="I644" s="21"/>
      <c r="J644" s="50">
        <v>4284.0</v>
      </c>
      <c r="K644" s="111">
        <v>0.8</v>
      </c>
      <c r="L644" s="123">
        <f>IF('Global Precios'!J644*(1-I644)*(1+'Global Precios'!K644)&gt;1000,MROUND('Global Precios'!J644*(1-I644)*(1+'Global Precios'!K644),100),MROUND('Global Precios'!J644*(1-I644)*(1+'Global Precios'!K644),10))</f>
        <v>7700</v>
      </c>
      <c r="M644" s="50">
        <v>1.0</v>
      </c>
      <c r="N644" s="50" t="s">
        <v>4383</v>
      </c>
      <c r="O644" s="21"/>
      <c r="P644" s="132">
        <v>45839.0</v>
      </c>
      <c r="Q644" s="21">
        <f t="shared" si="30"/>
        <v>49</v>
      </c>
      <c r="R644" s="19">
        <v>30.0</v>
      </c>
      <c r="S644" s="21"/>
      <c r="T644" s="41" t="str">
        <f>IFERROR(VLOOKUP(A644,BUSCARV!$A$1:$C$500,3,0),"")</f>
        <v/>
      </c>
      <c r="U644" s="42"/>
      <c r="V644" s="42" t="str">
        <f t="shared" si="3"/>
        <v/>
      </c>
      <c r="W644" s="44" t="str">
        <f t="shared" si="35"/>
        <v/>
      </c>
      <c r="X644" s="44"/>
      <c r="Y644" s="44">
        <f>IFERROR(VLOOKUP(A644,'BuscarV Stock'!$A$1:$C$422,3,0),0)</f>
        <v>0</v>
      </c>
      <c r="Z644" s="46" t="s">
        <v>449</v>
      </c>
      <c r="AA644" s="131"/>
    </row>
    <row r="645">
      <c r="A645" s="125" t="s">
        <v>4781</v>
      </c>
      <c r="B645" s="21"/>
      <c r="C645" s="19" t="s">
        <v>3</v>
      </c>
      <c r="D645" s="50" t="s">
        <v>4782</v>
      </c>
      <c r="E645" s="50" t="s">
        <v>4772</v>
      </c>
      <c r="F645" s="50" t="s">
        <v>2308</v>
      </c>
      <c r="G645" s="50" t="s">
        <v>2350</v>
      </c>
      <c r="H645" s="31">
        <f t="shared" si="29"/>
        <v>3961.983471</v>
      </c>
      <c r="I645" s="21"/>
      <c r="J645" s="50">
        <v>4794.0</v>
      </c>
      <c r="K645" s="111">
        <v>0.8</v>
      </c>
      <c r="L645" s="123">
        <f>IF('Global Precios'!J645*(1-I645)*(1+'Global Precios'!K645)&gt;1000,MROUND('Global Precios'!J645*(1-I645)*(1+'Global Precios'!K645),100),MROUND('Global Precios'!J645*(1-I645)*(1+'Global Precios'!K645),10))</f>
        <v>8600</v>
      </c>
      <c r="M645" s="50">
        <v>1.0</v>
      </c>
      <c r="N645" s="50" t="s">
        <v>4383</v>
      </c>
      <c r="O645" s="21"/>
      <c r="P645" s="132">
        <v>45839.0</v>
      </c>
      <c r="Q645" s="21">
        <f t="shared" si="30"/>
        <v>42</v>
      </c>
      <c r="R645" s="19">
        <v>30.0</v>
      </c>
      <c r="S645" s="21"/>
      <c r="T645" s="41" t="str">
        <f>IFERROR(VLOOKUP(A645,BUSCARV!$A$1:$C$500,3,0),"")</f>
        <v/>
      </c>
      <c r="U645" s="42"/>
      <c r="V645" s="42" t="str">
        <f t="shared" si="3"/>
        <v/>
      </c>
      <c r="W645" s="44" t="str">
        <f t="shared" si="35"/>
        <v/>
      </c>
      <c r="X645" s="44"/>
      <c r="Y645" s="44">
        <f>IFERROR(VLOOKUP(A645,'BuscarV Stock'!$A$1:$C$422,3,0),0)</f>
        <v>0</v>
      </c>
      <c r="Z645" s="46" t="s">
        <v>449</v>
      </c>
      <c r="AA645" s="131"/>
    </row>
    <row r="646">
      <c r="A646" s="125" t="s">
        <v>4783</v>
      </c>
      <c r="B646" s="21"/>
      <c r="C646" s="19" t="s">
        <v>3</v>
      </c>
      <c r="D646" s="19" t="s">
        <v>4784</v>
      </c>
      <c r="E646" s="21"/>
      <c r="F646" s="50" t="s">
        <v>2308</v>
      </c>
      <c r="G646" s="50" t="s">
        <v>2339</v>
      </c>
      <c r="H646" s="31">
        <f t="shared" si="29"/>
        <v>2528.92562</v>
      </c>
      <c r="I646" s="21"/>
      <c r="J646" s="50">
        <v>3060.0</v>
      </c>
      <c r="K646" s="111">
        <v>1.0</v>
      </c>
      <c r="L646" s="123">
        <f>IF('Global Precios'!J646*(1-I646)*(1+'Global Precios'!K646)&gt;1000,MROUND('Global Precios'!J646*(1-I646)*(1+'Global Precios'!K646),100),MROUND('Global Precios'!J646*(1-I646)*(1+'Global Precios'!K646),10))</f>
        <v>6100</v>
      </c>
      <c r="M646" s="50">
        <v>10.0</v>
      </c>
      <c r="N646" s="50" t="s">
        <v>4383</v>
      </c>
      <c r="O646" s="21"/>
      <c r="P646" s="132">
        <v>45839.0</v>
      </c>
      <c r="Q646" s="21">
        <f t="shared" si="30"/>
        <v>35</v>
      </c>
      <c r="R646" s="19">
        <v>30.0</v>
      </c>
      <c r="S646" s="21"/>
      <c r="T646" s="41" t="str">
        <f>IFERROR(VLOOKUP(A646,BUSCARV!$A$1:$C$500,3,0),"")</f>
        <v/>
      </c>
      <c r="U646" s="42"/>
      <c r="V646" s="42" t="str">
        <f t="shared" si="3"/>
        <v/>
      </c>
      <c r="W646" s="44" t="str">
        <f t="shared" si="35"/>
        <v/>
      </c>
      <c r="X646" s="44"/>
      <c r="Y646" s="44">
        <f>IFERROR(VLOOKUP(A646,'BuscarV Stock'!$A$1:$C$422,3,0),0)</f>
        <v>0</v>
      </c>
      <c r="Z646" s="46" t="s">
        <v>449</v>
      </c>
      <c r="AA646" s="131"/>
    </row>
    <row r="647">
      <c r="A647" s="125" t="s">
        <v>4785</v>
      </c>
      <c r="B647" s="21"/>
      <c r="C647" s="19" t="s">
        <v>3</v>
      </c>
      <c r="D647" s="19" t="s">
        <v>4786</v>
      </c>
      <c r="E647" s="50" t="s">
        <v>4456</v>
      </c>
      <c r="F647" s="50" t="s">
        <v>2308</v>
      </c>
      <c r="G647" s="50" t="s">
        <v>2344</v>
      </c>
      <c r="H647" s="31">
        <f t="shared" si="29"/>
        <v>3719.008264</v>
      </c>
      <c r="I647" s="21"/>
      <c r="J647" s="50">
        <v>4500.0</v>
      </c>
      <c r="K647" s="111">
        <v>0.8</v>
      </c>
      <c r="L647" s="123">
        <f>IF('Global Precios'!J647*(1-I647)*(1+'Global Precios'!K647)&gt;1000,MROUND('Global Precios'!J647*(1-I647)*(1+'Global Precios'!K647),100),MROUND('Global Precios'!J647*(1-I647)*(1+'Global Precios'!K647),10))</f>
        <v>8100</v>
      </c>
      <c r="M647" s="50">
        <v>1.0</v>
      </c>
      <c r="N647" s="50" t="s">
        <v>46</v>
      </c>
      <c r="O647" s="21"/>
      <c r="P647" s="132">
        <v>45901.0</v>
      </c>
      <c r="Q647" s="21">
        <f t="shared" si="30"/>
        <v>29</v>
      </c>
      <c r="R647" s="19">
        <v>30.0</v>
      </c>
      <c r="S647" s="21"/>
      <c r="T647" s="41" t="str">
        <f>IFERROR(VLOOKUP(A647,BUSCARV!$A$1:$C$500,3,0),"")</f>
        <v/>
      </c>
      <c r="U647" s="42"/>
      <c r="V647" s="42" t="str">
        <f t="shared" si="3"/>
        <v/>
      </c>
      <c r="W647" s="44" t="str">
        <f t="shared" si="35"/>
        <v/>
      </c>
      <c r="X647" s="44"/>
      <c r="Y647" s="44">
        <f>IFERROR(VLOOKUP(A647,'BuscarV Stock'!$A$1:$C$422,3,0),0)</f>
        <v>0</v>
      </c>
      <c r="Z647" s="46" t="s">
        <v>449</v>
      </c>
      <c r="AA647" s="131"/>
    </row>
    <row r="648">
      <c r="A648" s="125" t="s">
        <v>4787</v>
      </c>
      <c r="B648" s="21"/>
      <c r="C648" s="19" t="s">
        <v>3</v>
      </c>
      <c r="D648" s="19" t="s">
        <v>4606</v>
      </c>
      <c r="E648" s="50" t="s">
        <v>4788</v>
      </c>
      <c r="F648" s="50" t="s">
        <v>2308</v>
      </c>
      <c r="G648" s="50" t="s">
        <v>2344</v>
      </c>
      <c r="H648" s="31">
        <f t="shared" si="29"/>
        <v>4462.809917</v>
      </c>
      <c r="I648" s="21"/>
      <c r="J648" s="50">
        <v>5400.0</v>
      </c>
      <c r="K648" s="111">
        <v>0.8</v>
      </c>
      <c r="L648" s="123">
        <f>IF('Global Precios'!J648*(1-I648)*(1+'Global Precios'!K648)&gt;1000,MROUND('Global Precios'!J648*(1-I648)*(1+'Global Precios'!K648),100),MROUND('Global Precios'!J648*(1-I648)*(1+'Global Precios'!K648),10))</f>
        <v>9700</v>
      </c>
      <c r="M648" s="50">
        <v>1.0</v>
      </c>
      <c r="N648" s="50" t="s">
        <v>46</v>
      </c>
      <c r="O648" s="21"/>
      <c r="P648" s="132">
        <v>45839.0</v>
      </c>
      <c r="Q648" s="21">
        <f t="shared" si="30"/>
        <v>30</v>
      </c>
      <c r="R648" s="19">
        <v>30.0</v>
      </c>
      <c r="S648" s="21"/>
      <c r="T648" s="41" t="str">
        <f>IFERROR(VLOOKUP(A648,BUSCARV!$A$1:$C$500,3,0),"")</f>
        <v/>
      </c>
      <c r="U648" s="42"/>
      <c r="V648" s="42" t="str">
        <f t="shared" si="3"/>
        <v/>
      </c>
      <c r="W648" s="44" t="str">
        <f t="shared" si="35"/>
        <v/>
      </c>
      <c r="X648" s="44"/>
      <c r="Y648" s="44">
        <f>IFERROR(VLOOKUP(A648,'BuscarV Stock'!$A$1:$C$422,3,0),0)</f>
        <v>0</v>
      </c>
      <c r="Z648" s="46" t="s">
        <v>1075</v>
      </c>
      <c r="AA648" s="131"/>
    </row>
    <row r="649">
      <c r="A649" s="125" t="s">
        <v>4789</v>
      </c>
      <c r="B649" s="21"/>
      <c r="C649" s="19" t="s">
        <v>3</v>
      </c>
      <c r="D649" s="50" t="s">
        <v>4790</v>
      </c>
      <c r="E649" s="50" t="s">
        <v>4501</v>
      </c>
      <c r="F649" s="50" t="s">
        <v>2308</v>
      </c>
      <c r="G649" s="50" t="s">
        <v>2351</v>
      </c>
      <c r="H649" s="31">
        <f t="shared" si="29"/>
        <v>2919.834711</v>
      </c>
      <c r="I649" s="21"/>
      <c r="J649" s="50">
        <v>3533.0</v>
      </c>
      <c r="K649" s="111">
        <v>0.7</v>
      </c>
      <c r="L649" s="123">
        <f>IF('Global Precios'!J649*(1-I649)*(1+'Global Precios'!K649)&gt;1000,MROUND('Global Precios'!J649*(1-I649)*(1+'Global Precios'!K649),100),MROUND('Global Precios'!J649*(1-I649)*(1+'Global Precios'!K649),10))</f>
        <v>6000</v>
      </c>
      <c r="M649" s="50">
        <v>10.0</v>
      </c>
      <c r="N649" s="50" t="s">
        <v>4383</v>
      </c>
      <c r="O649" s="21"/>
      <c r="P649" s="130">
        <v>46023.0</v>
      </c>
      <c r="Q649" s="21">
        <f t="shared" si="30"/>
        <v>28</v>
      </c>
      <c r="R649" s="19">
        <v>30.0</v>
      </c>
      <c r="S649" s="21"/>
      <c r="T649" s="41" t="str">
        <f>IFERROR(VLOOKUP(A649,BUSCARV!$A$1:$C$500,3,0),"")</f>
        <v/>
      </c>
      <c r="U649" s="42"/>
      <c r="V649" s="42" t="str">
        <f t="shared" si="3"/>
        <v/>
      </c>
      <c r="W649" s="44" t="str">
        <f t="shared" si="35"/>
        <v/>
      </c>
      <c r="X649" s="44"/>
      <c r="Y649" s="44">
        <f>IFERROR(VLOOKUP(A649,'BuscarV Stock'!$A$1:$C$422,3,0),0)</f>
        <v>0</v>
      </c>
      <c r="Z649" s="46" t="s">
        <v>449</v>
      </c>
      <c r="AA649" s="131"/>
    </row>
    <row r="650">
      <c r="A650" s="125" t="s">
        <v>4791</v>
      </c>
      <c r="B650" s="21"/>
      <c r="C650" s="19" t="s">
        <v>3</v>
      </c>
      <c r="D650" s="50" t="s">
        <v>858</v>
      </c>
      <c r="E650" s="50" t="s">
        <v>4470</v>
      </c>
      <c r="F650" s="50" t="s">
        <v>2308</v>
      </c>
      <c r="G650" s="50" t="s">
        <v>2336</v>
      </c>
      <c r="H650" s="31">
        <f t="shared" si="29"/>
        <v>11900.82645</v>
      </c>
      <c r="I650" s="21"/>
      <c r="J650" s="50">
        <v>14400.0</v>
      </c>
      <c r="K650" s="111">
        <v>0.7</v>
      </c>
      <c r="L650" s="123">
        <f>IF('Global Precios'!J650*(1-I650)*(1+'Global Precios'!K650)&gt;1000,MROUND('Global Precios'!J650*(1-I650)*(1+'Global Precios'!K650),100),MROUND('Global Precios'!J650*(1-I650)*(1+'Global Precios'!K650),10))</f>
        <v>24500</v>
      </c>
      <c r="M650" s="50">
        <v>10.0</v>
      </c>
      <c r="N650" s="50" t="s">
        <v>4383</v>
      </c>
      <c r="O650" s="21"/>
      <c r="P650" s="130">
        <v>46023.0</v>
      </c>
      <c r="Q650" s="21">
        <f t="shared" si="30"/>
        <v>31</v>
      </c>
      <c r="R650" s="19">
        <v>30.0</v>
      </c>
      <c r="S650" s="21"/>
      <c r="T650" s="41" t="str">
        <f>IFERROR(VLOOKUP(A650,BUSCARV!$A$1:$C$500,3,0),"")</f>
        <v/>
      </c>
      <c r="U650" s="42"/>
      <c r="V650" s="42" t="str">
        <f t="shared" si="3"/>
        <v/>
      </c>
      <c r="W650" s="44" t="str">
        <f t="shared" si="35"/>
        <v/>
      </c>
      <c r="X650" s="44"/>
      <c r="Y650" s="44">
        <f>IFERROR(VLOOKUP(A650,'BuscarV Stock'!$A$1:$C$422,3,0),0)</f>
        <v>0</v>
      </c>
      <c r="Z650" s="46" t="s">
        <v>449</v>
      </c>
      <c r="AA650" s="131"/>
    </row>
    <row r="651">
      <c r="A651" s="125" t="s">
        <v>4792</v>
      </c>
      <c r="B651" s="21"/>
      <c r="C651" s="19" t="s">
        <v>3</v>
      </c>
      <c r="D651" s="50" t="s">
        <v>2354</v>
      </c>
      <c r="E651" s="50" t="s">
        <v>4472</v>
      </c>
      <c r="F651" s="50" t="s">
        <v>2308</v>
      </c>
      <c r="G651" s="50" t="s">
        <v>2356</v>
      </c>
      <c r="H651" s="31">
        <f t="shared" si="29"/>
        <v>4033.884298</v>
      </c>
      <c r="I651" s="21"/>
      <c r="J651" s="50">
        <v>4881.0</v>
      </c>
      <c r="K651" s="111">
        <v>0.8</v>
      </c>
      <c r="L651" s="123">
        <f>IF('Global Precios'!J651*(1-I651)*(1+'Global Precios'!K651)&gt;1000,MROUND('Global Precios'!J651*(1-I651)*(1+'Global Precios'!K651),100),MROUND('Global Precios'!J651*(1-I651)*(1+'Global Precios'!K651),10))</f>
        <v>8800</v>
      </c>
      <c r="M651" s="50">
        <v>1.0</v>
      </c>
      <c r="N651" s="50" t="s">
        <v>46</v>
      </c>
      <c r="O651" s="21"/>
      <c r="P651" s="130">
        <v>45839.0</v>
      </c>
      <c r="Q651" s="21">
        <f t="shared" si="30"/>
        <v>38</v>
      </c>
      <c r="R651" s="19">
        <v>30.0</v>
      </c>
      <c r="S651" s="21"/>
      <c r="T651" s="41" t="str">
        <f>IFERROR(VLOOKUP(A651,BUSCARV!$A$1:$C$500,3,0),"")</f>
        <v/>
      </c>
      <c r="U651" s="42"/>
      <c r="V651" s="42" t="str">
        <f t="shared" si="3"/>
        <v/>
      </c>
      <c r="W651" s="44" t="str">
        <f t="shared" si="35"/>
        <v/>
      </c>
      <c r="X651" s="44"/>
      <c r="Y651" s="44">
        <f>IFERROR(VLOOKUP(A651,'BuscarV Stock'!$A$1:$C$422,3,0),0)</f>
        <v>0</v>
      </c>
      <c r="Z651" s="46" t="s">
        <v>449</v>
      </c>
      <c r="AA651" s="131"/>
    </row>
    <row r="652">
      <c r="A652" s="125" t="s">
        <v>4793</v>
      </c>
      <c r="B652" s="21"/>
      <c r="C652" s="19" t="s">
        <v>3</v>
      </c>
      <c r="D652" s="50" t="s">
        <v>4794</v>
      </c>
      <c r="E652" s="50" t="s">
        <v>4795</v>
      </c>
      <c r="F652" s="50" t="s">
        <v>2308</v>
      </c>
      <c r="G652" s="50" t="s">
        <v>2316</v>
      </c>
      <c r="H652" s="31">
        <f t="shared" si="29"/>
        <v>4467.768595</v>
      </c>
      <c r="I652" s="21"/>
      <c r="J652" s="50">
        <v>5406.0</v>
      </c>
      <c r="K652" s="111">
        <v>1.0</v>
      </c>
      <c r="L652" s="123">
        <f>IF('Global Precios'!J652*(1-I652)*(1+'Global Precios'!K652)&gt;1000,MROUND('Global Precios'!J652*(1-I652)*(1+'Global Precios'!K652),100),MROUND('Global Precios'!J652*(1-I652)*(1+'Global Precios'!K652),10))</f>
        <v>10800</v>
      </c>
      <c r="M652" s="50">
        <v>250.0</v>
      </c>
      <c r="N652" s="50" t="s">
        <v>2496</v>
      </c>
      <c r="O652" s="21"/>
      <c r="P652" s="130">
        <v>45839.0</v>
      </c>
      <c r="Q652" s="21">
        <f t="shared" si="30"/>
        <v>37</v>
      </c>
      <c r="R652" s="21"/>
      <c r="S652" s="21"/>
      <c r="T652" s="41" t="str">
        <f>IFERROR(VLOOKUP(A652,BUSCARV!$A$1:$C$500,3,0),"")</f>
        <v/>
      </c>
      <c r="U652" s="42"/>
      <c r="V652" s="42" t="str">
        <f t="shared" si="3"/>
        <v/>
      </c>
      <c r="W652" s="44" t="str">
        <f t="shared" si="35"/>
        <v/>
      </c>
      <c r="X652" s="44"/>
      <c r="Y652" s="44">
        <f>IFERROR(VLOOKUP(A652,'BuscarV Stock'!$A$1:$C$422,3,0),0)</f>
        <v>0</v>
      </c>
      <c r="Z652" s="46" t="s">
        <v>449</v>
      </c>
      <c r="AA652" s="131"/>
    </row>
    <row r="653">
      <c r="A653" s="125" t="s">
        <v>4796</v>
      </c>
      <c r="B653" s="21"/>
      <c r="C653" s="19" t="s">
        <v>3</v>
      </c>
      <c r="D653" s="50" t="s">
        <v>4797</v>
      </c>
      <c r="E653" s="50" t="s">
        <v>4470</v>
      </c>
      <c r="F653" s="50" t="s">
        <v>2308</v>
      </c>
      <c r="G653" s="50" t="s">
        <v>2350</v>
      </c>
      <c r="H653" s="31">
        <f t="shared" si="29"/>
        <v>7418.181818</v>
      </c>
      <c r="I653" s="21"/>
      <c r="J653" s="50">
        <v>8976.0</v>
      </c>
      <c r="K653" s="111">
        <v>0.8</v>
      </c>
      <c r="L653" s="123">
        <f>IF('Global Precios'!J653*(1-I653)*(1+'Global Precios'!K653)&gt;1000,MROUND('Global Precios'!J653*(1-I653)*(1+'Global Precios'!K653),100),MROUND('Global Precios'!J653*(1-I653)*(1+'Global Precios'!K653),10))</f>
        <v>16200</v>
      </c>
      <c r="M653" s="50">
        <v>1.0</v>
      </c>
      <c r="N653" s="50" t="s">
        <v>4383</v>
      </c>
      <c r="O653" s="21"/>
      <c r="P653" s="130">
        <v>45839.0</v>
      </c>
      <c r="Q653" s="21">
        <f t="shared" si="30"/>
        <v>28</v>
      </c>
      <c r="R653" s="21"/>
      <c r="S653" s="21"/>
      <c r="T653" s="41" t="str">
        <f>IFERROR(VLOOKUP(A653,BUSCARV!$A$1:$C$500,3,0),"")</f>
        <v/>
      </c>
      <c r="U653" s="42"/>
      <c r="V653" s="42" t="str">
        <f t="shared" si="3"/>
        <v/>
      </c>
      <c r="W653" s="44" t="str">
        <f t="shared" si="35"/>
        <v/>
      </c>
      <c r="X653" s="44"/>
      <c r="Y653" s="44">
        <f>IFERROR(VLOOKUP(A653,'BuscarV Stock'!$A$1:$C$422,3,0),0)</f>
        <v>0</v>
      </c>
      <c r="Z653" s="46" t="s">
        <v>449</v>
      </c>
      <c r="AA653" s="131"/>
    </row>
    <row r="654">
      <c r="A654" s="125" t="s">
        <v>4798</v>
      </c>
      <c r="B654" s="21"/>
      <c r="C654" s="19" t="s">
        <v>3</v>
      </c>
      <c r="D654" s="50" t="s">
        <v>4799</v>
      </c>
      <c r="E654" s="50" t="s">
        <v>4470</v>
      </c>
      <c r="F654" s="50" t="s">
        <v>2308</v>
      </c>
      <c r="G654" s="50" t="s">
        <v>2350</v>
      </c>
      <c r="H654" s="31">
        <f t="shared" si="29"/>
        <v>9525.619835</v>
      </c>
      <c r="I654" s="21"/>
      <c r="J654" s="50">
        <v>11526.0</v>
      </c>
      <c r="K654" s="111">
        <v>0.8</v>
      </c>
      <c r="L654" s="123">
        <f>IF('Global Precios'!J654*(1-I654)*(1+'Global Precios'!K654)&gt;1000,MROUND('Global Precios'!J654*(1-I654)*(1+'Global Precios'!K654),100),MROUND('Global Precios'!J654*(1-I654)*(1+'Global Precios'!K654),10))</f>
        <v>20700</v>
      </c>
      <c r="M654" s="50">
        <v>1.0</v>
      </c>
      <c r="N654" s="50" t="s">
        <v>4383</v>
      </c>
      <c r="O654" s="21"/>
      <c r="P654" s="130">
        <v>45839.0</v>
      </c>
      <c r="Q654" s="21">
        <f t="shared" si="30"/>
        <v>32</v>
      </c>
      <c r="R654" s="21"/>
      <c r="S654" s="21"/>
      <c r="T654" s="41" t="str">
        <f>IFERROR(VLOOKUP(A654,BUSCARV!$A$1:$C$500,3,0),"")</f>
        <v/>
      </c>
      <c r="U654" s="42"/>
      <c r="V654" s="42" t="str">
        <f t="shared" si="3"/>
        <v/>
      </c>
      <c r="W654" s="44" t="str">
        <f t="shared" si="35"/>
        <v/>
      </c>
      <c r="X654" s="44"/>
      <c r="Y654" s="44">
        <f>IFERROR(VLOOKUP(A654,'BuscarV Stock'!$A$1:$C$422,3,0),0)</f>
        <v>0</v>
      </c>
      <c r="Z654" s="46" t="s">
        <v>449</v>
      </c>
      <c r="AA654" s="131"/>
    </row>
    <row r="655">
      <c r="A655" s="125" t="s">
        <v>4800</v>
      </c>
      <c r="B655" s="21"/>
      <c r="C655" s="19" t="s">
        <v>3</v>
      </c>
      <c r="D655" s="50" t="s">
        <v>4801</v>
      </c>
      <c r="E655" s="50" t="s">
        <v>4470</v>
      </c>
      <c r="F655" s="50" t="s">
        <v>2308</v>
      </c>
      <c r="G655" s="50" t="s">
        <v>2350</v>
      </c>
      <c r="H655" s="31">
        <f t="shared" si="29"/>
        <v>10958.67769</v>
      </c>
      <c r="I655" s="21"/>
      <c r="J655" s="50">
        <v>13260.0</v>
      </c>
      <c r="K655" s="111">
        <v>0.8</v>
      </c>
      <c r="L655" s="123">
        <f>IF('Global Precios'!J655*(1-I655)*(1+'Global Precios'!K655)&gt;1000,MROUND('Global Precios'!J655*(1-I655)*(1+'Global Precios'!K655),100),MROUND('Global Precios'!J655*(1-I655)*(1+'Global Precios'!K655),10))</f>
        <v>23900</v>
      </c>
      <c r="M655" s="50">
        <v>1.0</v>
      </c>
      <c r="N655" s="50" t="s">
        <v>4383</v>
      </c>
      <c r="O655" s="21"/>
      <c r="P655" s="130">
        <v>45839.0</v>
      </c>
      <c r="Q655" s="21">
        <f t="shared" si="30"/>
        <v>32</v>
      </c>
      <c r="R655" s="21"/>
      <c r="S655" s="21"/>
      <c r="T655" s="41" t="str">
        <f>IFERROR(VLOOKUP(A655,BUSCARV!$A$1:$C$500,3,0),"")</f>
        <v/>
      </c>
      <c r="U655" s="42"/>
      <c r="V655" s="42" t="str">
        <f t="shared" si="3"/>
        <v/>
      </c>
      <c r="W655" s="44" t="str">
        <f t="shared" si="35"/>
        <v/>
      </c>
      <c r="X655" s="44"/>
      <c r="Y655" s="44">
        <f>IFERROR(VLOOKUP(A655,'BuscarV Stock'!$A$1:$C$422,3,0),0)</f>
        <v>0</v>
      </c>
      <c r="Z655" s="46" t="s">
        <v>449</v>
      </c>
      <c r="AA655" s="131"/>
    </row>
    <row r="656">
      <c r="A656" s="125" t="s">
        <v>4802</v>
      </c>
      <c r="B656" s="21"/>
      <c r="C656" s="19" t="s">
        <v>3</v>
      </c>
      <c r="D656" s="50" t="s">
        <v>4803</v>
      </c>
      <c r="E656" s="21"/>
      <c r="F656" s="50" t="s">
        <v>1982</v>
      </c>
      <c r="G656" s="50" t="s">
        <v>2369</v>
      </c>
      <c r="H656" s="31">
        <f t="shared" si="29"/>
        <v>3364.46281</v>
      </c>
      <c r="I656" s="21"/>
      <c r="J656" s="50">
        <v>4071.0</v>
      </c>
      <c r="K656" s="111">
        <v>0.8</v>
      </c>
      <c r="L656" s="123">
        <f>IF('Global Precios'!J656*(1-I656)*(1+'Global Precios'!K656)&gt;1000,MROUND('Global Precios'!J656*(1-I656)*(1+'Global Precios'!K656),100),MROUND('Global Precios'!J656*(1-I656)*(1+'Global Precios'!K656),10))</f>
        <v>7300</v>
      </c>
      <c r="M656" s="50">
        <v>1.0</v>
      </c>
      <c r="N656" s="50" t="s">
        <v>46</v>
      </c>
      <c r="O656" s="21"/>
      <c r="P656" s="130">
        <v>45839.0</v>
      </c>
      <c r="Q656" s="21">
        <f t="shared" si="30"/>
        <v>14</v>
      </c>
      <c r="R656" s="21"/>
      <c r="S656" s="21"/>
      <c r="T656" s="41" t="str">
        <f>IFERROR(VLOOKUP(A656,BUSCARV!$A$1:$C$500,3,0),"")</f>
        <v/>
      </c>
      <c r="U656" s="42"/>
      <c r="V656" s="42" t="str">
        <f t="shared" si="3"/>
        <v/>
      </c>
      <c r="W656" s="44" t="str">
        <f t="shared" si="35"/>
        <v/>
      </c>
      <c r="X656" s="44"/>
      <c r="Y656" s="44">
        <f>IFERROR(VLOOKUP(A656,'BuscarV Stock'!$A$1:$C$422,3,0),0)</f>
        <v>0</v>
      </c>
      <c r="Z656" s="46" t="s">
        <v>449</v>
      </c>
      <c r="AA656" s="131"/>
    </row>
    <row r="657">
      <c r="A657" s="125" t="s">
        <v>4804</v>
      </c>
      <c r="B657" s="21"/>
      <c r="C657" s="19" t="s">
        <v>3</v>
      </c>
      <c r="D657" s="50" t="s">
        <v>4805</v>
      </c>
      <c r="E657" s="21"/>
      <c r="F657" s="50" t="s">
        <v>1982</v>
      </c>
      <c r="G657" s="50" t="s">
        <v>2369</v>
      </c>
      <c r="H657" s="31">
        <f t="shared" si="29"/>
        <v>3540.495868</v>
      </c>
      <c r="I657" s="21"/>
      <c r="J657" s="50">
        <v>4284.0</v>
      </c>
      <c r="K657" s="111">
        <v>0.8</v>
      </c>
      <c r="L657" s="123">
        <f>IF('Global Precios'!J657*(1-I657)*(1+'Global Precios'!K657)&gt;1000,MROUND('Global Precios'!J657*(1-I657)*(1+'Global Precios'!K657),100),MROUND('Global Precios'!J657*(1-I657)*(1+'Global Precios'!K657),10))</f>
        <v>7700</v>
      </c>
      <c r="M657" s="50">
        <v>1.0</v>
      </c>
      <c r="N657" s="50" t="s">
        <v>46</v>
      </c>
      <c r="O657" s="21"/>
      <c r="P657" s="130">
        <v>45839.0</v>
      </c>
      <c r="Q657" s="21">
        <f t="shared" si="30"/>
        <v>15</v>
      </c>
      <c r="R657" s="21"/>
      <c r="S657" s="21"/>
      <c r="T657" s="41" t="str">
        <f>IFERROR(VLOOKUP(A657,BUSCARV!$A$1:$C$500,3,0),"")</f>
        <v/>
      </c>
      <c r="U657" s="42"/>
      <c r="V657" s="42" t="str">
        <f t="shared" si="3"/>
        <v/>
      </c>
      <c r="W657" s="44" t="str">
        <f t="shared" si="35"/>
        <v/>
      </c>
      <c r="X657" s="44"/>
      <c r="Y657" s="44">
        <f>IFERROR(VLOOKUP(A657,'BuscarV Stock'!$A$1:$C$422,3,0),0)</f>
        <v>0</v>
      </c>
      <c r="Z657" s="46" t="s">
        <v>449</v>
      </c>
      <c r="AA657" s="131"/>
    </row>
    <row r="658">
      <c r="A658" s="125" t="s">
        <v>4806</v>
      </c>
      <c r="B658" s="21"/>
      <c r="C658" s="19" t="s">
        <v>3</v>
      </c>
      <c r="D658" s="50" t="s">
        <v>4807</v>
      </c>
      <c r="E658" s="21"/>
      <c r="F658" s="50" t="s">
        <v>1982</v>
      </c>
      <c r="G658" s="50" t="s">
        <v>2369</v>
      </c>
      <c r="H658" s="31">
        <f t="shared" si="29"/>
        <v>3806.61157</v>
      </c>
      <c r="I658" s="21"/>
      <c r="J658" s="50">
        <v>4606.0</v>
      </c>
      <c r="K658" s="111">
        <v>0.8</v>
      </c>
      <c r="L658" s="123">
        <f>IF('Global Precios'!J658*(1-I658)*(1+'Global Precios'!K658)&gt;1000,MROUND('Global Precios'!J658*(1-I658)*(1+'Global Precios'!K658),100),MROUND('Global Precios'!J658*(1-I658)*(1+'Global Precios'!K658),10))</f>
        <v>8300</v>
      </c>
      <c r="M658" s="50">
        <v>1.0</v>
      </c>
      <c r="N658" s="50" t="s">
        <v>46</v>
      </c>
      <c r="O658" s="21"/>
      <c r="P658" s="130">
        <v>45839.0</v>
      </c>
      <c r="Q658" s="21">
        <f t="shared" si="30"/>
        <v>15</v>
      </c>
      <c r="R658" s="21"/>
      <c r="S658" s="21"/>
      <c r="T658" s="41" t="str">
        <f>IFERROR(VLOOKUP(A658,BUSCARV!$A$1:$C$500,3,0),"")</f>
        <v/>
      </c>
      <c r="U658" s="42"/>
      <c r="V658" s="42" t="str">
        <f t="shared" si="3"/>
        <v/>
      </c>
      <c r="W658" s="44" t="str">
        <f t="shared" si="35"/>
        <v/>
      </c>
      <c r="X658" s="44"/>
      <c r="Y658" s="44">
        <f>IFERROR(VLOOKUP(A658,'BuscarV Stock'!$A$1:$C$422,3,0),0)</f>
        <v>0</v>
      </c>
      <c r="Z658" s="46" t="s">
        <v>449</v>
      </c>
      <c r="AA658" s="131"/>
    </row>
    <row r="659">
      <c r="A659" s="125" t="s">
        <v>4808</v>
      </c>
      <c r="B659" s="21"/>
      <c r="C659" s="19" t="s">
        <v>3</v>
      </c>
      <c r="D659" s="50" t="s">
        <v>4809</v>
      </c>
      <c r="E659" s="50" t="s">
        <v>4810</v>
      </c>
      <c r="F659" s="50" t="s">
        <v>2308</v>
      </c>
      <c r="G659" s="50" t="s">
        <v>2344</v>
      </c>
      <c r="H659" s="31">
        <f t="shared" si="29"/>
        <v>7851.239669</v>
      </c>
      <c r="I659" s="21"/>
      <c r="J659" s="50">
        <v>9500.0</v>
      </c>
      <c r="K659" s="21"/>
      <c r="L659" s="123">
        <f>IF('Global Precios'!J659*(1-I659)*(1+'Global Precios'!K659)&gt;1000,MROUND('Global Precios'!J659*(1-I659)*(1+'Global Precios'!K659),100),MROUND('Global Precios'!J659*(1-I659)*(1+'Global Precios'!K659),10))</f>
        <v>9500</v>
      </c>
      <c r="M659" s="50">
        <v>1.0</v>
      </c>
      <c r="N659" s="50" t="s">
        <v>46</v>
      </c>
      <c r="O659" s="21"/>
      <c r="P659" s="130">
        <v>45901.0</v>
      </c>
      <c r="Q659" s="21">
        <f t="shared" si="30"/>
        <v>35</v>
      </c>
      <c r="R659" s="21"/>
      <c r="S659" s="21"/>
      <c r="T659" s="41" t="str">
        <f>IFERROR(VLOOKUP(A659,BUSCARV!$A$1:$C$500,3,0),"")</f>
        <v/>
      </c>
      <c r="U659" s="42"/>
      <c r="V659" s="42" t="str">
        <f t="shared" si="3"/>
        <v/>
      </c>
      <c r="W659" s="44" t="str">
        <f t="shared" si="35"/>
        <v/>
      </c>
      <c r="X659" s="44"/>
      <c r="Y659" s="44">
        <f>IFERROR(VLOOKUP(A659,'BuscarV Stock'!$A$1:$C$422,3,0),0)</f>
        <v>0</v>
      </c>
      <c r="Z659" s="46" t="s">
        <v>449</v>
      </c>
      <c r="AA659" s="131"/>
    </row>
    <row r="660">
      <c r="A660" s="125" t="s">
        <v>4811</v>
      </c>
      <c r="B660" s="21"/>
      <c r="C660" s="19" t="s">
        <v>3</v>
      </c>
      <c r="D660" s="50" t="s">
        <v>568</v>
      </c>
      <c r="E660" s="50" t="s">
        <v>4761</v>
      </c>
      <c r="F660" s="50" t="s">
        <v>2308</v>
      </c>
      <c r="G660" s="50" t="s">
        <v>2325</v>
      </c>
      <c r="H660" s="31">
        <f t="shared" si="29"/>
        <v>12396.69421</v>
      </c>
      <c r="I660" s="21"/>
      <c r="J660" s="50">
        <v>15000.0</v>
      </c>
      <c r="K660" s="21"/>
      <c r="L660" s="123">
        <f>IF('Global Precios'!J660*(1-I660)*(1+'Global Precios'!K660)&gt;1000,MROUND('Global Precios'!J660*(1-I660)*(1+'Global Precios'!K660),100),MROUND('Global Precios'!J660*(1-I660)*(1+'Global Precios'!K660),10))</f>
        <v>15000</v>
      </c>
      <c r="M660" s="50">
        <v>120.0</v>
      </c>
      <c r="N660" s="50" t="s">
        <v>2496</v>
      </c>
      <c r="O660" s="21"/>
      <c r="P660" s="130">
        <v>46082.0</v>
      </c>
      <c r="Q660" s="21">
        <f t="shared" si="30"/>
        <v>36</v>
      </c>
      <c r="R660" s="21"/>
      <c r="S660" s="21"/>
      <c r="T660" s="41" t="str">
        <f>IFERROR(VLOOKUP(A660,BUSCARV!$A$1:$C$500,3,0),"")</f>
        <v/>
      </c>
      <c r="U660" s="42"/>
      <c r="V660" s="42" t="str">
        <f t="shared" si="3"/>
        <v/>
      </c>
      <c r="W660" s="44" t="str">
        <f t="shared" si="35"/>
        <v/>
      </c>
      <c r="X660" s="44"/>
      <c r="Y660" s="44">
        <f>IFERROR(VLOOKUP(A660,'BuscarV Stock'!$A$1:$C$422,3,0),0)</f>
        <v>0</v>
      </c>
      <c r="Z660" s="46" t="s">
        <v>449</v>
      </c>
      <c r="AA660" s="131"/>
    </row>
    <row r="661">
      <c r="A661" s="125" t="s">
        <v>4812</v>
      </c>
      <c r="B661" s="21"/>
      <c r="C661" s="19" t="s">
        <v>3</v>
      </c>
      <c r="D661" s="50" t="s">
        <v>565</v>
      </c>
      <c r="E661" s="50" t="s">
        <v>4761</v>
      </c>
      <c r="F661" s="50" t="s">
        <v>2308</v>
      </c>
      <c r="G661" s="50" t="s">
        <v>2336</v>
      </c>
      <c r="H661" s="31">
        <f t="shared" si="29"/>
        <v>14049.58678</v>
      </c>
      <c r="I661" s="21"/>
      <c r="J661" s="50">
        <v>17000.0</v>
      </c>
      <c r="K661" s="21"/>
      <c r="L661" s="123">
        <f>IF('Global Precios'!J661*(1-I661)*(1+'Global Precios'!K661)&gt;1000,MROUND('Global Precios'!J661*(1-I661)*(1+'Global Precios'!K661),100),MROUND('Global Precios'!J661*(1-I661)*(1+'Global Precios'!K661),10))</f>
        <v>17000</v>
      </c>
      <c r="M661" s="50">
        <v>30.0</v>
      </c>
      <c r="N661" s="50" t="s">
        <v>2496</v>
      </c>
      <c r="O661" s="21"/>
      <c r="P661" s="130">
        <v>46082.0</v>
      </c>
      <c r="Q661" s="21">
        <f t="shared" si="30"/>
        <v>23</v>
      </c>
      <c r="R661" s="21"/>
      <c r="S661" s="21"/>
      <c r="T661" s="41" t="str">
        <f>IFERROR(VLOOKUP(A661,BUSCARV!$A$1:$C$500,3,0),"")</f>
        <v/>
      </c>
      <c r="U661" s="42"/>
      <c r="V661" s="42" t="str">
        <f t="shared" si="3"/>
        <v/>
      </c>
      <c r="W661" s="44" t="str">
        <f t="shared" si="35"/>
        <v/>
      </c>
      <c r="X661" s="44"/>
      <c r="Y661" s="44">
        <f>IFERROR(VLOOKUP(A661,'BuscarV Stock'!$A$1:$C$422,3,0),0)</f>
        <v>0</v>
      </c>
      <c r="Z661" s="46" t="s">
        <v>1075</v>
      </c>
      <c r="AA661" s="131"/>
    </row>
    <row r="662">
      <c r="A662" s="125" t="s">
        <v>4813</v>
      </c>
      <c r="B662" s="21"/>
      <c r="C662" s="19" t="s">
        <v>3</v>
      </c>
      <c r="D662" s="50" t="s">
        <v>4814</v>
      </c>
      <c r="E662" s="50" t="s">
        <v>4815</v>
      </c>
      <c r="F662" s="50" t="s">
        <v>2308</v>
      </c>
      <c r="G662" s="50" t="s">
        <v>2316</v>
      </c>
      <c r="H662" s="31">
        <f t="shared" si="29"/>
        <v>5206.61157</v>
      </c>
      <c r="I662" s="21"/>
      <c r="J662" s="50">
        <v>6300.0</v>
      </c>
      <c r="K662" s="21"/>
      <c r="L662" s="123">
        <f>IF('Global Precios'!J662*(1-I662)*(1+'Global Precios'!K662)&gt;1000,MROUND('Global Precios'!J662*(1-I662)*(1+'Global Precios'!K662),100),MROUND('Global Precios'!J662*(1-I662)*(1+'Global Precios'!K662),10))</f>
        <v>6300</v>
      </c>
      <c r="M662" s="50">
        <v>1.0</v>
      </c>
      <c r="N662" s="50" t="s">
        <v>4383</v>
      </c>
      <c r="O662" s="21"/>
      <c r="P662" s="132">
        <v>45962.0</v>
      </c>
      <c r="Q662" s="21">
        <f t="shared" si="30"/>
        <v>16</v>
      </c>
      <c r="R662" s="21"/>
      <c r="S662" s="21"/>
      <c r="T662" s="41" t="str">
        <f>IFERROR(VLOOKUP(A662,BUSCARV!$A$1:$C$500,3,0),"")</f>
        <v/>
      </c>
      <c r="U662" s="42"/>
      <c r="V662" s="42" t="str">
        <f t="shared" si="3"/>
        <v/>
      </c>
      <c r="W662" s="44" t="str">
        <f t="shared" si="35"/>
        <v/>
      </c>
      <c r="X662" s="44"/>
      <c r="Y662" s="44">
        <f>IFERROR(VLOOKUP(A662,'BuscarV Stock'!$A$1:$C$422,3,0),0)</f>
        <v>0</v>
      </c>
      <c r="Z662" s="46" t="s">
        <v>449</v>
      </c>
      <c r="AA662" s="131"/>
    </row>
    <row r="663">
      <c r="A663" s="125" t="s">
        <v>4816</v>
      </c>
      <c r="B663" s="21"/>
      <c r="C663" s="19" t="s">
        <v>3</v>
      </c>
      <c r="D663" s="50" t="s">
        <v>4817</v>
      </c>
      <c r="E663" s="50" t="s">
        <v>4818</v>
      </c>
      <c r="F663" s="50" t="s">
        <v>2308</v>
      </c>
      <c r="G663" s="50" t="s">
        <v>2316</v>
      </c>
      <c r="H663" s="31">
        <f t="shared" si="29"/>
        <v>9669.421488</v>
      </c>
      <c r="I663" s="21"/>
      <c r="J663" s="50">
        <v>11700.0</v>
      </c>
      <c r="K663" s="21"/>
      <c r="L663" s="123">
        <f>IF('Global Precios'!J663*(1-I663)*(1+'Global Precios'!K663)&gt;1000,MROUND('Global Precios'!J663*(1-I663)*(1+'Global Precios'!K663),100),MROUND('Global Precios'!J663*(1-I663)*(1+'Global Precios'!K663),10))</f>
        <v>11700</v>
      </c>
      <c r="M663" s="50">
        <v>1.0</v>
      </c>
      <c r="N663" s="50" t="s">
        <v>4383</v>
      </c>
      <c r="O663" s="21"/>
      <c r="P663" s="132">
        <v>45962.0</v>
      </c>
      <c r="Q663" s="21">
        <f t="shared" si="30"/>
        <v>20</v>
      </c>
      <c r="R663" s="21"/>
      <c r="S663" s="21"/>
      <c r="T663" s="41" t="str">
        <f>IFERROR(VLOOKUP(A663,BUSCARV!$A$1:$C$500,3,0),"")</f>
        <v/>
      </c>
      <c r="U663" s="42"/>
      <c r="V663" s="42" t="str">
        <f t="shared" si="3"/>
        <v/>
      </c>
      <c r="W663" s="44" t="str">
        <f t="shared" si="35"/>
        <v/>
      </c>
      <c r="X663" s="44"/>
      <c r="Y663" s="44">
        <f>IFERROR(VLOOKUP(A663,'BuscarV Stock'!$A$1:$C$422,3,0),0)</f>
        <v>0</v>
      </c>
      <c r="Z663" s="46" t="s">
        <v>449</v>
      </c>
      <c r="AA663" s="131"/>
    </row>
    <row r="664">
      <c r="A664" s="125" t="s">
        <v>4819</v>
      </c>
      <c r="B664" s="21"/>
      <c r="C664" s="19" t="s">
        <v>3</v>
      </c>
      <c r="D664" s="50" t="s">
        <v>4820</v>
      </c>
      <c r="E664" s="50" t="s">
        <v>4761</v>
      </c>
      <c r="F664" s="50" t="s">
        <v>2308</v>
      </c>
      <c r="G664" s="50" t="s">
        <v>2316</v>
      </c>
      <c r="H664" s="31">
        <f t="shared" si="29"/>
        <v>17355.3719</v>
      </c>
      <c r="I664" s="21"/>
      <c r="J664" s="50">
        <v>21000.0</v>
      </c>
      <c r="K664" s="21"/>
      <c r="L664" s="123">
        <f>IF('Global Precios'!J664*(1-I664)*(1+'Global Precios'!K664)&gt;1000,MROUND('Global Precios'!J664*(1-I664)*(1+'Global Precios'!K664),100),MROUND('Global Precios'!J664*(1-I664)*(1+'Global Precios'!K664),10))</f>
        <v>21000</v>
      </c>
      <c r="M664" s="50">
        <v>10.0</v>
      </c>
      <c r="N664" s="50" t="s">
        <v>4383</v>
      </c>
      <c r="O664" s="21"/>
      <c r="P664" s="130">
        <v>46023.0</v>
      </c>
      <c r="Q664" s="21">
        <f t="shared" si="30"/>
        <v>26</v>
      </c>
      <c r="R664" s="21"/>
      <c r="S664" s="21"/>
      <c r="T664" s="41" t="str">
        <f>IFERROR(VLOOKUP(A664,BUSCARV!$A$1:$C$500,3,0),"")</f>
        <v/>
      </c>
      <c r="U664" s="42"/>
      <c r="V664" s="42" t="str">
        <f t="shared" si="3"/>
        <v/>
      </c>
      <c r="W664" s="44" t="str">
        <f t="shared" si="35"/>
        <v/>
      </c>
      <c r="X664" s="44"/>
      <c r="Y664" s="44">
        <f>IFERROR(VLOOKUP(A664,'BuscarV Stock'!$A$1:$C$422,3,0),0)</f>
        <v>0</v>
      </c>
      <c r="Z664" s="46" t="s">
        <v>449</v>
      </c>
      <c r="AA664" s="131"/>
    </row>
    <row r="665">
      <c r="A665" s="125" t="s">
        <v>4821</v>
      </c>
      <c r="B665" s="21"/>
      <c r="C665" s="19" t="s">
        <v>3</v>
      </c>
      <c r="D665" s="50" t="s">
        <v>4822</v>
      </c>
      <c r="E665" s="50" t="s">
        <v>2813</v>
      </c>
      <c r="F665" s="50" t="s">
        <v>2308</v>
      </c>
      <c r="G665" s="50" t="s">
        <v>2316</v>
      </c>
      <c r="H665" s="31">
        <f t="shared" si="29"/>
        <v>9917.355372</v>
      </c>
      <c r="I665" s="21"/>
      <c r="J665" s="50">
        <v>12000.0</v>
      </c>
      <c r="K665" s="21"/>
      <c r="L665" s="123">
        <f>IF('Global Precios'!J665*(1-I665)*(1+'Global Precios'!K665)&gt;1000,MROUND('Global Precios'!J665*(1-I665)*(1+'Global Precios'!K665),100),MROUND('Global Precios'!J665*(1-I665)*(1+'Global Precios'!K665),10))</f>
        <v>12000</v>
      </c>
      <c r="M665" s="50">
        <v>1.0</v>
      </c>
      <c r="N665" s="50" t="s">
        <v>4383</v>
      </c>
      <c r="O665" s="21"/>
      <c r="P665" s="130">
        <v>46054.0</v>
      </c>
      <c r="Q665" s="21">
        <f t="shared" si="30"/>
        <v>22</v>
      </c>
      <c r="R665" s="21"/>
      <c r="S665" s="21"/>
      <c r="T665" s="41" t="str">
        <f>IFERROR(VLOOKUP(A665,BUSCARV!$A$1:$C$500,3,0),"")</f>
        <v/>
      </c>
      <c r="U665" s="42"/>
      <c r="V665" s="42" t="str">
        <f t="shared" si="3"/>
        <v/>
      </c>
      <c r="W665" s="44" t="str">
        <f t="shared" si="35"/>
        <v/>
      </c>
      <c r="X665" s="44"/>
      <c r="Y665" s="44">
        <f>IFERROR(VLOOKUP(A665,'BuscarV Stock'!$A$1:$C$422,3,0),0)</f>
        <v>0</v>
      </c>
      <c r="Z665" s="46" t="s">
        <v>449</v>
      </c>
      <c r="AA665" s="131"/>
    </row>
    <row r="666">
      <c r="A666" s="125" t="s">
        <v>4823</v>
      </c>
      <c r="B666" s="21"/>
      <c r="C666" s="19" t="s">
        <v>3</v>
      </c>
      <c r="D666" s="50" t="s">
        <v>4824</v>
      </c>
      <c r="E666" s="50" t="s">
        <v>2813</v>
      </c>
      <c r="F666" s="50" t="s">
        <v>2308</v>
      </c>
      <c r="G666" s="50" t="s">
        <v>2316</v>
      </c>
      <c r="H666" s="31">
        <f t="shared" si="29"/>
        <v>12396.69421</v>
      </c>
      <c r="I666" s="21"/>
      <c r="J666" s="50">
        <v>15000.0</v>
      </c>
      <c r="K666" s="21"/>
      <c r="L666" s="123">
        <f>IF('Global Precios'!J666*(1-I666)*(1+'Global Precios'!K666)&gt;1000,MROUND('Global Precios'!J666*(1-I666)*(1+'Global Precios'!K666),100),MROUND('Global Precios'!J666*(1-I666)*(1+'Global Precios'!K666),10))</f>
        <v>15000</v>
      </c>
      <c r="M666" s="50">
        <v>1.0</v>
      </c>
      <c r="N666" s="50" t="s">
        <v>4383</v>
      </c>
      <c r="O666" s="21"/>
      <c r="P666" s="130">
        <v>46054.0</v>
      </c>
      <c r="Q666" s="21">
        <f t="shared" si="30"/>
        <v>21</v>
      </c>
      <c r="R666" s="21"/>
      <c r="S666" s="21"/>
      <c r="T666" s="41" t="str">
        <f>IFERROR(VLOOKUP(A666,BUSCARV!$A$1:$C$500,3,0),"")</f>
        <v/>
      </c>
      <c r="U666" s="42"/>
      <c r="V666" s="42" t="str">
        <f t="shared" si="3"/>
        <v/>
      </c>
      <c r="W666" s="44" t="str">
        <f t="shared" si="35"/>
        <v/>
      </c>
      <c r="X666" s="44"/>
      <c r="Y666" s="44">
        <f>IFERROR(VLOOKUP(A666,'BuscarV Stock'!$A$1:$C$422,3,0),0)</f>
        <v>0</v>
      </c>
      <c r="Z666" s="46" t="s">
        <v>449</v>
      </c>
      <c r="AA666" s="131"/>
    </row>
    <row r="667">
      <c r="A667" s="125" t="s">
        <v>4825</v>
      </c>
      <c r="B667" s="21"/>
      <c r="C667" s="19" t="s">
        <v>3</v>
      </c>
      <c r="D667" s="50" t="s">
        <v>4826</v>
      </c>
      <c r="E667" s="50" t="s">
        <v>2813</v>
      </c>
      <c r="F667" s="50" t="s">
        <v>2308</v>
      </c>
      <c r="G667" s="50" t="s">
        <v>2316</v>
      </c>
      <c r="H667" s="31">
        <f t="shared" si="29"/>
        <v>5785.123967</v>
      </c>
      <c r="I667" s="21"/>
      <c r="J667" s="50">
        <v>7000.0</v>
      </c>
      <c r="K667" s="21"/>
      <c r="L667" s="123">
        <f>IF('Global Precios'!J667*(1-I667)*(1+'Global Precios'!K667)&gt;1000,MROUND('Global Precios'!J667*(1-I667)*(1+'Global Precios'!K667),100),MROUND('Global Precios'!J667*(1-I667)*(1+'Global Precios'!K667),10))</f>
        <v>7000</v>
      </c>
      <c r="M667" s="50">
        <v>1.0</v>
      </c>
      <c r="N667" s="50" t="s">
        <v>4383</v>
      </c>
      <c r="O667" s="21"/>
      <c r="P667" s="130">
        <v>46054.0</v>
      </c>
      <c r="Q667" s="21">
        <f t="shared" si="30"/>
        <v>31</v>
      </c>
      <c r="R667" s="21"/>
      <c r="S667" s="21"/>
      <c r="T667" s="41" t="str">
        <f>IFERROR(VLOOKUP(A667,BUSCARV!$A$1:$C$500,3,0),"")</f>
        <v/>
      </c>
      <c r="U667" s="42"/>
      <c r="V667" s="42" t="str">
        <f t="shared" si="3"/>
        <v/>
      </c>
      <c r="W667" s="44" t="str">
        <f t="shared" si="35"/>
        <v/>
      </c>
      <c r="X667" s="44"/>
      <c r="Y667" s="44">
        <f>IFERROR(VLOOKUP(A667,'BuscarV Stock'!$A$1:$C$422,3,0),0)</f>
        <v>0</v>
      </c>
      <c r="Z667" s="46" t="s">
        <v>449</v>
      </c>
      <c r="AA667" s="131"/>
    </row>
    <row r="668">
      <c r="A668" s="125" t="s">
        <v>4827</v>
      </c>
      <c r="B668" s="21"/>
      <c r="C668" s="19" t="s">
        <v>3</v>
      </c>
      <c r="D668" s="50" t="s">
        <v>565</v>
      </c>
      <c r="E668" s="50" t="s">
        <v>4761</v>
      </c>
      <c r="F668" s="50" t="s">
        <v>2308</v>
      </c>
      <c r="G668" s="50" t="s">
        <v>2325</v>
      </c>
      <c r="H668" s="31">
        <f t="shared" si="29"/>
        <v>14297.52066</v>
      </c>
      <c r="I668" s="21"/>
      <c r="J668" s="50">
        <v>17300.0</v>
      </c>
      <c r="K668" s="21"/>
      <c r="L668" s="123">
        <f>IF('Global Precios'!J668*(1-I668)*(1+'Global Precios'!K668)&gt;1000,MROUND('Global Precios'!J668*(1-I668)*(1+'Global Precios'!K668),100),MROUND('Global Precios'!J668*(1-I668)*(1+'Global Precios'!K668),10))</f>
        <v>17300</v>
      </c>
      <c r="M668" s="50">
        <v>30.0</v>
      </c>
      <c r="N668" s="50" t="s">
        <v>2496</v>
      </c>
      <c r="O668" s="21"/>
      <c r="P668" s="130">
        <v>46082.0</v>
      </c>
      <c r="Q668" s="21">
        <f t="shared" si="30"/>
        <v>23</v>
      </c>
      <c r="R668" s="21"/>
      <c r="S668" s="21"/>
      <c r="T668" s="41" t="str">
        <f>IFERROR(VLOOKUP(A668,BUSCARV!$A$1:$C$500,3,0),"")</f>
        <v/>
      </c>
      <c r="U668" s="42"/>
      <c r="V668" s="42" t="str">
        <f t="shared" si="3"/>
        <v/>
      </c>
      <c r="W668" s="44" t="str">
        <f t="shared" si="35"/>
        <v/>
      </c>
      <c r="X668" s="80" t="s">
        <v>4828</v>
      </c>
      <c r="Y668" s="44">
        <f>IFERROR(VLOOKUP(A668,'BuscarV Stock'!$A$1:$C$422,3,0),0)</f>
        <v>0</v>
      </c>
      <c r="Z668" s="46" t="s">
        <v>449</v>
      </c>
      <c r="AA668" s="131"/>
    </row>
    <row r="669">
      <c r="A669" s="125" t="s">
        <v>4829</v>
      </c>
      <c r="B669" s="21"/>
      <c r="C669" s="19" t="s">
        <v>3</v>
      </c>
      <c r="D669" s="50" t="s">
        <v>549</v>
      </c>
      <c r="E669" s="50" t="s">
        <v>4761</v>
      </c>
      <c r="F669" s="50" t="s">
        <v>2308</v>
      </c>
      <c r="G669" s="50" t="s">
        <v>2325</v>
      </c>
      <c r="H669" s="31">
        <f t="shared" si="29"/>
        <v>14297.52066</v>
      </c>
      <c r="I669" s="21"/>
      <c r="J669" s="50">
        <v>17300.0</v>
      </c>
      <c r="K669" s="21"/>
      <c r="L669" s="123">
        <f>IF('Global Precios'!J669*(1-I669)*(1+'Global Precios'!K669)&gt;1000,MROUND('Global Precios'!J669*(1-I669)*(1+'Global Precios'!K669),100),MROUND('Global Precios'!J669*(1-I669)*(1+'Global Precios'!K669),10))</f>
        <v>17300</v>
      </c>
      <c r="M669" s="50">
        <v>30.0</v>
      </c>
      <c r="N669" s="50" t="s">
        <v>2496</v>
      </c>
      <c r="O669" s="21"/>
      <c r="P669" s="130">
        <v>46082.0</v>
      </c>
      <c r="Q669" s="21">
        <f t="shared" si="30"/>
        <v>22</v>
      </c>
      <c r="R669" s="21"/>
      <c r="S669" s="21"/>
      <c r="T669" s="41" t="str">
        <f>IFERROR(VLOOKUP(A669,BUSCARV!$A$1:$C$500,3,0),"")</f>
        <v/>
      </c>
      <c r="U669" s="42"/>
      <c r="V669" s="42" t="str">
        <f t="shared" si="3"/>
        <v/>
      </c>
      <c r="W669" s="44" t="str">
        <f t="shared" si="35"/>
        <v/>
      </c>
      <c r="X669" s="44"/>
      <c r="Y669" s="44">
        <f>IFERROR(VLOOKUP(A669,'BuscarV Stock'!$A$1:$C$422,3,0),0)</f>
        <v>0</v>
      </c>
      <c r="Z669" s="46" t="s">
        <v>449</v>
      </c>
      <c r="AA669" s="131"/>
    </row>
    <row r="670">
      <c r="A670" s="125" t="s">
        <v>4830</v>
      </c>
      <c r="B670" s="21"/>
      <c r="C670" s="19" t="s">
        <v>3</v>
      </c>
      <c r="D670" s="50" t="s">
        <v>567</v>
      </c>
      <c r="E670" s="50" t="s">
        <v>4761</v>
      </c>
      <c r="F670" s="50" t="s">
        <v>2308</v>
      </c>
      <c r="G670" s="50" t="s">
        <v>2325</v>
      </c>
      <c r="H670" s="31">
        <f t="shared" si="29"/>
        <v>9423.966942</v>
      </c>
      <c r="I670" s="21"/>
      <c r="J670" s="50">
        <v>11403.0</v>
      </c>
      <c r="K670" s="21"/>
      <c r="L670" s="123">
        <f>IF('Global Precios'!J670*(1-I670)*(1+'Global Precios'!K670)&gt;1000,MROUND('Global Precios'!J670*(1-I670)*(1+'Global Precios'!K670),100),MROUND('Global Precios'!J670*(1-I670)*(1+'Global Precios'!K670),10))</f>
        <v>11400</v>
      </c>
      <c r="M670" s="50">
        <v>100.0</v>
      </c>
      <c r="N670" s="50" t="s">
        <v>4431</v>
      </c>
      <c r="O670" s="21"/>
      <c r="P670" s="130">
        <v>46082.0</v>
      </c>
      <c r="Q670" s="21">
        <f t="shared" si="30"/>
        <v>30</v>
      </c>
      <c r="R670" s="21"/>
      <c r="S670" s="21"/>
      <c r="T670" s="41" t="str">
        <f>IFERROR(VLOOKUP(A670,BUSCARV!$A$1:$C$500,3,0),"")</f>
        <v/>
      </c>
      <c r="U670" s="42"/>
      <c r="V670" s="42" t="str">
        <f t="shared" si="3"/>
        <v/>
      </c>
      <c r="W670" s="44" t="str">
        <f t="shared" si="35"/>
        <v/>
      </c>
      <c r="X670" s="44"/>
      <c r="Y670" s="44">
        <f>IFERROR(VLOOKUP(A670,'BuscarV Stock'!$A$1:$C$422,3,0),0)</f>
        <v>0</v>
      </c>
      <c r="Z670" s="46" t="s">
        <v>449</v>
      </c>
      <c r="AA670" s="131"/>
    </row>
    <row r="671">
      <c r="A671" s="125" t="s">
        <v>4831</v>
      </c>
      <c r="B671" s="21"/>
      <c r="C671" s="19" t="s">
        <v>3</v>
      </c>
      <c r="D671" s="50" t="s">
        <v>2532</v>
      </c>
      <c r="E671" s="50" t="s">
        <v>4471</v>
      </c>
      <c r="F671" s="50" t="s">
        <v>2308</v>
      </c>
      <c r="G671" s="50" t="s">
        <v>2325</v>
      </c>
      <c r="H671" s="31">
        <f t="shared" si="29"/>
        <v>6446.280992</v>
      </c>
      <c r="I671" s="21"/>
      <c r="J671" s="50">
        <v>7800.0</v>
      </c>
      <c r="K671" s="21"/>
      <c r="L671" s="123">
        <f>IF('Global Precios'!J671*(1-I671)*(1+'Global Precios'!K671)&gt;1000,MROUND('Global Precios'!J671*(1-I671)*(1+'Global Precios'!K671),100),MROUND('Global Precios'!J671*(1-I671)*(1+'Global Precios'!K671),10))</f>
        <v>7800</v>
      </c>
      <c r="M671" s="50">
        <v>80.0</v>
      </c>
      <c r="N671" s="50" t="s">
        <v>4431</v>
      </c>
      <c r="O671" s="21"/>
      <c r="P671" s="130">
        <v>46082.0</v>
      </c>
      <c r="Q671" s="21">
        <f t="shared" si="30"/>
        <v>27</v>
      </c>
      <c r="R671" s="21"/>
      <c r="S671" s="21"/>
      <c r="T671" s="41" t="str">
        <f>IFERROR(VLOOKUP(A671,BUSCARV!$A$1:$C$500,3,0),"")</f>
        <v/>
      </c>
      <c r="U671" s="42"/>
      <c r="V671" s="42" t="str">
        <f t="shared" si="3"/>
        <v/>
      </c>
      <c r="W671" s="44" t="str">
        <f t="shared" si="35"/>
        <v/>
      </c>
      <c r="X671" s="44"/>
      <c r="Y671" s="44">
        <f>IFERROR(VLOOKUP(A671,'BuscarV Stock'!$A$1:$C$422,3,0),0)</f>
        <v>0</v>
      </c>
      <c r="Z671" s="46" t="s">
        <v>449</v>
      </c>
      <c r="AA671" s="131"/>
    </row>
    <row r="672">
      <c r="A672" s="125" t="s">
        <v>4832</v>
      </c>
      <c r="B672" s="21"/>
      <c r="C672" s="19" t="s">
        <v>3</v>
      </c>
      <c r="D672" s="50" t="s">
        <v>3499</v>
      </c>
      <c r="E672" s="50" t="s">
        <v>4810</v>
      </c>
      <c r="F672" s="50" t="s">
        <v>2308</v>
      </c>
      <c r="G672" s="50" t="s">
        <v>2341</v>
      </c>
      <c r="H672" s="31">
        <f t="shared" si="29"/>
        <v>4628.099174</v>
      </c>
      <c r="I672" s="21"/>
      <c r="J672" s="50">
        <v>5600.0</v>
      </c>
      <c r="K672" s="21"/>
      <c r="L672" s="123">
        <f>IF('Global Precios'!J672*(1-I672)*(1+'Global Precios'!K672)&gt;1000,MROUND('Global Precios'!J672*(1-I672)*(1+'Global Precios'!K672),100),MROUND('Global Precios'!J672*(1-I672)*(1+'Global Precios'!K672),10))</f>
        <v>5600</v>
      </c>
      <c r="M672" s="50">
        <v>100.0</v>
      </c>
      <c r="N672" s="50" t="s">
        <v>2496</v>
      </c>
      <c r="O672" s="21"/>
      <c r="P672" s="130">
        <v>46082.0</v>
      </c>
      <c r="Q672" s="21">
        <f t="shared" si="30"/>
        <v>29</v>
      </c>
      <c r="R672" s="21"/>
      <c r="S672" s="21"/>
      <c r="T672" s="41" t="str">
        <f>IFERROR(VLOOKUP(A672,BUSCARV!$A$1:$C$500,3,0),"")</f>
        <v/>
      </c>
      <c r="U672" s="42"/>
      <c r="V672" s="42" t="str">
        <f t="shared" si="3"/>
        <v/>
      </c>
      <c r="W672" s="44" t="str">
        <f t="shared" si="35"/>
        <v/>
      </c>
      <c r="X672" s="44"/>
      <c r="Y672" s="44">
        <f>IFERROR(VLOOKUP(A672,'BuscarV Stock'!$A$1:$C$422,3,0),0)</f>
        <v>0</v>
      </c>
      <c r="Z672" s="46" t="s">
        <v>449</v>
      </c>
      <c r="AA672" s="131"/>
    </row>
    <row r="673">
      <c r="A673" s="125" t="s">
        <v>4833</v>
      </c>
      <c r="B673" s="21"/>
      <c r="C673" s="19" t="s">
        <v>3</v>
      </c>
      <c r="D673" s="50" t="s">
        <v>4834</v>
      </c>
      <c r="E673" s="50" t="s">
        <v>4443</v>
      </c>
      <c r="F673" s="50" t="s">
        <v>1795</v>
      </c>
      <c r="G673" s="50" t="s">
        <v>2316</v>
      </c>
      <c r="H673" s="31">
        <f t="shared" si="29"/>
        <v>14568.59504</v>
      </c>
      <c r="I673" s="21"/>
      <c r="J673" s="50">
        <v>17628.0</v>
      </c>
      <c r="K673" s="21"/>
      <c r="L673" s="123">
        <f>IF('Global Precios'!J673*(1-I673)*(1+'Global Precios'!K673)&gt;1000,MROUND('Global Precios'!J673*(1-I673)*(1+'Global Precios'!K673),100),MROUND('Global Precios'!J673*(1-I673)*(1+'Global Precios'!K673),10))</f>
        <v>17600</v>
      </c>
      <c r="M673" s="50">
        <v>1.0</v>
      </c>
      <c r="N673" s="50" t="s">
        <v>1823</v>
      </c>
      <c r="O673" s="21"/>
      <c r="P673" s="130">
        <v>46082.0</v>
      </c>
      <c r="Q673" s="21">
        <f t="shared" si="30"/>
        <v>36</v>
      </c>
      <c r="R673" s="21"/>
      <c r="S673" s="21"/>
      <c r="T673" s="41" t="str">
        <f>IFERROR(VLOOKUP(A673,BUSCARV!$A$1:$C$500,3,0),"")</f>
        <v/>
      </c>
      <c r="U673" s="42"/>
      <c r="V673" s="42" t="str">
        <f t="shared" si="3"/>
        <v/>
      </c>
      <c r="W673" s="44" t="str">
        <f t="shared" si="35"/>
        <v/>
      </c>
      <c r="X673" s="44"/>
      <c r="Y673" s="44">
        <f>IFERROR(VLOOKUP(A673,'BuscarV Stock'!$A$1:$C$422,3,0),0)</f>
        <v>0</v>
      </c>
      <c r="Z673" s="46" t="s">
        <v>449</v>
      </c>
      <c r="AA673" s="131"/>
    </row>
    <row r="674">
      <c r="A674" s="125" t="s">
        <v>4835</v>
      </c>
      <c r="B674" s="21"/>
      <c r="C674" s="19" t="s">
        <v>3</v>
      </c>
      <c r="D674" s="50" t="s">
        <v>4836</v>
      </c>
      <c r="E674" s="50" t="s">
        <v>4448</v>
      </c>
      <c r="F674" s="50" t="s">
        <v>2308</v>
      </c>
      <c r="G674" s="50" t="s">
        <v>2346</v>
      </c>
      <c r="H674" s="31">
        <f t="shared" si="29"/>
        <v>4462.809917</v>
      </c>
      <c r="I674" s="21"/>
      <c r="J674" s="50">
        <v>5400.0</v>
      </c>
      <c r="K674" s="21"/>
      <c r="L674" s="123">
        <f>IF('Global Precios'!J674*(1-I674)*(1+'Global Precios'!K674)&gt;1000,MROUND('Global Precios'!J674*(1-I674)*(1+'Global Precios'!K674),100),MROUND('Global Precios'!J674*(1-I674)*(1+'Global Precios'!K674),10))</f>
        <v>5400</v>
      </c>
      <c r="M674" s="50">
        <v>10.0</v>
      </c>
      <c r="N674" s="50" t="s">
        <v>4383</v>
      </c>
      <c r="O674" s="21"/>
      <c r="P674" s="130">
        <v>46174.0</v>
      </c>
      <c r="Q674" s="21">
        <f t="shared" si="30"/>
        <v>42</v>
      </c>
      <c r="R674" s="21"/>
      <c r="S674" s="21"/>
      <c r="T674" s="41" t="str">
        <f>IFERROR(VLOOKUP(A674,BUSCARV!$A$1:$C$500,3,0),"")</f>
        <v/>
      </c>
      <c r="U674" s="42"/>
      <c r="V674" s="42" t="str">
        <f t="shared" si="3"/>
        <v/>
      </c>
      <c r="W674" s="44" t="str">
        <f t="shared" si="35"/>
        <v/>
      </c>
      <c r="X674" s="44"/>
      <c r="Y674" s="44">
        <f>IFERROR(VLOOKUP(A674,'BuscarV Stock'!$A$1:$C$422,3,0),0)</f>
        <v>0</v>
      </c>
      <c r="Z674" s="46" t="s">
        <v>449</v>
      </c>
      <c r="AA674" s="131"/>
    </row>
    <row r="675">
      <c r="A675" s="125" t="s">
        <v>4837</v>
      </c>
      <c r="B675" s="21"/>
      <c r="C675" s="19" t="s">
        <v>3</v>
      </c>
      <c r="D675" s="50" t="s">
        <v>2314</v>
      </c>
      <c r="E675" s="50" t="s">
        <v>4457</v>
      </c>
      <c r="F675" s="50" t="s">
        <v>2308</v>
      </c>
      <c r="G675" s="50" t="s">
        <v>2351</v>
      </c>
      <c r="H675" s="31">
        <f t="shared" si="29"/>
        <v>8351.239669</v>
      </c>
      <c r="I675" s="21"/>
      <c r="J675" s="50">
        <v>10105.0</v>
      </c>
      <c r="K675" s="21"/>
      <c r="L675" s="123">
        <f>IF('Global Precios'!J675*(1-I675)*(1+'Global Precios'!K675)&gt;1000,MROUND('Global Precios'!J675*(1-I675)*(1+'Global Precios'!K675),100),MROUND('Global Precios'!J675*(1-I675)*(1+'Global Precios'!K675),10))</f>
        <v>10100</v>
      </c>
      <c r="M675" s="50">
        <v>10.0</v>
      </c>
      <c r="N675" s="50" t="s">
        <v>2496</v>
      </c>
      <c r="O675" s="21"/>
      <c r="P675" s="130">
        <v>46174.0</v>
      </c>
      <c r="Q675" s="21">
        <f t="shared" si="30"/>
        <v>16</v>
      </c>
      <c r="R675" s="21"/>
      <c r="S675" s="21"/>
      <c r="T675" s="41" t="str">
        <f>IFERROR(VLOOKUP(A675,BUSCARV!$A$1:$C$500,3,0),"")</f>
        <v/>
      </c>
      <c r="U675" s="42"/>
      <c r="V675" s="42" t="str">
        <f t="shared" si="3"/>
        <v/>
      </c>
      <c r="W675" s="44" t="str">
        <f t="shared" si="35"/>
        <v/>
      </c>
      <c r="X675" s="44"/>
      <c r="Y675" s="44">
        <f>IFERROR(VLOOKUP(A675,'BuscarV Stock'!$A$1:$C$422,3,0),0)</f>
        <v>0</v>
      </c>
      <c r="Z675" s="46" t="s">
        <v>449</v>
      </c>
      <c r="AA675" s="131"/>
    </row>
    <row r="676">
      <c r="A676" s="125" t="s">
        <v>4838</v>
      </c>
      <c r="B676" s="21"/>
      <c r="C676" s="19" t="s">
        <v>3</v>
      </c>
      <c r="D676" s="50" t="s">
        <v>4839</v>
      </c>
      <c r="E676" s="50" t="s">
        <v>4738</v>
      </c>
      <c r="F676" s="50" t="s">
        <v>1795</v>
      </c>
      <c r="G676" s="50" t="s">
        <v>2316</v>
      </c>
      <c r="H676" s="31">
        <f t="shared" si="29"/>
        <v>5867.768595</v>
      </c>
      <c r="I676" s="21"/>
      <c r="J676" s="50">
        <v>7100.0</v>
      </c>
      <c r="K676" s="21"/>
      <c r="L676" s="123">
        <f>IF('Global Precios'!J676*(1-I676)*(1+'Global Precios'!K676)&gt;1000,MROUND('Global Precios'!J676*(1-I676)*(1+'Global Precios'!K676),100),MROUND('Global Precios'!J676*(1-I676)*(1+'Global Precios'!K676),10))</f>
        <v>7100</v>
      </c>
      <c r="M676" s="50">
        <v>1.0</v>
      </c>
      <c r="N676" s="50" t="s">
        <v>1823</v>
      </c>
      <c r="O676" s="21"/>
      <c r="P676" s="130">
        <v>46174.0</v>
      </c>
      <c r="Q676" s="21">
        <f t="shared" si="30"/>
        <v>32</v>
      </c>
      <c r="R676" s="21"/>
      <c r="S676" s="21"/>
      <c r="T676" s="41" t="str">
        <f>IFERROR(VLOOKUP(A676,BUSCARV!$A$1:$C$500,3,0),"")</f>
        <v/>
      </c>
      <c r="U676" s="42"/>
      <c r="V676" s="42" t="str">
        <f t="shared" si="3"/>
        <v/>
      </c>
      <c r="W676" s="44" t="str">
        <f t="shared" si="35"/>
        <v/>
      </c>
      <c r="X676" s="44"/>
      <c r="Y676" s="44">
        <f>IFERROR(VLOOKUP(A676,'BuscarV Stock'!$A$1:$C$422,3,0),0)</f>
        <v>0</v>
      </c>
      <c r="Z676" s="46" t="s">
        <v>449</v>
      </c>
      <c r="AA676" s="131"/>
    </row>
    <row r="677">
      <c r="A677" s="125" t="s">
        <v>4840</v>
      </c>
      <c r="B677" s="21"/>
      <c r="C677" s="19" t="s">
        <v>3</v>
      </c>
      <c r="D677" s="50" t="s">
        <v>4841</v>
      </c>
      <c r="E677" s="50" t="s">
        <v>4738</v>
      </c>
      <c r="F677" s="50" t="s">
        <v>1795</v>
      </c>
      <c r="G677" s="50" t="s">
        <v>2316</v>
      </c>
      <c r="H677" s="31">
        <f t="shared" si="29"/>
        <v>5371.900826</v>
      </c>
      <c r="I677" s="21"/>
      <c r="J677" s="50">
        <v>6500.0</v>
      </c>
      <c r="K677" s="21"/>
      <c r="L677" s="123">
        <f>IF('Global Precios'!J677*(1-I677)*(1+'Global Precios'!K677)&gt;1000,MROUND('Global Precios'!J677*(1-I677)*(1+'Global Precios'!K677),100),MROUND('Global Precios'!J677*(1-I677)*(1+'Global Precios'!K677),10))</f>
        <v>6500</v>
      </c>
      <c r="M677" s="50">
        <v>1.0</v>
      </c>
      <c r="N677" s="50" t="s">
        <v>1823</v>
      </c>
      <c r="O677" s="21"/>
      <c r="P677" s="130">
        <v>46174.0</v>
      </c>
      <c r="Q677" s="21">
        <f t="shared" si="30"/>
        <v>33</v>
      </c>
      <c r="R677" s="21"/>
      <c r="S677" s="21"/>
      <c r="T677" s="41" t="str">
        <f>IFERROR(VLOOKUP(A677,BUSCARV!$A$1:$C$500,3,0),"")</f>
        <v/>
      </c>
      <c r="U677" s="42"/>
      <c r="V677" s="42" t="str">
        <f t="shared" si="3"/>
        <v/>
      </c>
      <c r="W677" s="44" t="str">
        <f t="shared" si="35"/>
        <v/>
      </c>
      <c r="X677" s="44"/>
      <c r="Y677" s="44">
        <f>IFERROR(VLOOKUP(A677,'BuscarV Stock'!$A$1:$C$422,3,0),0)</f>
        <v>0</v>
      </c>
      <c r="Z677" s="46" t="s">
        <v>449</v>
      </c>
      <c r="AA677" s="131"/>
    </row>
    <row r="678">
      <c r="A678" s="125" t="s">
        <v>4842</v>
      </c>
      <c r="B678" s="21"/>
      <c r="C678" s="19" t="s">
        <v>3</v>
      </c>
      <c r="D678" s="50" t="s">
        <v>4843</v>
      </c>
      <c r="E678" s="50" t="s">
        <v>4574</v>
      </c>
      <c r="F678" s="50" t="s">
        <v>1795</v>
      </c>
      <c r="G678" s="50" t="s">
        <v>2321</v>
      </c>
      <c r="H678" s="31">
        <f t="shared" si="29"/>
        <v>3305.785124</v>
      </c>
      <c r="I678" s="21"/>
      <c r="J678" s="50">
        <v>4000.0</v>
      </c>
      <c r="K678" s="21"/>
      <c r="L678" s="123">
        <f>IF('Global Precios'!J678*(1-I678)*(1+'Global Precios'!K678)&gt;1000,MROUND('Global Precios'!J678*(1-I678)*(1+'Global Precios'!K678),100),MROUND('Global Precios'!J678*(1-I678)*(1+'Global Precios'!K678),10))</f>
        <v>4000</v>
      </c>
      <c r="M678" s="50">
        <v>1.0</v>
      </c>
      <c r="N678" s="50" t="s">
        <v>1823</v>
      </c>
      <c r="O678" s="21"/>
      <c r="P678" s="130">
        <v>46174.0</v>
      </c>
      <c r="Q678" s="21">
        <f t="shared" si="30"/>
        <v>33</v>
      </c>
      <c r="R678" s="21"/>
      <c r="S678" s="21"/>
      <c r="T678" s="41" t="str">
        <f>IFERROR(VLOOKUP(A678,BUSCARV!$A$1:$C$500,3,0),"")</f>
        <v/>
      </c>
      <c r="U678" s="42"/>
      <c r="V678" s="42" t="str">
        <f t="shared" si="3"/>
        <v/>
      </c>
      <c r="W678" s="44" t="str">
        <f t="shared" si="35"/>
        <v/>
      </c>
      <c r="X678" s="44"/>
      <c r="Y678" s="44">
        <f>IFERROR(VLOOKUP(A678,'BuscarV Stock'!$A$1:$C$422,3,0),0)</f>
        <v>0</v>
      </c>
      <c r="Z678" s="46" t="s">
        <v>449</v>
      </c>
      <c r="AA678" s="131"/>
    </row>
    <row r="679">
      <c r="A679" s="133" t="s">
        <v>4844</v>
      </c>
      <c r="B679" s="21"/>
      <c r="C679" s="21"/>
      <c r="D679" s="50" t="s">
        <v>4845</v>
      </c>
      <c r="E679" s="50" t="s">
        <v>4846</v>
      </c>
      <c r="F679" s="50" t="s">
        <v>2308</v>
      </c>
      <c r="G679" s="50" t="s">
        <v>2346</v>
      </c>
      <c r="H679" s="31">
        <f t="shared" si="29"/>
        <v>5123.966942</v>
      </c>
      <c r="I679" s="21"/>
      <c r="J679" s="50">
        <v>6200.0</v>
      </c>
      <c r="K679" s="21"/>
      <c r="L679" s="123">
        <f>IF('Global Precios'!J679*(1-I679)*(1+'Global Precios'!K679)&gt;1000,MROUND('Global Precios'!J679*(1-I679)*(1+'Global Precios'!K679),100),MROUND('Global Precios'!J679*(1-I679)*(1+'Global Precios'!K679),10))</f>
        <v>6200</v>
      </c>
      <c r="M679" s="50">
        <v>10.0</v>
      </c>
      <c r="N679" s="50" t="s">
        <v>4383</v>
      </c>
      <c r="O679" s="21"/>
      <c r="P679" s="130">
        <v>46204.0</v>
      </c>
      <c r="Q679" s="21">
        <f t="shared" si="30"/>
        <v>41</v>
      </c>
      <c r="R679" s="21"/>
      <c r="S679" s="21"/>
      <c r="T679" s="41" t="str">
        <f>IFERROR(VLOOKUP(A679,BUSCARV!$A$1:$C$500,3,0),"")</f>
        <v/>
      </c>
      <c r="U679" s="42"/>
      <c r="V679" s="42" t="str">
        <f t="shared" si="3"/>
        <v/>
      </c>
      <c r="W679" s="44" t="str">
        <f t="shared" si="35"/>
        <v/>
      </c>
      <c r="X679" s="44"/>
      <c r="Y679" s="44">
        <f>IFERROR(VLOOKUP(A679,'BuscarV Stock'!$A$1:$C$422,3,0),0)</f>
        <v>0</v>
      </c>
      <c r="Z679" s="46" t="s">
        <v>449</v>
      </c>
      <c r="AA679" s="131"/>
    </row>
    <row r="680">
      <c r="A680" s="133" t="s">
        <v>4847</v>
      </c>
      <c r="B680" s="21"/>
      <c r="C680" s="21"/>
      <c r="D680" s="50" t="s">
        <v>4848</v>
      </c>
      <c r="E680" s="50" t="s">
        <v>4574</v>
      </c>
      <c r="F680" s="50" t="s">
        <v>1795</v>
      </c>
      <c r="G680" s="50" t="s">
        <v>2316</v>
      </c>
      <c r="H680" s="31">
        <f t="shared" si="29"/>
        <v>4256.198347</v>
      </c>
      <c r="I680" s="21"/>
      <c r="J680" s="50">
        <v>5150.0</v>
      </c>
      <c r="K680" s="21"/>
      <c r="L680" s="123">
        <f>IF('Global Precios'!J680*(1-I680)*(1+'Global Precios'!K680)&gt;1000,MROUND('Global Precios'!J680*(1-I680)*(1+'Global Precios'!K680),100),MROUND('Global Precios'!J680*(1-I680)*(1+'Global Precios'!K680),10))</f>
        <v>5200</v>
      </c>
      <c r="M680" s="50">
        <v>3.0</v>
      </c>
      <c r="N680" s="50" t="s">
        <v>1823</v>
      </c>
      <c r="O680" s="21"/>
      <c r="P680" s="130">
        <v>46204.0</v>
      </c>
      <c r="Q680" s="21">
        <f t="shared" si="30"/>
        <v>18</v>
      </c>
      <c r="R680" s="21"/>
      <c r="S680" s="21"/>
      <c r="T680" s="41" t="str">
        <f>IFERROR(VLOOKUP(A680,BUSCARV!$A$1:$C$500,3,0),"")</f>
        <v/>
      </c>
      <c r="U680" s="42"/>
      <c r="V680" s="42" t="str">
        <f t="shared" si="3"/>
        <v/>
      </c>
      <c r="W680" s="44" t="str">
        <f t="shared" si="35"/>
        <v/>
      </c>
      <c r="X680" s="44"/>
      <c r="Y680" s="44">
        <f>IFERROR(VLOOKUP(A680,'BuscarV Stock'!$A$1:$C$422,3,0),0)</f>
        <v>0</v>
      </c>
      <c r="Z680" s="46" t="s">
        <v>449</v>
      </c>
      <c r="AA680" s="131"/>
    </row>
    <row r="681">
      <c r="A681" s="133" t="s">
        <v>4849</v>
      </c>
      <c r="B681" s="21"/>
      <c r="C681" s="21"/>
      <c r="D681" s="50" t="s">
        <v>4850</v>
      </c>
      <c r="E681" s="50" t="s">
        <v>4574</v>
      </c>
      <c r="F681" s="50" t="s">
        <v>1795</v>
      </c>
      <c r="G681" s="50" t="s">
        <v>2316</v>
      </c>
      <c r="H681" s="31">
        <f t="shared" si="29"/>
        <v>4710.743802</v>
      </c>
      <c r="I681" s="21"/>
      <c r="J681" s="50">
        <v>5700.0</v>
      </c>
      <c r="K681" s="21"/>
      <c r="L681" s="123">
        <f>IF('Global Precios'!J681*(1-I681)*(1+'Global Precios'!K681)&gt;1000,MROUND('Global Precios'!J681*(1-I681)*(1+'Global Precios'!K681),100),MROUND('Global Precios'!J681*(1-I681)*(1+'Global Precios'!K681),10))</f>
        <v>5700</v>
      </c>
      <c r="M681" s="50">
        <v>3.0</v>
      </c>
      <c r="N681" s="50" t="s">
        <v>1823</v>
      </c>
      <c r="O681" s="21"/>
      <c r="P681" s="130">
        <v>46204.0</v>
      </c>
      <c r="Q681" s="21">
        <f t="shared" si="30"/>
        <v>18</v>
      </c>
      <c r="R681" s="21"/>
      <c r="S681" s="21"/>
      <c r="T681" s="41" t="str">
        <f>IFERROR(VLOOKUP(A681,BUSCARV!$A$1:$C$500,3,0),"")</f>
        <v/>
      </c>
      <c r="U681" s="42"/>
      <c r="V681" s="42" t="str">
        <f t="shared" si="3"/>
        <v/>
      </c>
      <c r="W681" s="44" t="str">
        <f t="shared" si="35"/>
        <v/>
      </c>
      <c r="X681" s="44"/>
      <c r="Y681" s="44">
        <f>IFERROR(VLOOKUP(A681,'BuscarV Stock'!$A$1:$C$422,3,0),0)</f>
        <v>0</v>
      </c>
      <c r="Z681" s="46" t="s">
        <v>449</v>
      </c>
      <c r="AA681" s="131"/>
    </row>
    <row r="682">
      <c r="A682" s="133" t="s">
        <v>4851</v>
      </c>
      <c r="B682" s="21"/>
      <c r="C682" s="21"/>
      <c r="D682" s="50" t="s">
        <v>4852</v>
      </c>
      <c r="E682" s="50" t="s">
        <v>4853</v>
      </c>
      <c r="F682" s="50" t="s">
        <v>2308</v>
      </c>
      <c r="G682" s="50" t="s">
        <v>2378</v>
      </c>
      <c r="H682" s="31">
        <f t="shared" si="29"/>
        <v>10165.28926</v>
      </c>
      <c r="I682" s="21"/>
      <c r="J682" s="50">
        <v>12300.0</v>
      </c>
      <c r="K682" s="21"/>
      <c r="L682" s="123">
        <f>IF('Global Precios'!J682*(1-I682)*(1+'Global Precios'!K682)&gt;1000,MROUND('Global Precios'!J682*(1-I682)*(1+'Global Precios'!K682),100),MROUND('Global Precios'!J682*(1-I682)*(1+'Global Precios'!K682),10))</f>
        <v>12300</v>
      </c>
      <c r="M682" s="50">
        <v>10.0</v>
      </c>
      <c r="N682" s="50" t="s">
        <v>4383</v>
      </c>
      <c r="O682" s="21"/>
      <c r="P682" s="130">
        <v>46204.0</v>
      </c>
      <c r="Q682" s="21">
        <f t="shared" si="30"/>
        <v>31</v>
      </c>
      <c r="R682" s="21"/>
      <c r="S682" s="21"/>
      <c r="T682" s="41" t="str">
        <f>IFERROR(VLOOKUP(A682,BUSCARV!$A$1:$C$500,3,0),"")</f>
        <v/>
      </c>
      <c r="U682" s="42"/>
      <c r="V682" s="42" t="str">
        <f t="shared" si="3"/>
        <v/>
      </c>
      <c r="W682" s="44" t="str">
        <f t="shared" si="35"/>
        <v/>
      </c>
      <c r="X682" s="44"/>
      <c r="Y682" s="44">
        <f>IFERROR(VLOOKUP(A682,'BuscarV Stock'!$A$1:$C$422,3,0),0)</f>
        <v>0</v>
      </c>
      <c r="Z682" s="46" t="s">
        <v>449</v>
      </c>
      <c r="AA682" s="131"/>
    </row>
    <row r="683">
      <c r="A683" s="21"/>
      <c r="B683" s="21"/>
      <c r="C683" s="21"/>
      <c r="D683" s="21"/>
      <c r="E683" s="21"/>
      <c r="F683" s="21"/>
      <c r="G683" s="21"/>
      <c r="H683" s="31" t="str">
        <f t="shared" si="29"/>
        <v/>
      </c>
      <c r="I683" s="21"/>
      <c r="J683" s="21"/>
      <c r="K683" s="21"/>
      <c r="L683" s="123"/>
      <c r="M683" s="21"/>
      <c r="N683" s="21"/>
      <c r="O683" s="21"/>
      <c r="P683" s="21"/>
      <c r="Q683" s="21"/>
      <c r="R683" s="21"/>
      <c r="S683" s="21"/>
      <c r="T683" s="41" t="str">
        <f>IFERROR(VLOOKUP(D683,BUSCARV!$A$1:$C$5524,2,0),"")</f>
        <v/>
      </c>
      <c r="U683" s="42"/>
      <c r="V683" s="42" t="str">
        <f t="shared" si="3"/>
        <v/>
      </c>
      <c r="W683" s="44" t="str">
        <f t="shared" ref="W683:W991" si="36">IF(V683="","", IFERROR((V683-J683)/J683,""))</f>
        <v/>
      </c>
      <c r="X683" s="44"/>
      <c r="Y683" s="44"/>
      <c r="Z683" s="131"/>
      <c r="AA683" s="131"/>
    </row>
    <row r="684">
      <c r="A684" s="21"/>
      <c r="B684" s="21"/>
      <c r="C684" s="21"/>
      <c r="D684" s="21"/>
      <c r="E684" s="21"/>
      <c r="F684" s="21"/>
      <c r="G684" s="21"/>
      <c r="H684" s="31" t="str">
        <f t="shared" si="29"/>
        <v/>
      </c>
      <c r="I684" s="21"/>
      <c r="J684" s="21"/>
      <c r="K684" s="21"/>
      <c r="L684" s="123"/>
      <c r="M684" s="21"/>
      <c r="N684" s="21"/>
      <c r="O684" s="21"/>
      <c r="P684" s="21"/>
      <c r="Q684" s="21"/>
      <c r="R684" s="21"/>
      <c r="S684" s="21"/>
      <c r="T684" s="41" t="str">
        <f>IFERROR(VLOOKUP(D684,BUSCARV!$A$1:$C$5524,2,0),"")</f>
        <v/>
      </c>
      <c r="U684" s="42"/>
      <c r="V684" s="42" t="str">
        <f t="shared" si="3"/>
        <v/>
      </c>
      <c r="W684" s="44" t="str">
        <f t="shared" si="36"/>
        <v/>
      </c>
      <c r="X684" s="44"/>
      <c r="Y684" s="44"/>
      <c r="Z684" s="131"/>
      <c r="AA684" s="131"/>
    </row>
    <row r="685">
      <c r="A685" s="21"/>
      <c r="B685" s="21"/>
      <c r="C685" s="21"/>
      <c r="D685" s="21"/>
      <c r="E685" s="21"/>
      <c r="F685" s="21"/>
      <c r="G685" s="21"/>
      <c r="H685" s="31" t="str">
        <f t="shared" si="29"/>
        <v/>
      </c>
      <c r="I685" s="21"/>
      <c r="J685" s="21"/>
      <c r="K685" s="21"/>
      <c r="L685" s="123"/>
      <c r="M685" s="21"/>
      <c r="N685" s="21"/>
      <c r="O685" s="21"/>
      <c r="P685" s="21"/>
      <c r="Q685" s="21"/>
      <c r="R685" s="21"/>
      <c r="S685" s="21"/>
      <c r="T685" s="41" t="str">
        <f>IFERROR(VLOOKUP(D685,BUSCARV!$A$1:$C$5524,2,0),"")</f>
        <v/>
      </c>
      <c r="U685" s="42"/>
      <c r="V685" s="42" t="str">
        <f t="shared" si="3"/>
        <v/>
      </c>
      <c r="W685" s="44" t="str">
        <f t="shared" si="36"/>
        <v/>
      </c>
      <c r="X685" s="44"/>
      <c r="Y685" s="44"/>
      <c r="Z685" s="131"/>
      <c r="AA685" s="131"/>
    </row>
    <row r="686">
      <c r="A686" s="21"/>
      <c r="B686" s="21"/>
      <c r="C686" s="21"/>
      <c r="D686" s="21"/>
      <c r="E686" s="21"/>
      <c r="F686" s="21"/>
      <c r="G686" s="21"/>
      <c r="H686" s="31" t="str">
        <f t="shared" si="29"/>
        <v/>
      </c>
      <c r="I686" s="21"/>
      <c r="J686" s="21"/>
      <c r="K686" s="21"/>
      <c r="L686" s="123"/>
      <c r="M686" s="21"/>
      <c r="N686" s="21"/>
      <c r="O686" s="21"/>
      <c r="P686" s="21"/>
      <c r="Q686" s="21"/>
      <c r="R686" s="21"/>
      <c r="S686" s="21"/>
      <c r="T686" s="41" t="str">
        <f>IFERROR(VLOOKUP(D686,BUSCARV!$A$1:$C$5524,2,0),"")</f>
        <v/>
      </c>
      <c r="U686" s="42"/>
      <c r="V686" s="42" t="str">
        <f t="shared" si="3"/>
        <v/>
      </c>
      <c r="W686" s="44" t="str">
        <f t="shared" si="36"/>
        <v/>
      </c>
      <c r="X686" s="44"/>
      <c r="Y686" s="44"/>
      <c r="Z686" s="131"/>
      <c r="AA686" s="131"/>
    </row>
    <row r="687">
      <c r="A687" s="21"/>
      <c r="B687" s="21"/>
      <c r="C687" s="21"/>
      <c r="D687" s="21"/>
      <c r="E687" s="21"/>
      <c r="F687" s="21"/>
      <c r="G687" s="21"/>
      <c r="H687" s="31" t="str">
        <f t="shared" si="29"/>
        <v/>
      </c>
      <c r="I687" s="21"/>
      <c r="J687" s="21"/>
      <c r="K687" s="21"/>
      <c r="L687" s="123"/>
      <c r="M687" s="21"/>
      <c r="N687" s="21"/>
      <c r="O687" s="21"/>
      <c r="P687" s="21"/>
      <c r="Q687" s="21"/>
      <c r="R687" s="21"/>
      <c r="S687" s="21"/>
      <c r="T687" s="41" t="str">
        <f>IFERROR(VLOOKUP(D687,BUSCARV!$A$1:$C$5524,2,0),"")</f>
        <v/>
      </c>
      <c r="U687" s="42"/>
      <c r="V687" s="42" t="str">
        <f t="shared" si="3"/>
        <v/>
      </c>
      <c r="W687" s="44" t="str">
        <f t="shared" si="36"/>
        <v/>
      </c>
      <c r="X687" s="44"/>
      <c r="Y687" s="44"/>
      <c r="Z687" s="131"/>
      <c r="AA687" s="131"/>
    </row>
    <row r="688">
      <c r="A688" s="21"/>
      <c r="B688" s="21"/>
      <c r="C688" s="21"/>
      <c r="D688" s="21"/>
      <c r="E688" s="21"/>
      <c r="F688" s="21"/>
      <c r="G688" s="21"/>
      <c r="H688" s="31" t="str">
        <f t="shared" si="29"/>
        <v/>
      </c>
      <c r="I688" s="21"/>
      <c r="J688" s="21"/>
      <c r="K688" s="21"/>
      <c r="L688" s="123"/>
      <c r="M688" s="21"/>
      <c r="N688" s="21"/>
      <c r="O688" s="21"/>
      <c r="P688" s="21"/>
      <c r="Q688" s="21"/>
      <c r="R688" s="21"/>
      <c r="S688" s="21"/>
      <c r="T688" s="41" t="str">
        <f>IFERROR(VLOOKUP(D688,BUSCARV!$A$1:$C$5524,2,0),"")</f>
        <v/>
      </c>
      <c r="U688" s="42"/>
      <c r="V688" s="42" t="str">
        <f t="shared" si="3"/>
        <v/>
      </c>
      <c r="W688" s="44" t="str">
        <f t="shared" si="36"/>
        <v/>
      </c>
      <c r="X688" s="44"/>
      <c r="Y688" s="44"/>
      <c r="Z688" s="131"/>
      <c r="AA688" s="131"/>
    </row>
    <row r="689">
      <c r="A689" s="21"/>
      <c r="B689" s="21"/>
      <c r="C689" s="21"/>
      <c r="D689" s="21"/>
      <c r="E689" s="21"/>
      <c r="F689" s="21"/>
      <c r="G689" s="21"/>
      <c r="H689" s="31" t="str">
        <f t="shared" si="29"/>
        <v/>
      </c>
      <c r="I689" s="21"/>
      <c r="J689" s="21"/>
      <c r="K689" s="21"/>
      <c r="L689" s="123"/>
      <c r="M689" s="21"/>
      <c r="N689" s="21"/>
      <c r="O689" s="21"/>
      <c r="P689" s="21"/>
      <c r="Q689" s="21"/>
      <c r="R689" s="21"/>
      <c r="S689" s="21"/>
      <c r="T689" s="41" t="str">
        <f>IFERROR(VLOOKUP(D689,BUSCARV!$A$1:$C$5524,2,0),"")</f>
        <v/>
      </c>
      <c r="U689" s="42"/>
      <c r="V689" s="42" t="str">
        <f t="shared" si="3"/>
        <v/>
      </c>
      <c r="W689" s="44" t="str">
        <f t="shared" si="36"/>
        <v/>
      </c>
      <c r="X689" s="44"/>
      <c r="Y689" s="44"/>
      <c r="Z689" s="131"/>
      <c r="AA689" s="131"/>
    </row>
    <row r="690">
      <c r="A690" s="21"/>
      <c r="B690" s="21"/>
      <c r="C690" s="21"/>
      <c r="D690" s="21"/>
      <c r="E690" s="21"/>
      <c r="F690" s="21"/>
      <c r="G690" s="21"/>
      <c r="H690" s="31" t="str">
        <f t="shared" si="29"/>
        <v/>
      </c>
      <c r="I690" s="21"/>
      <c r="J690" s="21"/>
      <c r="K690" s="21"/>
      <c r="L690" s="123"/>
      <c r="M690" s="21"/>
      <c r="N690" s="21"/>
      <c r="O690" s="21"/>
      <c r="P690" s="21"/>
      <c r="Q690" s="21"/>
      <c r="R690" s="21"/>
      <c r="S690" s="21"/>
      <c r="T690" s="41" t="str">
        <f>IFERROR(VLOOKUP(D690,BUSCARV!$A$1:$C$5524,2,0),"")</f>
        <v/>
      </c>
      <c r="U690" s="42"/>
      <c r="V690" s="42" t="str">
        <f t="shared" si="3"/>
        <v/>
      </c>
      <c r="W690" s="44" t="str">
        <f t="shared" si="36"/>
        <v/>
      </c>
      <c r="X690" s="44"/>
      <c r="Y690" s="44"/>
      <c r="Z690" s="131"/>
      <c r="AA690" s="131"/>
    </row>
    <row r="691">
      <c r="A691" s="21"/>
      <c r="B691" s="21"/>
      <c r="C691" s="21"/>
      <c r="D691" s="21"/>
      <c r="E691" s="21"/>
      <c r="F691" s="21"/>
      <c r="G691" s="21"/>
      <c r="H691" s="31" t="str">
        <f t="shared" si="29"/>
        <v/>
      </c>
      <c r="I691" s="21"/>
      <c r="J691" s="21"/>
      <c r="K691" s="21"/>
      <c r="L691" s="123"/>
      <c r="M691" s="21"/>
      <c r="N691" s="21"/>
      <c r="O691" s="21"/>
      <c r="P691" s="21"/>
      <c r="Q691" s="21"/>
      <c r="R691" s="21"/>
      <c r="S691" s="21"/>
      <c r="T691" s="41" t="str">
        <f>IFERROR(VLOOKUP(D691,BUSCARV!$A$1:$C$5524,2,0),"")</f>
        <v/>
      </c>
      <c r="U691" s="42"/>
      <c r="V691" s="42" t="str">
        <f t="shared" si="3"/>
        <v/>
      </c>
      <c r="W691" s="44" t="str">
        <f t="shared" si="36"/>
        <v/>
      </c>
      <c r="X691" s="44"/>
      <c r="Y691" s="44"/>
      <c r="Z691" s="131"/>
      <c r="AA691" s="131"/>
    </row>
    <row r="692">
      <c r="A692" s="21"/>
      <c r="B692" s="21"/>
      <c r="C692" s="21"/>
      <c r="D692" s="21"/>
      <c r="E692" s="21"/>
      <c r="F692" s="21"/>
      <c r="G692" s="21"/>
      <c r="H692" s="31" t="str">
        <f t="shared" si="29"/>
        <v/>
      </c>
      <c r="I692" s="21"/>
      <c r="J692" s="21"/>
      <c r="K692" s="21"/>
      <c r="L692" s="123"/>
      <c r="M692" s="21"/>
      <c r="N692" s="21"/>
      <c r="O692" s="21"/>
      <c r="P692" s="21"/>
      <c r="Q692" s="21"/>
      <c r="R692" s="21"/>
      <c r="S692" s="21"/>
      <c r="T692" s="41" t="str">
        <f>IFERROR(VLOOKUP(D692,BUSCARV!$A$1:$C$5524,2,0),"")</f>
        <v/>
      </c>
      <c r="U692" s="42"/>
      <c r="V692" s="42" t="str">
        <f t="shared" si="3"/>
        <v/>
      </c>
      <c r="W692" s="44" t="str">
        <f t="shared" si="36"/>
        <v/>
      </c>
      <c r="X692" s="44"/>
      <c r="Y692" s="44"/>
      <c r="Z692" s="131"/>
      <c r="AA692" s="131"/>
    </row>
    <row r="693">
      <c r="A693" s="21"/>
      <c r="B693" s="21"/>
      <c r="C693" s="21"/>
      <c r="D693" s="21"/>
      <c r="E693" s="21"/>
      <c r="F693" s="21"/>
      <c r="G693" s="21"/>
      <c r="H693" s="31" t="str">
        <f t="shared" si="29"/>
        <v/>
      </c>
      <c r="I693" s="21"/>
      <c r="J693" s="21"/>
      <c r="K693" s="21"/>
      <c r="L693" s="123"/>
      <c r="M693" s="21"/>
      <c r="N693" s="21"/>
      <c r="O693" s="21"/>
      <c r="P693" s="21"/>
      <c r="Q693" s="21"/>
      <c r="R693" s="21"/>
      <c r="S693" s="21"/>
      <c r="T693" s="41" t="str">
        <f>IFERROR(VLOOKUP(D693,BUSCARV!$A$1:$C$5524,2,0),"")</f>
        <v/>
      </c>
      <c r="U693" s="42"/>
      <c r="V693" s="42" t="str">
        <f t="shared" si="3"/>
        <v/>
      </c>
      <c r="W693" s="44" t="str">
        <f t="shared" si="36"/>
        <v/>
      </c>
      <c r="X693" s="44"/>
      <c r="Y693" s="44"/>
      <c r="Z693" s="131"/>
      <c r="AA693" s="131"/>
    </row>
    <row r="694">
      <c r="A694" s="21"/>
      <c r="B694" s="21"/>
      <c r="C694" s="21"/>
      <c r="D694" s="21"/>
      <c r="E694" s="21"/>
      <c r="F694" s="21"/>
      <c r="G694" s="21"/>
      <c r="H694" s="31" t="str">
        <f t="shared" si="29"/>
        <v/>
      </c>
      <c r="I694" s="21"/>
      <c r="J694" s="21"/>
      <c r="K694" s="21"/>
      <c r="L694" s="123"/>
      <c r="M694" s="21"/>
      <c r="N694" s="21"/>
      <c r="O694" s="21"/>
      <c r="P694" s="21"/>
      <c r="Q694" s="21"/>
      <c r="R694" s="21"/>
      <c r="S694" s="21"/>
      <c r="T694" s="41" t="str">
        <f>IFERROR(VLOOKUP(D694,BUSCARV!$A$1:$C$5524,2,0),"")</f>
        <v/>
      </c>
      <c r="U694" s="42"/>
      <c r="V694" s="42" t="str">
        <f t="shared" si="3"/>
        <v/>
      </c>
      <c r="W694" s="44" t="str">
        <f t="shared" si="36"/>
        <v/>
      </c>
      <c r="X694" s="44"/>
      <c r="Y694" s="44"/>
      <c r="Z694" s="131"/>
      <c r="AA694" s="131"/>
    </row>
    <row r="695">
      <c r="A695" s="21"/>
      <c r="B695" s="21"/>
      <c r="C695" s="21"/>
      <c r="D695" s="21"/>
      <c r="E695" s="21"/>
      <c r="F695" s="21"/>
      <c r="G695" s="21"/>
      <c r="H695" s="31" t="str">
        <f t="shared" si="29"/>
        <v/>
      </c>
      <c r="I695" s="21"/>
      <c r="J695" s="21"/>
      <c r="K695" s="21"/>
      <c r="L695" s="123"/>
      <c r="M695" s="21"/>
      <c r="N695" s="21"/>
      <c r="O695" s="21"/>
      <c r="P695" s="21"/>
      <c r="Q695" s="21"/>
      <c r="R695" s="21"/>
      <c r="S695" s="21"/>
      <c r="T695" s="41" t="str">
        <f>IFERROR(VLOOKUP(D695,BUSCARV!$A$1:$C$5524,2,0),"")</f>
        <v/>
      </c>
      <c r="U695" s="42"/>
      <c r="V695" s="42" t="str">
        <f t="shared" si="3"/>
        <v/>
      </c>
      <c r="W695" s="44" t="str">
        <f t="shared" si="36"/>
        <v/>
      </c>
      <c r="X695" s="44"/>
      <c r="Y695" s="44"/>
      <c r="Z695" s="131"/>
      <c r="AA695" s="131"/>
    </row>
    <row r="696">
      <c r="A696" s="21"/>
      <c r="B696" s="21"/>
      <c r="C696" s="21"/>
      <c r="D696" s="21"/>
      <c r="E696" s="21"/>
      <c r="F696" s="21"/>
      <c r="G696" s="21"/>
      <c r="H696" s="31" t="str">
        <f t="shared" si="29"/>
        <v/>
      </c>
      <c r="I696" s="21"/>
      <c r="J696" s="21"/>
      <c r="K696" s="21"/>
      <c r="L696" s="123"/>
      <c r="M696" s="21"/>
      <c r="N696" s="21"/>
      <c r="O696" s="21"/>
      <c r="P696" s="21"/>
      <c r="Q696" s="21"/>
      <c r="R696" s="21"/>
      <c r="S696" s="21"/>
      <c r="T696" s="41" t="str">
        <f>IFERROR(VLOOKUP(D696,BUSCARV!$A$1:$C$5524,2,0),"")</f>
        <v/>
      </c>
      <c r="U696" s="42"/>
      <c r="V696" s="42" t="str">
        <f t="shared" si="3"/>
        <v/>
      </c>
      <c r="W696" s="44" t="str">
        <f t="shared" si="36"/>
        <v/>
      </c>
      <c r="X696" s="44"/>
      <c r="Y696" s="44"/>
      <c r="Z696" s="131"/>
      <c r="AA696" s="131"/>
    </row>
    <row r="697">
      <c r="A697" s="21"/>
      <c r="B697" s="21"/>
      <c r="C697" s="21"/>
      <c r="D697" s="21"/>
      <c r="E697" s="21"/>
      <c r="F697" s="21"/>
      <c r="G697" s="21"/>
      <c r="H697" s="31" t="str">
        <f t="shared" si="29"/>
        <v/>
      </c>
      <c r="I697" s="21"/>
      <c r="J697" s="21"/>
      <c r="K697" s="21"/>
      <c r="L697" s="123"/>
      <c r="M697" s="21"/>
      <c r="N697" s="21"/>
      <c r="O697" s="21"/>
      <c r="P697" s="21"/>
      <c r="Q697" s="21"/>
      <c r="R697" s="21"/>
      <c r="S697" s="21"/>
      <c r="T697" s="41" t="str">
        <f>IFERROR(VLOOKUP(D697,BUSCARV!$A$1:$C$5524,2,0),"")</f>
        <v/>
      </c>
      <c r="U697" s="42"/>
      <c r="V697" s="42" t="str">
        <f t="shared" si="3"/>
        <v/>
      </c>
      <c r="W697" s="44" t="str">
        <f t="shared" si="36"/>
        <v/>
      </c>
      <c r="X697" s="44"/>
      <c r="Y697" s="44"/>
      <c r="Z697" s="131"/>
      <c r="AA697" s="131"/>
    </row>
    <row r="698">
      <c r="A698" s="21"/>
      <c r="B698" s="21"/>
      <c r="C698" s="21"/>
      <c r="D698" s="21"/>
      <c r="E698" s="21"/>
      <c r="F698" s="21"/>
      <c r="G698" s="21"/>
      <c r="H698" s="31" t="str">
        <f t="shared" si="29"/>
        <v/>
      </c>
      <c r="I698" s="21"/>
      <c r="J698" s="21"/>
      <c r="K698" s="21"/>
      <c r="L698" s="123"/>
      <c r="M698" s="21"/>
      <c r="N698" s="21"/>
      <c r="O698" s="21"/>
      <c r="P698" s="21"/>
      <c r="Q698" s="21"/>
      <c r="R698" s="21"/>
      <c r="S698" s="21"/>
      <c r="T698" s="41" t="str">
        <f>IFERROR(VLOOKUP(D698,BUSCARV!$A$1:$C$5524,2,0),"")</f>
        <v/>
      </c>
      <c r="U698" s="42"/>
      <c r="V698" s="42" t="str">
        <f t="shared" si="3"/>
        <v/>
      </c>
      <c r="W698" s="44" t="str">
        <f t="shared" si="36"/>
        <v/>
      </c>
      <c r="X698" s="44"/>
      <c r="Y698" s="44"/>
      <c r="Z698" s="131"/>
      <c r="AA698" s="131"/>
    </row>
    <row r="699">
      <c r="A699" s="21"/>
      <c r="B699" s="21"/>
      <c r="C699" s="21"/>
      <c r="D699" s="21"/>
      <c r="E699" s="21"/>
      <c r="F699" s="21"/>
      <c r="G699" s="21"/>
      <c r="H699" s="31" t="str">
        <f t="shared" si="29"/>
        <v/>
      </c>
      <c r="I699" s="21"/>
      <c r="J699" s="21"/>
      <c r="K699" s="21"/>
      <c r="L699" s="123"/>
      <c r="M699" s="21"/>
      <c r="N699" s="21"/>
      <c r="O699" s="21"/>
      <c r="P699" s="21"/>
      <c r="Q699" s="21"/>
      <c r="R699" s="21"/>
      <c r="S699" s="21"/>
      <c r="T699" s="41" t="str">
        <f>IFERROR(VLOOKUP(D699,BUSCARV!$A$1:$C$5524,2,0),"")</f>
        <v/>
      </c>
      <c r="U699" s="42"/>
      <c r="V699" s="42" t="str">
        <f t="shared" si="3"/>
        <v/>
      </c>
      <c r="W699" s="44" t="str">
        <f t="shared" si="36"/>
        <v/>
      </c>
      <c r="X699" s="44"/>
      <c r="Y699" s="44"/>
      <c r="Z699" s="131"/>
      <c r="AA699" s="131"/>
    </row>
    <row r="700">
      <c r="A700" s="21"/>
      <c r="B700" s="21"/>
      <c r="C700" s="21"/>
      <c r="D700" s="21"/>
      <c r="E700" s="21"/>
      <c r="F700" s="21"/>
      <c r="G700" s="21"/>
      <c r="H700" s="31" t="str">
        <f t="shared" si="29"/>
        <v/>
      </c>
      <c r="I700" s="21"/>
      <c r="J700" s="21"/>
      <c r="K700" s="21"/>
      <c r="L700" s="123"/>
      <c r="M700" s="21"/>
      <c r="N700" s="21"/>
      <c r="O700" s="21"/>
      <c r="P700" s="21"/>
      <c r="Q700" s="21"/>
      <c r="R700" s="21"/>
      <c r="S700" s="21"/>
      <c r="T700" s="41" t="str">
        <f>IFERROR(VLOOKUP(D700,BUSCARV!$A$1:$C$5524,2,0),"")</f>
        <v/>
      </c>
      <c r="U700" s="42"/>
      <c r="V700" s="42" t="str">
        <f t="shared" si="3"/>
        <v/>
      </c>
      <c r="W700" s="44" t="str">
        <f t="shared" si="36"/>
        <v/>
      </c>
      <c r="X700" s="44"/>
      <c r="Y700" s="44"/>
      <c r="Z700" s="131"/>
      <c r="AA700" s="131"/>
    </row>
    <row r="701">
      <c r="A701" s="21"/>
      <c r="B701" s="21"/>
      <c r="C701" s="21"/>
      <c r="D701" s="21"/>
      <c r="E701" s="21"/>
      <c r="F701" s="21"/>
      <c r="G701" s="21"/>
      <c r="H701" s="31" t="str">
        <f t="shared" si="29"/>
        <v/>
      </c>
      <c r="I701" s="21"/>
      <c r="J701" s="21"/>
      <c r="K701" s="21"/>
      <c r="L701" s="123"/>
      <c r="M701" s="21"/>
      <c r="N701" s="21"/>
      <c r="O701" s="21"/>
      <c r="P701" s="21"/>
      <c r="Q701" s="21"/>
      <c r="R701" s="21"/>
      <c r="S701" s="21"/>
      <c r="T701" s="41" t="str">
        <f>IFERROR(VLOOKUP(D701,BUSCARV!$A$1:$C$5524,2,0),"")</f>
        <v/>
      </c>
      <c r="U701" s="42"/>
      <c r="V701" s="42" t="str">
        <f t="shared" si="3"/>
        <v/>
      </c>
      <c r="W701" s="44" t="str">
        <f t="shared" si="36"/>
        <v/>
      </c>
      <c r="X701" s="44"/>
      <c r="Y701" s="44"/>
      <c r="Z701" s="131"/>
      <c r="AA701" s="131"/>
    </row>
    <row r="702">
      <c r="A702" s="21"/>
      <c r="B702" s="21"/>
      <c r="C702" s="21"/>
      <c r="D702" s="21"/>
      <c r="E702" s="21"/>
      <c r="F702" s="21"/>
      <c r="G702" s="21"/>
      <c r="H702" s="31" t="str">
        <f t="shared" si="29"/>
        <v/>
      </c>
      <c r="I702" s="21"/>
      <c r="J702" s="21"/>
      <c r="K702" s="21"/>
      <c r="L702" s="123"/>
      <c r="M702" s="21"/>
      <c r="N702" s="21"/>
      <c r="O702" s="21"/>
      <c r="P702" s="21"/>
      <c r="Q702" s="21"/>
      <c r="R702" s="21"/>
      <c r="S702" s="21"/>
      <c r="T702" s="41" t="str">
        <f>IFERROR(VLOOKUP(D702,BUSCARV!$A$1:$C$5524,2,0),"")</f>
        <v/>
      </c>
      <c r="U702" s="42"/>
      <c r="V702" s="42" t="str">
        <f t="shared" si="3"/>
        <v/>
      </c>
      <c r="W702" s="44" t="str">
        <f t="shared" si="36"/>
        <v/>
      </c>
      <c r="X702" s="44"/>
      <c r="Y702" s="44"/>
      <c r="Z702" s="131"/>
      <c r="AA702" s="131"/>
    </row>
    <row r="703">
      <c r="A703" s="21"/>
      <c r="B703" s="21"/>
      <c r="C703" s="21"/>
      <c r="D703" s="21"/>
      <c r="E703" s="21"/>
      <c r="F703" s="21"/>
      <c r="G703" s="21"/>
      <c r="H703" s="31" t="str">
        <f t="shared" si="29"/>
        <v/>
      </c>
      <c r="I703" s="21"/>
      <c r="J703" s="21"/>
      <c r="K703" s="21"/>
      <c r="L703" s="123"/>
      <c r="M703" s="21"/>
      <c r="N703" s="21"/>
      <c r="O703" s="21"/>
      <c r="P703" s="21"/>
      <c r="Q703" s="21"/>
      <c r="R703" s="21"/>
      <c r="S703" s="21"/>
      <c r="T703" s="41" t="str">
        <f>IFERROR(VLOOKUP(D703,BUSCARV!$A$1:$C$5524,2,0),"")</f>
        <v/>
      </c>
      <c r="U703" s="42"/>
      <c r="V703" s="42" t="str">
        <f t="shared" si="3"/>
        <v/>
      </c>
      <c r="W703" s="44" t="str">
        <f t="shared" si="36"/>
        <v/>
      </c>
      <c r="X703" s="44"/>
      <c r="Y703" s="44"/>
      <c r="Z703" s="131"/>
      <c r="AA703" s="131"/>
    </row>
    <row r="704">
      <c r="A704" s="21"/>
      <c r="B704" s="21"/>
      <c r="C704" s="21"/>
      <c r="D704" s="21"/>
      <c r="E704" s="21"/>
      <c r="F704" s="21"/>
      <c r="G704" s="21"/>
      <c r="H704" s="31" t="str">
        <f t="shared" si="29"/>
        <v/>
      </c>
      <c r="I704" s="21"/>
      <c r="J704" s="21"/>
      <c r="K704" s="21"/>
      <c r="L704" s="123"/>
      <c r="M704" s="21"/>
      <c r="N704" s="21"/>
      <c r="O704" s="21"/>
      <c r="P704" s="21"/>
      <c r="Q704" s="21"/>
      <c r="R704" s="21"/>
      <c r="S704" s="21"/>
      <c r="T704" s="41" t="str">
        <f>IFERROR(VLOOKUP(D704,BUSCARV!$A$1:$C$5524,2,0),"")</f>
        <v/>
      </c>
      <c r="U704" s="42"/>
      <c r="V704" s="42" t="str">
        <f t="shared" si="3"/>
        <v/>
      </c>
      <c r="W704" s="44" t="str">
        <f t="shared" si="36"/>
        <v/>
      </c>
      <c r="X704" s="44"/>
      <c r="Y704" s="44"/>
      <c r="Z704" s="131"/>
      <c r="AA704" s="131"/>
    </row>
    <row r="705">
      <c r="A705" s="21"/>
      <c r="B705" s="21"/>
      <c r="C705" s="21"/>
      <c r="D705" s="21"/>
      <c r="E705" s="21"/>
      <c r="F705" s="21"/>
      <c r="G705" s="21"/>
      <c r="H705" s="31" t="str">
        <f t="shared" si="29"/>
        <v/>
      </c>
      <c r="I705" s="21"/>
      <c r="J705" s="21"/>
      <c r="K705" s="21"/>
      <c r="L705" s="123"/>
      <c r="M705" s="21"/>
      <c r="N705" s="21"/>
      <c r="O705" s="21"/>
      <c r="P705" s="21"/>
      <c r="Q705" s="21"/>
      <c r="R705" s="21"/>
      <c r="S705" s="21"/>
      <c r="T705" s="41" t="str">
        <f>IFERROR(VLOOKUP(D705,BUSCARV!$A$1:$C$5524,2,0),"")</f>
        <v/>
      </c>
      <c r="U705" s="42"/>
      <c r="V705" s="42" t="str">
        <f t="shared" si="3"/>
        <v/>
      </c>
      <c r="W705" s="44" t="str">
        <f t="shared" si="36"/>
        <v/>
      </c>
      <c r="X705" s="44"/>
      <c r="Y705" s="44"/>
      <c r="Z705" s="131"/>
      <c r="AA705" s="131"/>
    </row>
    <row r="706">
      <c r="A706" s="21"/>
      <c r="B706" s="21"/>
      <c r="C706" s="21"/>
      <c r="D706" s="21"/>
      <c r="E706" s="21"/>
      <c r="F706" s="21"/>
      <c r="G706" s="21"/>
      <c r="H706" s="31" t="str">
        <f t="shared" si="29"/>
        <v/>
      </c>
      <c r="I706" s="21"/>
      <c r="J706" s="21"/>
      <c r="K706" s="21"/>
      <c r="L706" s="123"/>
      <c r="M706" s="21"/>
      <c r="N706" s="21"/>
      <c r="O706" s="21"/>
      <c r="P706" s="21"/>
      <c r="Q706" s="21"/>
      <c r="R706" s="21"/>
      <c r="S706" s="21"/>
      <c r="T706" s="41" t="str">
        <f>IFERROR(VLOOKUP(D706,BUSCARV!$A$1:$C$5524,2,0),"")</f>
        <v/>
      </c>
      <c r="U706" s="42"/>
      <c r="V706" s="42" t="str">
        <f t="shared" si="3"/>
        <v/>
      </c>
      <c r="W706" s="44" t="str">
        <f t="shared" si="36"/>
        <v/>
      </c>
      <c r="X706" s="44"/>
      <c r="Y706" s="44"/>
      <c r="Z706" s="131"/>
      <c r="AA706" s="131"/>
    </row>
    <row r="707">
      <c r="A707" s="21"/>
      <c r="B707" s="21"/>
      <c r="C707" s="21"/>
      <c r="D707" s="21"/>
      <c r="E707" s="21"/>
      <c r="F707" s="21"/>
      <c r="G707" s="21"/>
      <c r="H707" s="31" t="str">
        <f t="shared" si="29"/>
        <v/>
      </c>
      <c r="I707" s="21"/>
      <c r="J707" s="21"/>
      <c r="K707" s="21"/>
      <c r="L707" s="123"/>
      <c r="M707" s="21"/>
      <c r="N707" s="21"/>
      <c r="O707" s="21"/>
      <c r="P707" s="21"/>
      <c r="Q707" s="21"/>
      <c r="R707" s="21"/>
      <c r="S707" s="21"/>
      <c r="T707" s="41" t="str">
        <f>IFERROR(VLOOKUP(D707,BUSCARV!$A$1:$C$5524,2,0),"")</f>
        <v/>
      </c>
      <c r="U707" s="42"/>
      <c r="V707" s="42" t="str">
        <f t="shared" si="3"/>
        <v/>
      </c>
      <c r="W707" s="44" t="str">
        <f t="shared" si="36"/>
        <v/>
      </c>
      <c r="X707" s="44"/>
      <c r="Y707" s="44"/>
      <c r="Z707" s="131"/>
      <c r="AA707" s="131"/>
    </row>
    <row r="708">
      <c r="A708" s="21"/>
      <c r="B708" s="21"/>
      <c r="C708" s="21"/>
      <c r="D708" s="21"/>
      <c r="E708" s="21"/>
      <c r="F708" s="21"/>
      <c r="G708" s="21"/>
      <c r="H708" s="31" t="str">
        <f t="shared" si="29"/>
        <v/>
      </c>
      <c r="I708" s="21"/>
      <c r="J708" s="21"/>
      <c r="K708" s="21"/>
      <c r="L708" s="123"/>
      <c r="M708" s="21"/>
      <c r="N708" s="21"/>
      <c r="O708" s="21"/>
      <c r="P708" s="21"/>
      <c r="Q708" s="21"/>
      <c r="R708" s="21"/>
      <c r="S708" s="21"/>
      <c r="T708" s="41" t="str">
        <f>IFERROR(VLOOKUP(D708,BUSCARV!$A$1:$C$5524,2,0),"")</f>
        <v/>
      </c>
      <c r="U708" s="42"/>
      <c r="V708" s="42" t="str">
        <f t="shared" si="3"/>
        <v/>
      </c>
      <c r="W708" s="44" t="str">
        <f t="shared" si="36"/>
        <v/>
      </c>
      <c r="X708" s="44"/>
      <c r="Y708" s="44"/>
      <c r="Z708" s="131"/>
      <c r="AA708" s="131"/>
    </row>
    <row r="709">
      <c r="A709" s="21"/>
      <c r="B709" s="21"/>
      <c r="C709" s="21"/>
      <c r="D709" s="21"/>
      <c r="E709" s="21"/>
      <c r="F709" s="21"/>
      <c r="G709" s="21"/>
      <c r="H709" s="31" t="str">
        <f t="shared" si="29"/>
        <v/>
      </c>
      <c r="I709" s="21"/>
      <c r="J709" s="21"/>
      <c r="K709" s="21"/>
      <c r="L709" s="123"/>
      <c r="M709" s="21"/>
      <c r="N709" s="21"/>
      <c r="O709" s="21"/>
      <c r="P709" s="21"/>
      <c r="Q709" s="21"/>
      <c r="R709" s="21"/>
      <c r="S709" s="21"/>
      <c r="T709" s="41" t="str">
        <f>IFERROR(VLOOKUP(D709,BUSCARV!$A$1:$C$5524,2,0),"")</f>
        <v/>
      </c>
      <c r="U709" s="42"/>
      <c r="V709" s="42" t="str">
        <f t="shared" si="3"/>
        <v/>
      </c>
      <c r="W709" s="44" t="str">
        <f t="shared" si="36"/>
        <v/>
      </c>
      <c r="X709" s="44"/>
      <c r="Y709" s="44"/>
      <c r="Z709" s="131"/>
      <c r="AA709" s="131"/>
    </row>
    <row r="710">
      <c r="A710" s="21"/>
      <c r="B710" s="21"/>
      <c r="C710" s="21"/>
      <c r="D710" s="21"/>
      <c r="E710" s="21"/>
      <c r="F710" s="21"/>
      <c r="G710" s="21"/>
      <c r="H710" s="31" t="str">
        <f t="shared" si="29"/>
        <v/>
      </c>
      <c r="I710" s="21"/>
      <c r="J710" s="21"/>
      <c r="K710" s="21"/>
      <c r="L710" s="123"/>
      <c r="M710" s="21"/>
      <c r="N710" s="21"/>
      <c r="O710" s="21"/>
      <c r="P710" s="21"/>
      <c r="Q710" s="21"/>
      <c r="R710" s="21"/>
      <c r="S710" s="21"/>
      <c r="T710" s="41" t="str">
        <f>IFERROR(VLOOKUP(D710,BUSCARV!$A$1:$C$5524,2,0),"")</f>
        <v/>
      </c>
      <c r="U710" s="42"/>
      <c r="V710" s="42" t="str">
        <f t="shared" si="3"/>
        <v/>
      </c>
      <c r="W710" s="44" t="str">
        <f t="shared" si="36"/>
        <v/>
      </c>
      <c r="X710" s="44"/>
      <c r="Y710" s="44"/>
      <c r="Z710" s="131"/>
      <c r="AA710" s="131"/>
    </row>
    <row r="711">
      <c r="A711" s="21"/>
      <c r="B711" s="21"/>
      <c r="C711" s="21"/>
      <c r="D711" s="21"/>
      <c r="E711" s="21"/>
      <c r="F711" s="21"/>
      <c r="G711" s="21"/>
      <c r="H711" s="31" t="str">
        <f t="shared" si="29"/>
        <v/>
      </c>
      <c r="I711" s="21"/>
      <c r="J711" s="21"/>
      <c r="K711" s="21"/>
      <c r="L711" s="123"/>
      <c r="M711" s="21"/>
      <c r="N711" s="21"/>
      <c r="O711" s="21"/>
      <c r="P711" s="21"/>
      <c r="Q711" s="21"/>
      <c r="R711" s="21"/>
      <c r="S711" s="21"/>
      <c r="T711" s="41" t="str">
        <f>IFERROR(VLOOKUP(D711,BUSCARV!$A$1:$C$5524,2,0),"")</f>
        <v/>
      </c>
      <c r="U711" s="42"/>
      <c r="V711" s="42" t="str">
        <f t="shared" si="3"/>
        <v/>
      </c>
      <c r="W711" s="44" t="str">
        <f t="shared" si="36"/>
        <v/>
      </c>
      <c r="X711" s="44"/>
      <c r="Y711" s="44"/>
      <c r="Z711" s="131"/>
      <c r="AA711" s="131"/>
    </row>
    <row r="712">
      <c r="A712" s="21"/>
      <c r="B712" s="21"/>
      <c r="C712" s="21"/>
      <c r="D712" s="21"/>
      <c r="E712" s="21"/>
      <c r="F712" s="21"/>
      <c r="G712" s="21"/>
      <c r="H712" s="31" t="str">
        <f t="shared" si="29"/>
        <v/>
      </c>
      <c r="I712" s="21"/>
      <c r="J712" s="21"/>
      <c r="K712" s="21"/>
      <c r="L712" s="123"/>
      <c r="M712" s="21"/>
      <c r="N712" s="21"/>
      <c r="O712" s="21"/>
      <c r="P712" s="21"/>
      <c r="Q712" s="21"/>
      <c r="R712" s="21"/>
      <c r="S712" s="21"/>
      <c r="T712" s="41" t="str">
        <f>IFERROR(VLOOKUP(D712,BUSCARV!$A$1:$C$5524,2,0),"")</f>
        <v/>
      </c>
      <c r="U712" s="42"/>
      <c r="V712" s="42" t="str">
        <f t="shared" si="3"/>
        <v/>
      </c>
      <c r="W712" s="44" t="str">
        <f t="shared" si="36"/>
        <v/>
      </c>
      <c r="X712" s="44"/>
      <c r="Y712" s="44"/>
      <c r="Z712" s="131"/>
      <c r="AA712" s="131"/>
    </row>
    <row r="713">
      <c r="A713" s="21"/>
      <c r="B713" s="21"/>
      <c r="C713" s="21"/>
      <c r="D713" s="21"/>
      <c r="E713" s="21"/>
      <c r="F713" s="21"/>
      <c r="G713" s="21"/>
      <c r="H713" s="31" t="str">
        <f t="shared" si="29"/>
        <v/>
      </c>
      <c r="I713" s="21"/>
      <c r="J713" s="21"/>
      <c r="K713" s="21"/>
      <c r="L713" s="123"/>
      <c r="M713" s="21"/>
      <c r="N713" s="21"/>
      <c r="O713" s="21"/>
      <c r="P713" s="21"/>
      <c r="Q713" s="21"/>
      <c r="R713" s="21"/>
      <c r="S713" s="21"/>
      <c r="T713" s="41" t="str">
        <f>IFERROR(VLOOKUP(D713,BUSCARV!$A$1:$C$5524,2,0),"")</f>
        <v/>
      </c>
      <c r="U713" s="42"/>
      <c r="V713" s="42" t="str">
        <f t="shared" si="3"/>
        <v/>
      </c>
      <c r="W713" s="44" t="str">
        <f t="shared" si="36"/>
        <v/>
      </c>
      <c r="X713" s="44"/>
      <c r="Y713" s="44"/>
      <c r="Z713" s="131"/>
      <c r="AA713" s="131"/>
    </row>
    <row r="714">
      <c r="A714" s="21"/>
      <c r="B714" s="21"/>
      <c r="C714" s="21"/>
      <c r="D714" s="21"/>
      <c r="E714" s="21"/>
      <c r="F714" s="21"/>
      <c r="G714" s="21"/>
      <c r="H714" s="31" t="str">
        <f t="shared" si="29"/>
        <v/>
      </c>
      <c r="I714" s="21"/>
      <c r="J714" s="21"/>
      <c r="K714" s="21"/>
      <c r="L714" s="123"/>
      <c r="M714" s="21"/>
      <c r="N714" s="21"/>
      <c r="O714" s="21"/>
      <c r="P714" s="21"/>
      <c r="Q714" s="21"/>
      <c r="R714" s="21"/>
      <c r="S714" s="21"/>
      <c r="T714" s="41" t="str">
        <f>IFERROR(VLOOKUP(D714,BUSCARV!$A$1:$C$5524,2,0),"")</f>
        <v/>
      </c>
      <c r="U714" s="42"/>
      <c r="V714" s="42" t="str">
        <f t="shared" si="3"/>
        <v/>
      </c>
      <c r="W714" s="44" t="str">
        <f t="shared" si="36"/>
        <v/>
      </c>
      <c r="X714" s="44"/>
      <c r="Y714" s="44"/>
      <c r="Z714" s="131"/>
      <c r="AA714" s="131"/>
    </row>
    <row r="715">
      <c r="A715" s="21"/>
      <c r="B715" s="21"/>
      <c r="C715" s="21"/>
      <c r="D715" s="21"/>
      <c r="E715" s="21"/>
      <c r="F715" s="21"/>
      <c r="G715" s="21"/>
      <c r="H715" s="31" t="str">
        <f t="shared" si="29"/>
        <v/>
      </c>
      <c r="I715" s="21"/>
      <c r="J715" s="21"/>
      <c r="K715" s="21"/>
      <c r="L715" s="123"/>
      <c r="M715" s="21"/>
      <c r="N715" s="21"/>
      <c r="O715" s="21"/>
      <c r="P715" s="21"/>
      <c r="Q715" s="21"/>
      <c r="R715" s="21"/>
      <c r="S715" s="21"/>
      <c r="T715" s="41" t="str">
        <f>IFERROR(VLOOKUP(D715,BUSCARV!$A$1:$C$5524,2,0),"")</f>
        <v/>
      </c>
      <c r="U715" s="42"/>
      <c r="V715" s="42" t="str">
        <f t="shared" si="3"/>
        <v/>
      </c>
      <c r="W715" s="44" t="str">
        <f t="shared" si="36"/>
        <v/>
      </c>
      <c r="X715" s="44"/>
      <c r="Y715" s="44"/>
      <c r="Z715" s="131"/>
      <c r="AA715" s="131"/>
    </row>
    <row r="716">
      <c r="A716" s="21"/>
      <c r="B716" s="21"/>
      <c r="C716" s="21"/>
      <c r="D716" s="21"/>
      <c r="E716" s="21"/>
      <c r="F716" s="21"/>
      <c r="G716" s="21"/>
      <c r="H716" s="31" t="str">
        <f t="shared" si="29"/>
        <v/>
      </c>
      <c r="I716" s="21"/>
      <c r="J716" s="21"/>
      <c r="K716" s="21"/>
      <c r="L716" s="123"/>
      <c r="M716" s="21"/>
      <c r="N716" s="21"/>
      <c r="O716" s="21"/>
      <c r="P716" s="21"/>
      <c r="Q716" s="21"/>
      <c r="R716" s="21"/>
      <c r="S716" s="21"/>
      <c r="T716" s="41" t="str">
        <f>IFERROR(VLOOKUP(D716,BUSCARV!$A$1:$C$5524,2,0),"")</f>
        <v/>
      </c>
      <c r="U716" s="42"/>
      <c r="V716" s="42" t="str">
        <f t="shared" si="3"/>
        <v/>
      </c>
      <c r="W716" s="44" t="str">
        <f t="shared" si="36"/>
        <v/>
      </c>
      <c r="X716" s="44"/>
      <c r="Y716" s="44"/>
      <c r="Z716" s="131"/>
      <c r="AA716" s="131"/>
    </row>
    <row r="717">
      <c r="A717" s="21"/>
      <c r="B717" s="21"/>
      <c r="C717" s="21"/>
      <c r="D717" s="21"/>
      <c r="E717" s="21"/>
      <c r="F717" s="21"/>
      <c r="G717" s="21"/>
      <c r="H717" s="31" t="str">
        <f t="shared" si="29"/>
        <v/>
      </c>
      <c r="I717" s="21"/>
      <c r="J717" s="21"/>
      <c r="K717" s="21"/>
      <c r="L717" s="123"/>
      <c r="M717" s="21"/>
      <c r="N717" s="21"/>
      <c r="O717" s="21"/>
      <c r="P717" s="21"/>
      <c r="Q717" s="21"/>
      <c r="R717" s="21"/>
      <c r="S717" s="21"/>
      <c r="T717" s="41" t="str">
        <f>IFERROR(VLOOKUP(D717,BUSCARV!$A$1:$C$5524,2,0),"")</f>
        <v/>
      </c>
      <c r="U717" s="42"/>
      <c r="V717" s="42" t="str">
        <f t="shared" si="3"/>
        <v/>
      </c>
      <c r="W717" s="44" t="str">
        <f t="shared" si="36"/>
        <v/>
      </c>
      <c r="X717" s="44"/>
      <c r="Y717" s="44"/>
      <c r="Z717" s="131"/>
      <c r="AA717" s="131"/>
    </row>
    <row r="718">
      <c r="A718" s="21"/>
      <c r="B718" s="21"/>
      <c r="C718" s="21"/>
      <c r="D718" s="21"/>
      <c r="E718" s="21"/>
      <c r="F718" s="21"/>
      <c r="G718" s="21"/>
      <c r="H718" s="31" t="str">
        <f t="shared" si="29"/>
        <v/>
      </c>
      <c r="I718" s="21"/>
      <c r="J718" s="21"/>
      <c r="K718" s="21"/>
      <c r="L718" s="123"/>
      <c r="M718" s="21"/>
      <c r="N718" s="21"/>
      <c r="O718" s="21"/>
      <c r="P718" s="21"/>
      <c r="Q718" s="21"/>
      <c r="R718" s="21"/>
      <c r="S718" s="21"/>
      <c r="T718" s="41" t="str">
        <f>IFERROR(VLOOKUP(D718,BUSCARV!$A$1:$C$5524,2,0),"")</f>
        <v/>
      </c>
      <c r="U718" s="42"/>
      <c r="V718" s="42" t="str">
        <f t="shared" si="3"/>
        <v/>
      </c>
      <c r="W718" s="44" t="str">
        <f t="shared" si="36"/>
        <v/>
      </c>
      <c r="X718" s="44"/>
      <c r="Y718" s="44"/>
      <c r="Z718" s="131"/>
      <c r="AA718" s="131"/>
    </row>
    <row r="719">
      <c r="A719" s="21"/>
      <c r="B719" s="21"/>
      <c r="C719" s="21"/>
      <c r="D719" s="21"/>
      <c r="E719" s="21"/>
      <c r="F719" s="21"/>
      <c r="G719" s="21"/>
      <c r="H719" s="31" t="str">
        <f t="shared" si="29"/>
        <v/>
      </c>
      <c r="I719" s="21"/>
      <c r="J719" s="21"/>
      <c r="K719" s="21"/>
      <c r="L719" s="123"/>
      <c r="M719" s="21"/>
      <c r="N719" s="21"/>
      <c r="O719" s="21"/>
      <c r="P719" s="21"/>
      <c r="Q719" s="21"/>
      <c r="R719" s="21"/>
      <c r="S719" s="21"/>
      <c r="T719" s="41" t="str">
        <f>IFERROR(VLOOKUP(D719,BUSCARV!$A$1:$C$5524,2,0),"")</f>
        <v/>
      </c>
      <c r="U719" s="42"/>
      <c r="V719" s="42" t="str">
        <f t="shared" si="3"/>
        <v/>
      </c>
      <c r="W719" s="44" t="str">
        <f t="shared" si="36"/>
        <v/>
      </c>
      <c r="X719" s="44"/>
      <c r="Y719" s="44"/>
      <c r="Z719" s="131"/>
      <c r="AA719" s="131"/>
    </row>
    <row r="720">
      <c r="A720" s="21"/>
      <c r="B720" s="21"/>
      <c r="C720" s="21"/>
      <c r="D720" s="21"/>
      <c r="E720" s="21"/>
      <c r="F720" s="21"/>
      <c r="G720" s="21"/>
      <c r="H720" s="31" t="str">
        <f t="shared" si="29"/>
        <v/>
      </c>
      <c r="I720" s="21"/>
      <c r="J720" s="21"/>
      <c r="K720" s="21"/>
      <c r="L720" s="123"/>
      <c r="M720" s="21"/>
      <c r="N720" s="21"/>
      <c r="O720" s="21"/>
      <c r="P720" s="21"/>
      <c r="Q720" s="21"/>
      <c r="R720" s="21"/>
      <c r="S720" s="21"/>
      <c r="T720" s="41" t="str">
        <f>IFERROR(VLOOKUP(D720,BUSCARV!$A$1:$C$5524,2,0),"")</f>
        <v/>
      </c>
      <c r="U720" s="42"/>
      <c r="V720" s="42" t="str">
        <f t="shared" si="3"/>
        <v/>
      </c>
      <c r="W720" s="44" t="str">
        <f t="shared" si="36"/>
        <v/>
      </c>
      <c r="X720" s="44"/>
      <c r="Y720" s="44"/>
      <c r="Z720" s="131"/>
      <c r="AA720" s="131"/>
    </row>
    <row r="721">
      <c r="A721" s="21"/>
      <c r="B721" s="21"/>
      <c r="C721" s="21"/>
      <c r="D721" s="21"/>
      <c r="E721" s="21"/>
      <c r="F721" s="21"/>
      <c r="G721" s="21"/>
      <c r="H721" s="31" t="str">
        <f t="shared" si="29"/>
        <v/>
      </c>
      <c r="I721" s="21"/>
      <c r="J721" s="21"/>
      <c r="K721" s="21"/>
      <c r="L721" s="123"/>
      <c r="M721" s="21"/>
      <c r="N721" s="21"/>
      <c r="O721" s="21"/>
      <c r="P721" s="21"/>
      <c r="Q721" s="21"/>
      <c r="R721" s="21"/>
      <c r="S721" s="21"/>
      <c r="T721" s="41" t="str">
        <f>IFERROR(VLOOKUP(D721,BUSCARV!$A$1:$C$5524,2,0),"")</f>
        <v/>
      </c>
      <c r="U721" s="42"/>
      <c r="V721" s="42" t="str">
        <f t="shared" si="3"/>
        <v/>
      </c>
      <c r="W721" s="44" t="str">
        <f t="shared" si="36"/>
        <v/>
      </c>
      <c r="X721" s="44"/>
      <c r="Y721" s="44"/>
      <c r="Z721" s="131"/>
      <c r="AA721" s="131"/>
    </row>
    <row r="722">
      <c r="A722" s="21"/>
      <c r="B722" s="21"/>
      <c r="C722" s="21"/>
      <c r="D722" s="21"/>
      <c r="E722" s="21"/>
      <c r="F722" s="21"/>
      <c r="G722" s="21"/>
      <c r="H722" s="31" t="str">
        <f t="shared" si="29"/>
        <v/>
      </c>
      <c r="I722" s="21"/>
      <c r="J722" s="21"/>
      <c r="K722" s="21"/>
      <c r="L722" s="123"/>
      <c r="M722" s="21"/>
      <c r="N722" s="21"/>
      <c r="O722" s="21"/>
      <c r="P722" s="21"/>
      <c r="Q722" s="21"/>
      <c r="R722" s="21"/>
      <c r="S722" s="21"/>
      <c r="T722" s="41" t="str">
        <f>IFERROR(VLOOKUP(D722,BUSCARV!$A$1:$C$5524,2,0),"")</f>
        <v/>
      </c>
      <c r="U722" s="42"/>
      <c r="V722" s="42" t="str">
        <f t="shared" si="3"/>
        <v/>
      </c>
      <c r="W722" s="44" t="str">
        <f t="shared" si="36"/>
        <v/>
      </c>
      <c r="X722" s="44"/>
      <c r="Y722" s="44"/>
      <c r="Z722" s="131"/>
      <c r="AA722" s="131"/>
    </row>
    <row r="723">
      <c r="A723" s="21"/>
      <c r="B723" s="21"/>
      <c r="C723" s="21"/>
      <c r="D723" s="21"/>
      <c r="E723" s="21"/>
      <c r="F723" s="21"/>
      <c r="G723" s="21"/>
      <c r="H723" s="31" t="str">
        <f t="shared" si="29"/>
        <v/>
      </c>
      <c r="I723" s="21"/>
      <c r="J723" s="21"/>
      <c r="K723" s="21"/>
      <c r="L723" s="123"/>
      <c r="M723" s="21"/>
      <c r="N723" s="21"/>
      <c r="O723" s="21"/>
      <c r="P723" s="21"/>
      <c r="Q723" s="21"/>
      <c r="R723" s="21"/>
      <c r="S723" s="21"/>
      <c r="T723" s="41" t="str">
        <f>IFERROR(VLOOKUP(D723,BUSCARV!$A$1:$C$5524,2,0),"")</f>
        <v/>
      </c>
      <c r="U723" s="42"/>
      <c r="V723" s="42" t="str">
        <f t="shared" si="3"/>
        <v/>
      </c>
      <c r="W723" s="44" t="str">
        <f t="shared" si="36"/>
        <v/>
      </c>
      <c r="X723" s="44"/>
      <c r="Y723" s="44"/>
      <c r="Z723" s="131"/>
      <c r="AA723" s="131"/>
    </row>
    <row r="724">
      <c r="A724" s="21"/>
      <c r="B724" s="21"/>
      <c r="C724" s="21"/>
      <c r="D724" s="21"/>
      <c r="E724" s="21"/>
      <c r="F724" s="21"/>
      <c r="G724" s="21"/>
      <c r="H724" s="31" t="str">
        <f t="shared" si="29"/>
        <v/>
      </c>
      <c r="I724" s="21"/>
      <c r="J724" s="21"/>
      <c r="K724" s="21"/>
      <c r="L724" s="123"/>
      <c r="M724" s="21"/>
      <c r="N724" s="21"/>
      <c r="O724" s="21"/>
      <c r="P724" s="21"/>
      <c r="Q724" s="21"/>
      <c r="R724" s="21"/>
      <c r="S724" s="21"/>
      <c r="T724" s="41" t="str">
        <f>IFERROR(VLOOKUP(D724,BUSCARV!$A$1:$C$5524,2,0),"")</f>
        <v/>
      </c>
      <c r="U724" s="42"/>
      <c r="V724" s="42" t="str">
        <f t="shared" si="3"/>
        <v/>
      </c>
      <c r="W724" s="44" t="str">
        <f t="shared" si="36"/>
        <v/>
      </c>
      <c r="X724" s="44"/>
      <c r="Y724" s="44"/>
      <c r="Z724" s="131"/>
      <c r="AA724" s="131"/>
    </row>
    <row r="725">
      <c r="A725" s="21"/>
      <c r="B725" s="21"/>
      <c r="C725" s="21"/>
      <c r="D725" s="21"/>
      <c r="E725" s="21"/>
      <c r="F725" s="21"/>
      <c r="G725" s="21"/>
      <c r="H725" s="31" t="str">
        <f t="shared" si="29"/>
        <v/>
      </c>
      <c r="I725" s="21"/>
      <c r="J725" s="21"/>
      <c r="K725" s="21"/>
      <c r="L725" s="123"/>
      <c r="M725" s="21"/>
      <c r="N725" s="21"/>
      <c r="O725" s="21"/>
      <c r="P725" s="21"/>
      <c r="Q725" s="21"/>
      <c r="R725" s="21"/>
      <c r="S725" s="21"/>
      <c r="T725" s="41" t="str">
        <f>IFERROR(VLOOKUP(D725,BUSCARV!$A$1:$C$5524,2,0),"")</f>
        <v/>
      </c>
      <c r="U725" s="42"/>
      <c r="V725" s="42" t="str">
        <f t="shared" si="3"/>
        <v/>
      </c>
      <c r="W725" s="44" t="str">
        <f t="shared" si="36"/>
        <v/>
      </c>
      <c r="X725" s="44"/>
      <c r="Y725" s="44"/>
      <c r="Z725" s="131"/>
      <c r="AA725" s="131"/>
    </row>
    <row r="726">
      <c r="A726" s="21"/>
      <c r="B726" s="21"/>
      <c r="C726" s="21"/>
      <c r="D726" s="21"/>
      <c r="E726" s="21"/>
      <c r="F726" s="21"/>
      <c r="G726" s="21"/>
      <c r="H726" s="31" t="str">
        <f t="shared" si="29"/>
        <v/>
      </c>
      <c r="I726" s="21"/>
      <c r="J726" s="21"/>
      <c r="K726" s="21"/>
      <c r="L726" s="123"/>
      <c r="M726" s="21"/>
      <c r="N726" s="21"/>
      <c r="O726" s="21"/>
      <c r="P726" s="21"/>
      <c r="Q726" s="21"/>
      <c r="R726" s="21"/>
      <c r="S726" s="21"/>
      <c r="T726" s="41" t="str">
        <f>IFERROR(VLOOKUP(D726,BUSCARV!$A$1:$C$5524,2,0),"")</f>
        <v/>
      </c>
      <c r="U726" s="42"/>
      <c r="V726" s="42" t="str">
        <f t="shared" si="3"/>
        <v/>
      </c>
      <c r="W726" s="44" t="str">
        <f t="shared" si="36"/>
        <v/>
      </c>
      <c r="X726" s="44"/>
      <c r="Y726" s="44"/>
      <c r="Z726" s="131"/>
      <c r="AA726" s="131"/>
    </row>
    <row r="727">
      <c r="A727" s="21"/>
      <c r="B727" s="21"/>
      <c r="C727" s="21"/>
      <c r="D727" s="21"/>
      <c r="E727" s="21"/>
      <c r="F727" s="21"/>
      <c r="G727" s="21"/>
      <c r="H727" s="31" t="str">
        <f t="shared" si="29"/>
        <v/>
      </c>
      <c r="I727" s="21"/>
      <c r="J727" s="21"/>
      <c r="K727" s="21"/>
      <c r="L727" s="123"/>
      <c r="M727" s="21"/>
      <c r="N727" s="21"/>
      <c r="O727" s="21"/>
      <c r="P727" s="21"/>
      <c r="Q727" s="21"/>
      <c r="R727" s="21"/>
      <c r="S727" s="21"/>
      <c r="T727" s="41" t="str">
        <f>IFERROR(VLOOKUP(D727,BUSCARV!$A$1:$C$5524,2,0),"")</f>
        <v/>
      </c>
      <c r="U727" s="42"/>
      <c r="V727" s="42" t="str">
        <f t="shared" si="3"/>
        <v/>
      </c>
      <c r="W727" s="44" t="str">
        <f t="shared" si="36"/>
        <v/>
      </c>
      <c r="X727" s="44"/>
      <c r="Y727" s="44"/>
      <c r="Z727" s="131"/>
      <c r="AA727" s="131"/>
    </row>
    <row r="728">
      <c r="A728" s="21"/>
      <c r="B728" s="21"/>
      <c r="C728" s="21"/>
      <c r="D728" s="21"/>
      <c r="E728" s="21"/>
      <c r="F728" s="21"/>
      <c r="G728" s="21"/>
      <c r="H728" s="31" t="str">
        <f t="shared" si="29"/>
        <v/>
      </c>
      <c r="I728" s="21"/>
      <c r="J728" s="21"/>
      <c r="K728" s="21"/>
      <c r="L728" s="123"/>
      <c r="M728" s="21"/>
      <c r="N728" s="21"/>
      <c r="O728" s="21"/>
      <c r="P728" s="21"/>
      <c r="Q728" s="21"/>
      <c r="R728" s="21"/>
      <c r="S728" s="21"/>
      <c r="T728" s="41" t="str">
        <f>IFERROR(VLOOKUP(D728,BUSCARV!$A$1:$C$5524,2,0),"")</f>
        <v/>
      </c>
      <c r="U728" s="42"/>
      <c r="V728" s="42" t="str">
        <f t="shared" si="3"/>
        <v/>
      </c>
      <c r="W728" s="44" t="str">
        <f t="shared" si="36"/>
        <v/>
      </c>
      <c r="X728" s="44"/>
      <c r="Y728" s="44"/>
      <c r="Z728" s="131"/>
      <c r="AA728" s="131"/>
    </row>
    <row r="729">
      <c r="A729" s="21"/>
      <c r="B729" s="21"/>
      <c r="C729" s="21"/>
      <c r="D729" s="21"/>
      <c r="E729" s="21"/>
      <c r="F729" s="21"/>
      <c r="G729" s="21"/>
      <c r="H729" s="31" t="str">
        <f t="shared" si="29"/>
        <v/>
      </c>
      <c r="I729" s="21"/>
      <c r="J729" s="21"/>
      <c r="K729" s="21"/>
      <c r="L729" s="123"/>
      <c r="M729" s="21"/>
      <c r="N729" s="21"/>
      <c r="O729" s="21"/>
      <c r="P729" s="21"/>
      <c r="Q729" s="21"/>
      <c r="R729" s="21"/>
      <c r="S729" s="21"/>
      <c r="T729" s="41" t="str">
        <f>IFERROR(VLOOKUP(D729,BUSCARV!$A$1:$C$5524,2,0),"")</f>
        <v/>
      </c>
      <c r="U729" s="42"/>
      <c r="V729" s="42" t="str">
        <f t="shared" si="3"/>
        <v/>
      </c>
      <c r="W729" s="44" t="str">
        <f t="shared" si="36"/>
        <v/>
      </c>
      <c r="X729" s="44"/>
      <c r="Y729" s="44"/>
      <c r="Z729" s="131"/>
      <c r="AA729" s="131"/>
    </row>
    <row r="730">
      <c r="A730" s="21"/>
      <c r="B730" s="21"/>
      <c r="C730" s="21"/>
      <c r="D730" s="21"/>
      <c r="E730" s="21"/>
      <c r="F730" s="21"/>
      <c r="G730" s="21"/>
      <c r="H730" s="31" t="str">
        <f t="shared" si="29"/>
        <v/>
      </c>
      <c r="I730" s="21"/>
      <c r="J730" s="21"/>
      <c r="K730" s="21"/>
      <c r="L730" s="123"/>
      <c r="M730" s="21"/>
      <c r="N730" s="21"/>
      <c r="O730" s="21"/>
      <c r="P730" s="21"/>
      <c r="Q730" s="21"/>
      <c r="R730" s="21"/>
      <c r="S730" s="21"/>
      <c r="T730" s="41" t="str">
        <f>IFERROR(VLOOKUP(D730,BUSCARV!$A$1:$C$5524,2,0),"")</f>
        <v/>
      </c>
      <c r="U730" s="42"/>
      <c r="V730" s="42" t="str">
        <f t="shared" si="3"/>
        <v/>
      </c>
      <c r="W730" s="44" t="str">
        <f t="shared" si="36"/>
        <v/>
      </c>
      <c r="X730" s="44"/>
      <c r="Y730" s="44"/>
      <c r="Z730" s="131"/>
      <c r="AA730" s="131"/>
    </row>
    <row r="731">
      <c r="A731" s="21"/>
      <c r="B731" s="21"/>
      <c r="C731" s="21"/>
      <c r="D731" s="21"/>
      <c r="E731" s="21"/>
      <c r="F731" s="21"/>
      <c r="G731" s="21"/>
      <c r="H731" s="31" t="str">
        <f t="shared" si="29"/>
        <v/>
      </c>
      <c r="I731" s="21"/>
      <c r="J731" s="21"/>
      <c r="K731" s="21"/>
      <c r="L731" s="123"/>
      <c r="M731" s="21"/>
      <c r="N731" s="21"/>
      <c r="O731" s="21"/>
      <c r="P731" s="21"/>
      <c r="Q731" s="21"/>
      <c r="R731" s="21"/>
      <c r="S731" s="21"/>
      <c r="T731" s="41" t="str">
        <f>IFERROR(VLOOKUP(D731,BUSCARV!$A$1:$C$5524,2,0),"")</f>
        <v/>
      </c>
      <c r="U731" s="42"/>
      <c r="V731" s="42" t="str">
        <f t="shared" si="3"/>
        <v/>
      </c>
      <c r="W731" s="44" t="str">
        <f t="shared" si="36"/>
        <v/>
      </c>
      <c r="X731" s="44"/>
      <c r="Y731" s="44"/>
      <c r="Z731" s="131"/>
      <c r="AA731" s="131"/>
    </row>
    <row r="732">
      <c r="A732" s="21"/>
      <c r="B732" s="21"/>
      <c r="C732" s="21"/>
      <c r="D732" s="21"/>
      <c r="E732" s="21"/>
      <c r="F732" s="21"/>
      <c r="G732" s="21"/>
      <c r="H732" s="31" t="str">
        <f t="shared" si="29"/>
        <v/>
      </c>
      <c r="I732" s="21"/>
      <c r="J732" s="21"/>
      <c r="K732" s="21"/>
      <c r="L732" s="123"/>
      <c r="M732" s="21"/>
      <c r="N732" s="21"/>
      <c r="O732" s="21"/>
      <c r="P732" s="21"/>
      <c r="Q732" s="21"/>
      <c r="R732" s="21"/>
      <c r="S732" s="21"/>
      <c r="T732" s="41" t="str">
        <f>IFERROR(VLOOKUP(D732,BUSCARV!$A$1:$C$5524,2,0),"")</f>
        <v/>
      </c>
      <c r="U732" s="42"/>
      <c r="V732" s="42" t="str">
        <f t="shared" si="3"/>
        <v/>
      </c>
      <c r="W732" s="44" t="str">
        <f t="shared" si="36"/>
        <v/>
      </c>
      <c r="X732" s="44"/>
      <c r="Y732" s="44"/>
      <c r="Z732" s="131"/>
      <c r="AA732" s="131"/>
    </row>
    <row r="733">
      <c r="A733" s="21"/>
      <c r="B733" s="21"/>
      <c r="C733" s="21"/>
      <c r="D733" s="21"/>
      <c r="E733" s="21"/>
      <c r="F733" s="21"/>
      <c r="G733" s="21"/>
      <c r="H733" s="31" t="str">
        <f t="shared" si="29"/>
        <v/>
      </c>
      <c r="I733" s="21"/>
      <c r="J733" s="21"/>
      <c r="K733" s="21"/>
      <c r="L733" s="123"/>
      <c r="M733" s="21"/>
      <c r="N733" s="21"/>
      <c r="O733" s="21"/>
      <c r="P733" s="21"/>
      <c r="Q733" s="21"/>
      <c r="R733" s="21"/>
      <c r="S733" s="21"/>
      <c r="T733" s="41" t="str">
        <f>IFERROR(VLOOKUP(D733,BUSCARV!$A$1:$C$5524,2,0),"")</f>
        <v/>
      </c>
      <c r="U733" s="42"/>
      <c r="V733" s="42" t="str">
        <f t="shared" si="3"/>
        <v/>
      </c>
      <c r="W733" s="44" t="str">
        <f t="shared" si="36"/>
        <v/>
      </c>
      <c r="X733" s="44"/>
      <c r="Y733" s="44"/>
      <c r="Z733" s="131"/>
      <c r="AA733" s="131"/>
    </row>
    <row r="734">
      <c r="A734" s="21"/>
      <c r="B734" s="21"/>
      <c r="C734" s="21"/>
      <c r="D734" s="21"/>
      <c r="E734" s="21"/>
      <c r="F734" s="21"/>
      <c r="G734" s="21"/>
      <c r="H734" s="31" t="str">
        <f t="shared" si="29"/>
        <v/>
      </c>
      <c r="I734" s="21"/>
      <c r="J734" s="21"/>
      <c r="K734" s="21"/>
      <c r="L734" s="123"/>
      <c r="M734" s="21"/>
      <c r="N734" s="21"/>
      <c r="O734" s="21"/>
      <c r="P734" s="21"/>
      <c r="Q734" s="21"/>
      <c r="R734" s="21"/>
      <c r="S734" s="21"/>
      <c r="T734" s="41" t="str">
        <f>IFERROR(VLOOKUP(D734,BUSCARV!$A$1:$C$5524,2,0),"")</f>
        <v/>
      </c>
      <c r="U734" s="42"/>
      <c r="V734" s="42" t="str">
        <f t="shared" si="3"/>
        <v/>
      </c>
      <c r="W734" s="44" t="str">
        <f t="shared" si="36"/>
        <v/>
      </c>
      <c r="X734" s="44"/>
      <c r="Y734" s="44"/>
      <c r="Z734" s="131"/>
      <c r="AA734" s="131"/>
    </row>
    <row r="735">
      <c r="A735" s="21"/>
      <c r="B735" s="21"/>
      <c r="C735" s="21"/>
      <c r="D735" s="21"/>
      <c r="E735" s="21"/>
      <c r="F735" s="21"/>
      <c r="G735" s="21"/>
      <c r="H735" s="31" t="str">
        <f t="shared" si="29"/>
        <v/>
      </c>
      <c r="I735" s="21"/>
      <c r="J735" s="21"/>
      <c r="K735" s="21"/>
      <c r="L735" s="123"/>
      <c r="M735" s="21"/>
      <c r="N735" s="21"/>
      <c r="O735" s="21"/>
      <c r="P735" s="21"/>
      <c r="Q735" s="21"/>
      <c r="R735" s="21"/>
      <c r="S735" s="21"/>
      <c r="T735" s="41" t="str">
        <f>IFERROR(VLOOKUP(D735,BUSCARV!$A$1:$C$5524,2,0),"")</f>
        <v/>
      </c>
      <c r="U735" s="42"/>
      <c r="V735" s="42" t="str">
        <f t="shared" si="3"/>
        <v/>
      </c>
      <c r="W735" s="44" t="str">
        <f t="shared" si="36"/>
        <v/>
      </c>
      <c r="X735" s="44"/>
      <c r="Y735" s="44"/>
      <c r="Z735" s="131"/>
      <c r="AA735" s="131"/>
    </row>
    <row r="736">
      <c r="A736" s="21"/>
      <c r="B736" s="21"/>
      <c r="C736" s="21"/>
      <c r="D736" s="21"/>
      <c r="E736" s="21"/>
      <c r="F736" s="21"/>
      <c r="G736" s="21"/>
      <c r="H736" s="31" t="str">
        <f t="shared" si="29"/>
        <v/>
      </c>
      <c r="I736" s="21"/>
      <c r="J736" s="21"/>
      <c r="K736" s="21"/>
      <c r="L736" s="123"/>
      <c r="M736" s="21"/>
      <c r="N736" s="21"/>
      <c r="O736" s="21"/>
      <c r="P736" s="21"/>
      <c r="Q736" s="21"/>
      <c r="R736" s="21"/>
      <c r="S736" s="21"/>
      <c r="T736" s="41" t="str">
        <f>IFERROR(VLOOKUP(D736,BUSCARV!$A$1:$C$5524,2,0),"")</f>
        <v/>
      </c>
      <c r="U736" s="42"/>
      <c r="V736" s="42" t="str">
        <f t="shared" si="3"/>
        <v/>
      </c>
      <c r="W736" s="44" t="str">
        <f t="shared" si="36"/>
        <v/>
      </c>
      <c r="X736" s="44"/>
      <c r="Y736" s="44"/>
      <c r="Z736" s="131"/>
      <c r="AA736" s="131"/>
    </row>
    <row r="737">
      <c r="A737" s="21"/>
      <c r="B737" s="21"/>
      <c r="C737" s="21"/>
      <c r="D737" s="21"/>
      <c r="E737" s="21"/>
      <c r="F737" s="21"/>
      <c r="G737" s="21"/>
      <c r="H737" s="31" t="str">
        <f t="shared" si="29"/>
        <v/>
      </c>
      <c r="I737" s="21"/>
      <c r="J737" s="21"/>
      <c r="K737" s="21"/>
      <c r="L737" s="123"/>
      <c r="M737" s="21"/>
      <c r="N737" s="21"/>
      <c r="O737" s="21"/>
      <c r="P737" s="21"/>
      <c r="Q737" s="21"/>
      <c r="R737" s="21"/>
      <c r="S737" s="21"/>
      <c r="T737" s="41" t="str">
        <f>IFERROR(VLOOKUP(D737,BUSCARV!$A$1:$C$5524,2,0),"")</f>
        <v/>
      </c>
      <c r="U737" s="42"/>
      <c r="V737" s="42" t="str">
        <f t="shared" si="3"/>
        <v/>
      </c>
      <c r="W737" s="44" t="str">
        <f t="shared" si="36"/>
        <v/>
      </c>
      <c r="X737" s="44"/>
      <c r="Y737" s="44"/>
      <c r="Z737" s="131"/>
      <c r="AA737" s="131"/>
    </row>
    <row r="738">
      <c r="A738" s="21"/>
      <c r="B738" s="21"/>
      <c r="C738" s="21"/>
      <c r="D738" s="21"/>
      <c r="E738" s="21"/>
      <c r="F738" s="21"/>
      <c r="G738" s="21"/>
      <c r="H738" s="31" t="str">
        <f t="shared" si="29"/>
        <v/>
      </c>
      <c r="I738" s="21"/>
      <c r="J738" s="21"/>
      <c r="K738" s="21"/>
      <c r="L738" s="123"/>
      <c r="M738" s="21"/>
      <c r="N738" s="21"/>
      <c r="O738" s="21"/>
      <c r="P738" s="21"/>
      <c r="Q738" s="21"/>
      <c r="R738" s="21"/>
      <c r="S738" s="21"/>
      <c r="T738" s="41" t="str">
        <f>IFERROR(VLOOKUP(D738,BUSCARV!$A$1:$C$5524,2,0),"")</f>
        <v/>
      </c>
      <c r="U738" s="42"/>
      <c r="V738" s="42" t="str">
        <f t="shared" si="3"/>
        <v/>
      </c>
      <c r="W738" s="44" t="str">
        <f t="shared" si="36"/>
        <v/>
      </c>
      <c r="X738" s="44"/>
      <c r="Y738" s="44"/>
      <c r="Z738" s="131"/>
      <c r="AA738" s="131"/>
    </row>
    <row r="739">
      <c r="A739" s="21"/>
      <c r="B739" s="21"/>
      <c r="C739" s="21"/>
      <c r="D739" s="21"/>
      <c r="E739" s="21"/>
      <c r="F739" s="21"/>
      <c r="G739" s="21"/>
      <c r="H739" s="31" t="str">
        <f t="shared" si="29"/>
        <v/>
      </c>
      <c r="I739" s="21"/>
      <c r="J739" s="21"/>
      <c r="K739" s="21"/>
      <c r="L739" s="123"/>
      <c r="M739" s="21"/>
      <c r="N739" s="21"/>
      <c r="O739" s="21"/>
      <c r="P739" s="21"/>
      <c r="Q739" s="21"/>
      <c r="R739" s="21"/>
      <c r="S739" s="21"/>
      <c r="T739" s="41" t="str">
        <f>IFERROR(VLOOKUP(D739,BUSCARV!$A$1:$C$5524,2,0),"")</f>
        <v/>
      </c>
      <c r="U739" s="42"/>
      <c r="V739" s="42" t="str">
        <f t="shared" si="3"/>
        <v/>
      </c>
      <c r="W739" s="44" t="str">
        <f t="shared" si="36"/>
        <v/>
      </c>
      <c r="X739" s="44"/>
      <c r="Y739" s="44"/>
      <c r="Z739" s="131"/>
      <c r="AA739" s="131"/>
    </row>
    <row r="740">
      <c r="A740" s="21"/>
      <c r="B740" s="21"/>
      <c r="C740" s="21"/>
      <c r="D740" s="21"/>
      <c r="E740" s="21"/>
      <c r="F740" s="21"/>
      <c r="G740" s="21"/>
      <c r="H740" s="31" t="str">
        <f t="shared" si="29"/>
        <v/>
      </c>
      <c r="I740" s="21"/>
      <c r="J740" s="21"/>
      <c r="K740" s="21"/>
      <c r="L740" s="123"/>
      <c r="M740" s="21"/>
      <c r="N740" s="21"/>
      <c r="O740" s="21"/>
      <c r="P740" s="21"/>
      <c r="Q740" s="21"/>
      <c r="R740" s="21"/>
      <c r="S740" s="21"/>
      <c r="T740" s="41" t="str">
        <f>IFERROR(VLOOKUP(D740,BUSCARV!$A$1:$C$5524,2,0),"")</f>
        <v/>
      </c>
      <c r="U740" s="42"/>
      <c r="V740" s="42" t="str">
        <f t="shared" si="3"/>
        <v/>
      </c>
      <c r="W740" s="44" t="str">
        <f t="shared" si="36"/>
        <v/>
      </c>
      <c r="X740" s="44"/>
      <c r="Y740" s="44"/>
      <c r="Z740" s="131"/>
      <c r="AA740" s="131"/>
    </row>
    <row r="741">
      <c r="A741" s="21"/>
      <c r="B741" s="21"/>
      <c r="C741" s="21"/>
      <c r="D741" s="21"/>
      <c r="E741" s="21"/>
      <c r="F741" s="21"/>
      <c r="G741" s="21"/>
      <c r="H741" s="31" t="str">
        <f t="shared" si="29"/>
        <v/>
      </c>
      <c r="I741" s="21"/>
      <c r="J741" s="21"/>
      <c r="K741" s="21"/>
      <c r="L741" s="123"/>
      <c r="M741" s="21"/>
      <c r="N741" s="21"/>
      <c r="O741" s="21"/>
      <c r="P741" s="21"/>
      <c r="Q741" s="21"/>
      <c r="R741" s="21"/>
      <c r="S741" s="21"/>
      <c r="T741" s="41" t="str">
        <f>IFERROR(VLOOKUP(D741,BUSCARV!$A$1:$C$5524,2,0),"")</f>
        <v/>
      </c>
      <c r="U741" s="42"/>
      <c r="V741" s="42" t="str">
        <f t="shared" si="3"/>
        <v/>
      </c>
      <c r="W741" s="44" t="str">
        <f t="shared" si="36"/>
        <v/>
      </c>
      <c r="X741" s="44"/>
      <c r="Y741" s="44"/>
      <c r="Z741" s="131"/>
      <c r="AA741" s="131"/>
    </row>
    <row r="742">
      <c r="A742" s="21"/>
      <c r="B742" s="21"/>
      <c r="C742" s="21"/>
      <c r="D742" s="21"/>
      <c r="E742" s="21"/>
      <c r="F742" s="21"/>
      <c r="G742" s="21"/>
      <c r="H742" s="31" t="str">
        <f t="shared" si="29"/>
        <v/>
      </c>
      <c r="I742" s="21"/>
      <c r="J742" s="21"/>
      <c r="K742" s="21"/>
      <c r="L742" s="123"/>
      <c r="M742" s="21"/>
      <c r="N742" s="21"/>
      <c r="O742" s="21"/>
      <c r="P742" s="21"/>
      <c r="Q742" s="21"/>
      <c r="R742" s="21"/>
      <c r="S742" s="21"/>
      <c r="T742" s="41" t="str">
        <f>IFERROR(VLOOKUP(D742,BUSCARV!$A$1:$C$5524,2,0),"")</f>
        <v/>
      </c>
      <c r="U742" s="42"/>
      <c r="V742" s="42" t="str">
        <f t="shared" si="3"/>
        <v/>
      </c>
      <c r="W742" s="44" t="str">
        <f t="shared" si="36"/>
        <v/>
      </c>
      <c r="X742" s="44"/>
      <c r="Y742" s="44"/>
      <c r="Z742" s="131"/>
      <c r="AA742" s="131"/>
    </row>
    <row r="743">
      <c r="A743" s="21"/>
      <c r="B743" s="21"/>
      <c r="C743" s="21"/>
      <c r="D743" s="21"/>
      <c r="E743" s="21"/>
      <c r="F743" s="21"/>
      <c r="G743" s="21"/>
      <c r="H743" s="31" t="str">
        <f t="shared" si="29"/>
        <v/>
      </c>
      <c r="I743" s="21"/>
      <c r="J743" s="21"/>
      <c r="K743" s="21"/>
      <c r="L743" s="123"/>
      <c r="M743" s="21"/>
      <c r="N743" s="21"/>
      <c r="O743" s="21"/>
      <c r="P743" s="21"/>
      <c r="Q743" s="21"/>
      <c r="R743" s="21"/>
      <c r="S743" s="21"/>
      <c r="T743" s="41" t="str">
        <f>IFERROR(VLOOKUP(D743,BUSCARV!$A$1:$C$5524,2,0),"")</f>
        <v/>
      </c>
      <c r="U743" s="42"/>
      <c r="V743" s="42" t="str">
        <f t="shared" si="3"/>
        <v/>
      </c>
      <c r="W743" s="44" t="str">
        <f t="shared" si="36"/>
        <v/>
      </c>
      <c r="X743" s="44"/>
      <c r="Y743" s="44"/>
      <c r="Z743" s="131"/>
      <c r="AA743" s="131"/>
    </row>
    <row r="744">
      <c r="A744" s="21"/>
      <c r="B744" s="21"/>
      <c r="C744" s="21"/>
      <c r="D744" s="21"/>
      <c r="E744" s="21"/>
      <c r="F744" s="21"/>
      <c r="G744" s="21"/>
      <c r="H744" s="31" t="str">
        <f t="shared" si="29"/>
        <v/>
      </c>
      <c r="I744" s="21"/>
      <c r="J744" s="21"/>
      <c r="K744" s="21"/>
      <c r="L744" s="123"/>
      <c r="M744" s="21"/>
      <c r="N744" s="21"/>
      <c r="O744" s="21"/>
      <c r="P744" s="21"/>
      <c r="Q744" s="21"/>
      <c r="R744" s="21"/>
      <c r="S744" s="21"/>
      <c r="T744" s="41" t="str">
        <f>IFERROR(VLOOKUP(D744,BUSCARV!$A$1:$C$5524,2,0),"")</f>
        <v/>
      </c>
      <c r="U744" s="42"/>
      <c r="V744" s="42" t="str">
        <f t="shared" si="3"/>
        <v/>
      </c>
      <c r="W744" s="44" t="str">
        <f t="shared" si="36"/>
        <v/>
      </c>
      <c r="X744" s="44"/>
      <c r="Y744" s="44"/>
      <c r="Z744" s="131"/>
      <c r="AA744" s="131"/>
    </row>
    <row r="745">
      <c r="A745" s="21"/>
      <c r="B745" s="21"/>
      <c r="C745" s="21"/>
      <c r="D745" s="21"/>
      <c r="E745" s="21"/>
      <c r="F745" s="21"/>
      <c r="G745" s="21"/>
      <c r="H745" s="31" t="str">
        <f t="shared" si="29"/>
        <v/>
      </c>
      <c r="I745" s="21"/>
      <c r="J745" s="21"/>
      <c r="K745" s="21"/>
      <c r="L745" s="123"/>
      <c r="M745" s="21"/>
      <c r="N745" s="21"/>
      <c r="O745" s="21"/>
      <c r="P745" s="21"/>
      <c r="Q745" s="21"/>
      <c r="R745" s="21"/>
      <c r="S745" s="21"/>
      <c r="T745" s="41" t="str">
        <f>IFERROR(VLOOKUP(D745,BUSCARV!$A$1:$C$5524,2,0),"")</f>
        <v/>
      </c>
      <c r="U745" s="42"/>
      <c r="V745" s="42" t="str">
        <f t="shared" si="3"/>
        <v/>
      </c>
      <c r="W745" s="44" t="str">
        <f t="shared" si="36"/>
        <v/>
      </c>
      <c r="X745" s="44"/>
      <c r="Y745" s="44"/>
      <c r="Z745" s="131"/>
      <c r="AA745" s="131"/>
    </row>
    <row r="746">
      <c r="A746" s="21"/>
      <c r="B746" s="21"/>
      <c r="C746" s="21"/>
      <c r="D746" s="21"/>
      <c r="E746" s="21"/>
      <c r="F746" s="21"/>
      <c r="G746" s="21"/>
      <c r="H746" s="31" t="str">
        <f t="shared" si="29"/>
        <v/>
      </c>
      <c r="I746" s="21"/>
      <c r="J746" s="21"/>
      <c r="K746" s="21"/>
      <c r="L746" s="123"/>
      <c r="M746" s="21"/>
      <c r="N746" s="21"/>
      <c r="O746" s="21"/>
      <c r="P746" s="21"/>
      <c r="Q746" s="21"/>
      <c r="R746" s="21"/>
      <c r="S746" s="21"/>
      <c r="T746" s="41" t="str">
        <f>IFERROR(VLOOKUP(D746,BUSCARV!$A$1:$C$5524,2,0),"")</f>
        <v/>
      </c>
      <c r="U746" s="42"/>
      <c r="V746" s="42" t="str">
        <f t="shared" si="3"/>
        <v/>
      </c>
      <c r="W746" s="44" t="str">
        <f t="shared" si="36"/>
        <v/>
      </c>
      <c r="X746" s="44"/>
      <c r="Y746" s="44"/>
      <c r="Z746" s="131"/>
      <c r="AA746" s="131"/>
    </row>
    <row r="747">
      <c r="A747" s="21"/>
      <c r="B747" s="21"/>
      <c r="C747" s="21"/>
      <c r="D747" s="21"/>
      <c r="E747" s="21"/>
      <c r="F747" s="21"/>
      <c r="G747" s="21"/>
      <c r="H747" s="31" t="str">
        <f t="shared" si="29"/>
        <v/>
      </c>
      <c r="I747" s="21"/>
      <c r="J747" s="21"/>
      <c r="K747" s="21"/>
      <c r="L747" s="123"/>
      <c r="M747" s="21"/>
      <c r="N747" s="21"/>
      <c r="O747" s="21"/>
      <c r="P747" s="21"/>
      <c r="Q747" s="21"/>
      <c r="R747" s="21"/>
      <c r="S747" s="21"/>
      <c r="T747" s="41" t="str">
        <f>IFERROR(VLOOKUP(D747,BUSCARV!$A$1:$C$5524,2,0),"")</f>
        <v/>
      </c>
      <c r="U747" s="42"/>
      <c r="V747" s="42" t="str">
        <f t="shared" si="3"/>
        <v/>
      </c>
      <c r="W747" s="44" t="str">
        <f t="shared" si="36"/>
        <v/>
      </c>
      <c r="X747" s="44"/>
      <c r="Y747" s="44"/>
      <c r="Z747" s="131"/>
      <c r="AA747" s="131"/>
    </row>
    <row r="748">
      <c r="A748" s="21"/>
      <c r="B748" s="21"/>
      <c r="C748" s="21"/>
      <c r="D748" s="21"/>
      <c r="E748" s="21"/>
      <c r="F748" s="21"/>
      <c r="G748" s="21"/>
      <c r="H748" s="31" t="str">
        <f t="shared" si="29"/>
        <v/>
      </c>
      <c r="I748" s="21"/>
      <c r="J748" s="21"/>
      <c r="K748" s="21"/>
      <c r="L748" s="123"/>
      <c r="M748" s="21"/>
      <c r="N748" s="21"/>
      <c r="O748" s="21"/>
      <c r="P748" s="21"/>
      <c r="Q748" s="21"/>
      <c r="R748" s="21"/>
      <c r="S748" s="21"/>
      <c r="T748" s="41" t="str">
        <f>IFERROR(VLOOKUP(D748,BUSCARV!$A$1:$C$5524,2,0),"")</f>
        <v/>
      </c>
      <c r="U748" s="42"/>
      <c r="V748" s="42" t="str">
        <f t="shared" si="3"/>
        <v/>
      </c>
      <c r="W748" s="44" t="str">
        <f t="shared" si="36"/>
        <v/>
      </c>
      <c r="X748" s="44"/>
      <c r="Y748" s="44"/>
      <c r="Z748" s="131"/>
      <c r="AA748" s="131"/>
    </row>
    <row r="749">
      <c r="A749" s="21"/>
      <c r="B749" s="21"/>
      <c r="C749" s="21"/>
      <c r="D749" s="21"/>
      <c r="E749" s="21"/>
      <c r="F749" s="21"/>
      <c r="G749" s="21"/>
      <c r="H749" s="31" t="str">
        <f t="shared" si="29"/>
        <v/>
      </c>
      <c r="I749" s="21"/>
      <c r="J749" s="21"/>
      <c r="K749" s="21"/>
      <c r="L749" s="123"/>
      <c r="M749" s="21"/>
      <c r="N749" s="21"/>
      <c r="O749" s="21"/>
      <c r="P749" s="21"/>
      <c r="Q749" s="21"/>
      <c r="R749" s="21"/>
      <c r="S749" s="21"/>
      <c r="T749" s="41" t="str">
        <f>IFERROR(VLOOKUP(D749,BUSCARV!$A$1:$C$5524,2,0),"")</f>
        <v/>
      </c>
      <c r="U749" s="42"/>
      <c r="V749" s="42" t="str">
        <f t="shared" si="3"/>
        <v/>
      </c>
      <c r="W749" s="44" t="str">
        <f t="shared" si="36"/>
        <v/>
      </c>
      <c r="X749" s="44"/>
      <c r="Y749" s="44"/>
      <c r="Z749" s="131"/>
      <c r="AA749" s="131"/>
    </row>
    <row r="750">
      <c r="A750" s="21"/>
      <c r="B750" s="21"/>
      <c r="C750" s="21"/>
      <c r="D750" s="21"/>
      <c r="E750" s="21"/>
      <c r="F750" s="21"/>
      <c r="G750" s="21"/>
      <c r="H750" s="31" t="str">
        <f t="shared" si="29"/>
        <v/>
      </c>
      <c r="I750" s="21"/>
      <c r="J750" s="21"/>
      <c r="K750" s="21"/>
      <c r="L750" s="123"/>
      <c r="M750" s="21"/>
      <c r="N750" s="21"/>
      <c r="O750" s="21"/>
      <c r="P750" s="21"/>
      <c r="Q750" s="21"/>
      <c r="R750" s="21"/>
      <c r="S750" s="21"/>
      <c r="T750" s="41" t="str">
        <f>IFERROR(VLOOKUP(D750,BUSCARV!$A$1:$C$5524,2,0),"")</f>
        <v/>
      </c>
      <c r="U750" s="42"/>
      <c r="V750" s="42" t="str">
        <f t="shared" si="3"/>
        <v/>
      </c>
      <c r="W750" s="44" t="str">
        <f t="shared" si="36"/>
        <v/>
      </c>
      <c r="X750" s="44"/>
      <c r="Y750" s="44"/>
      <c r="Z750" s="131"/>
      <c r="AA750" s="131"/>
    </row>
    <row r="751">
      <c r="A751" s="21"/>
      <c r="B751" s="21"/>
      <c r="C751" s="21"/>
      <c r="D751" s="21"/>
      <c r="E751" s="21"/>
      <c r="F751" s="21"/>
      <c r="G751" s="21"/>
      <c r="H751" s="31" t="str">
        <f t="shared" si="29"/>
        <v/>
      </c>
      <c r="I751" s="21"/>
      <c r="J751" s="21"/>
      <c r="K751" s="21"/>
      <c r="L751" s="123"/>
      <c r="M751" s="21"/>
      <c r="N751" s="21"/>
      <c r="O751" s="21"/>
      <c r="P751" s="21"/>
      <c r="Q751" s="21"/>
      <c r="R751" s="21"/>
      <c r="S751" s="21"/>
      <c r="T751" s="41" t="str">
        <f>IFERROR(VLOOKUP(D751,BUSCARV!$A$1:$C$5524,2,0),"")</f>
        <v/>
      </c>
      <c r="U751" s="42"/>
      <c r="V751" s="42" t="str">
        <f t="shared" si="3"/>
        <v/>
      </c>
      <c r="W751" s="44" t="str">
        <f t="shared" si="36"/>
        <v/>
      </c>
      <c r="X751" s="44"/>
      <c r="Y751" s="44"/>
      <c r="Z751" s="131"/>
      <c r="AA751" s="131"/>
    </row>
    <row r="752">
      <c r="A752" s="21"/>
      <c r="B752" s="21"/>
      <c r="C752" s="21"/>
      <c r="D752" s="21"/>
      <c r="E752" s="21"/>
      <c r="F752" s="21"/>
      <c r="G752" s="21"/>
      <c r="H752" s="31" t="str">
        <f t="shared" si="29"/>
        <v/>
      </c>
      <c r="I752" s="21"/>
      <c r="J752" s="21"/>
      <c r="K752" s="21"/>
      <c r="L752" s="123"/>
      <c r="M752" s="21"/>
      <c r="N752" s="21"/>
      <c r="O752" s="21"/>
      <c r="P752" s="21"/>
      <c r="Q752" s="21"/>
      <c r="R752" s="21"/>
      <c r="S752" s="21"/>
      <c r="T752" s="41" t="str">
        <f>IFERROR(VLOOKUP(D752,BUSCARV!$A$1:$C$5524,2,0),"")</f>
        <v/>
      </c>
      <c r="U752" s="42"/>
      <c r="V752" s="42" t="str">
        <f t="shared" si="3"/>
        <v/>
      </c>
      <c r="W752" s="44" t="str">
        <f t="shared" si="36"/>
        <v/>
      </c>
      <c r="X752" s="44"/>
      <c r="Y752" s="44"/>
      <c r="Z752" s="131"/>
      <c r="AA752" s="131"/>
    </row>
    <row r="753">
      <c r="A753" s="21"/>
      <c r="B753" s="21"/>
      <c r="C753" s="21"/>
      <c r="D753" s="21"/>
      <c r="E753" s="21"/>
      <c r="F753" s="21"/>
      <c r="G753" s="21"/>
      <c r="H753" s="31" t="str">
        <f t="shared" si="29"/>
        <v/>
      </c>
      <c r="I753" s="21"/>
      <c r="J753" s="21"/>
      <c r="K753" s="21"/>
      <c r="L753" s="123"/>
      <c r="M753" s="21"/>
      <c r="N753" s="21"/>
      <c r="O753" s="21"/>
      <c r="P753" s="21"/>
      <c r="Q753" s="21"/>
      <c r="R753" s="21"/>
      <c r="S753" s="21"/>
      <c r="T753" s="41" t="str">
        <f>IFERROR(VLOOKUP(D753,BUSCARV!$A$1:$C$5524,2,0),"")</f>
        <v/>
      </c>
      <c r="U753" s="42"/>
      <c r="V753" s="42" t="str">
        <f t="shared" si="3"/>
        <v/>
      </c>
      <c r="W753" s="44" t="str">
        <f t="shared" si="36"/>
        <v/>
      </c>
      <c r="X753" s="44"/>
      <c r="Y753" s="44"/>
      <c r="Z753" s="131"/>
      <c r="AA753" s="131"/>
    </row>
    <row r="754">
      <c r="A754" s="21"/>
      <c r="B754" s="21"/>
      <c r="C754" s="21"/>
      <c r="D754" s="21"/>
      <c r="E754" s="21"/>
      <c r="F754" s="21"/>
      <c r="G754" s="21"/>
      <c r="H754" s="31" t="str">
        <f t="shared" si="29"/>
        <v/>
      </c>
      <c r="I754" s="21"/>
      <c r="J754" s="21"/>
      <c r="K754" s="21"/>
      <c r="L754" s="123"/>
      <c r="M754" s="21"/>
      <c r="N754" s="21"/>
      <c r="O754" s="21"/>
      <c r="P754" s="21"/>
      <c r="Q754" s="21"/>
      <c r="R754" s="21"/>
      <c r="S754" s="21"/>
      <c r="T754" s="41" t="str">
        <f>IFERROR(VLOOKUP(D754,BUSCARV!$A$1:$C$5524,2,0),"")</f>
        <v/>
      </c>
      <c r="U754" s="42"/>
      <c r="V754" s="42" t="str">
        <f t="shared" si="3"/>
        <v/>
      </c>
      <c r="W754" s="44" t="str">
        <f t="shared" si="36"/>
        <v/>
      </c>
      <c r="X754" s="44"/>
      <c r="Y754" s="44"/>
      <c r="Z754" s="131"/>
      <c r="AA754" s="131"/>
    </row>
    <row r="755">
      <c r="A755" s="21"/>
      <c r="B755" s="21"/>
      <c r="C755" s="21"/>
      <c r="D755" s="21"/>
      <c r="E755" s="21"/>
      <c r="F755" s="21"/>
      <c r="G755" s="21"/>
      <c r="H755" s="31" t="str">
        <f t="shared" si="29"/>
        <v/>
      </c>
      <c r="I755" s="21"/>
      <c r="J755" s="21"/>
      <c r="K755" s="21"/>
      <c r="L755" s="123"/>
      <c r="M755" s="21"/>
      <c r="N755" s="21"/>
      <c r="O755" s="21"/>
      <c r="P755" s="21"/>
      <c r="Q755" s="21"/>
      <c r="R755" s="21"/>
      <c r="S755" s="21"/>
      <c r="T755" s="41" t="str">
        <f>IFERROR(VLOOKUP(D755,BUSCARV!$A$1:$C$5524,2,0),"")</f>
        <v/>
      </c>
      <c r="U755" s="42"/>
      <c r="V755" s="42" t="str">
        <f t="shared" si="3"/>
        <v/>
      </c>
      <c r="W755" s="44" t="str">
        <f t="shared" si="36"/>
        <v/>
      </c>
      <c r="X755" s="44"/>
      <c r="Y755" s="44"/>
      <c r="Z755" s="131"/>
      <c r="AA755" s="131"/>
    </row>
    <row r="756">
      <c r="A756" s="21"/>
      <c r="B756" s="21"/>
      <c r="C756" s="21"/>
      <c r="D756" s="21"/>
      <c r="E756" s="21"/>
      <c r="F756" s="21"/>
      <c r="G756" s="21"/>
      <c r="H756" s="31" t="str">
        <f t="shared" si="29"/>
        <v/>
      </c>
      <c r="I756" s="21"/>
      <c r="J756" s="21"/>
      <c r="K756" s="21"/>
      <c r="L756" s="123"/>
      <c r="M756" s="21"/>
      <c r="N756" s="21"/>
      <c r="O756" s="21"/>
      <c r="P756" s="21"/>
      <c r="Q756" s="21"/>
      <c r="R756" s="21"/>
      <c r="S756" s="21"/>
      <c r="T756" s="41" t="str">
        <f>IFERROR(VLOOKUP(D756,BUSCARV!$A$1:$C$5524,2,0),"")</f>
        <v/>
      </c>
      <c r="U756" s="42"/>
      <c r="V756" s="42" t="str">
        <f t="shared" si="3"/>
        <v/>
      </c>
      <c r="W756" s="44" t="str">
        <f t="shared" si="36"/>
        <v/>
      </c>
      <c r="X756" s="44"/>
      <c r="Y756" s="44"/>
      <c r="Z756" s="131"/>
      <c r="AA756" s="131"/>
    </row>
    <row r="757">
      <c r="A757" s="21"/>
      <c r="B757" s="21"/>
      <c r="C757" s="21"/>
      <c r="D757" s="21"/>
      <c r="E757" s="21"/>
      <c r="F757" s="21"/>
      <c r="G757" s="21"/>
      <c r="H757" s="31" t="str">
        <f t="shared" si="29"/>
        <v/>
      </c>
      <c r="I757" s="21"/>
      <c r="J757" s="21"/>
      <c r="K757" s="21"/>
      <c r="L757" s="123"/>
      <c r="M757" s="21"/>
      <c r="N757" s="21"/>
      <c r="O757" s="21"/>
      <c r="P757" s="21"/>
      <c r="Q757" s="21"/>
      <c r="R757" s="21"/>
      <c r="S757" s="21"/>
      <c r="T757" s="41" t="str">
        <f>IFERROR(VLOOKUP(D757,BUSCARV!$A$1:$C$5524,2,0),"")</f>
        <v/>
      </c>
      <c r="U757" s="42"/>
      <c r="V757" s="42" t="str">
        <f t="shared" si="3"/>
        <v/>
      </c>
      <c r="W757" s="44" t="str">
        <f t="shared" si="36"/>
        <v/>
      </c>
      <c r="X757" s="44"/>
      <c r="Y757" s="44"/>
      <c r="Z757" s="131"/>
      <c r="AA757" s="131"/>
    </row>
    <row r="758">
      <c r="A758" s="21"/>
      <c r="B758" s="21"/>
      <c r="C758" s="21"/>
      <c r="D758" s="21"/>
      <c r="E758" s="21"/>
      <c r="F758" s="21"/>
      <c r="G758" s="21"/>
      <c r="H758" s="31" t="str">
        <f t="shared" si="29"/>
        <v/>
      </c>
      <c r="I758" s="21"/>
      <c r="J758" s="21"/>
      <c r="K758" s="21"/>
      <c r="L758" s="123"/>
      <c r="M758" s="21"/>
      <c r="N758" s="21"/>
      <c r="O758" s="21"/>
      <c r="P758" s="21"/>
      <c r="Q758" s="21"/>
      <c r="R758" s="21"/>
      <c r="S758" s="21"/>
      <c r="T758" s="41" t="str">
        <f>IFERROR(VLOOKUP(D758,BUSCARV!$A$1:$C$5524,2,0),"")</f>
        <v/>
      </c>
      <c r="U758" s="42"/>
      <c r="V758" s="42" t="str">
        <f t="shared" si="3"/>
        <v/>
      </c>
      <c r="W758" s="44" t="str">
        <f t="shared" si="36"/>
        <v/>
      </c>
      <c r="X758" s="44"/>
      <c r="Y758" s="44"/>
      <c r="Z758" s="131"/>
      <c r="AA758" s="131"/>
    </row>
    <row r="759">
      <c r="A759" s="21"/>
      <c r="B759" s="21"/>
      <c r="C759" s="21"/>
      <c r="D759" s="21"/>
      <c r="E759" s="21"/>
      <c r="F759" s="21"/>
      <c r="G759" s="21"/>
      <c r="H759" s="31" t="str">
        <f t="shared" si="29"/>
        <v/>
      </c>
      <c r="I759" s="21"/>
      <c r="J759" s="21"/>
      <c r="K759" s="21"/>
      <c r="L759" s="123"/>
      <c r="M759" s="21"/>
      <c r="N759" s="21"/>
      <c r="O759" s="21"/>
      <c r="P759" s="21"/>
      <c r="Q759" s="21"/>
      <c r="R759" s="21"/>
      <c r="S759" s="21"/>
      <c r="T759" s="41" t="str">
        <f>IFERROR(VLOOKUP(D759,BUSCARV!$A$1:$C$5524,2,0),"")</f>
        <v/>
      </c>
      <c r="U759" s="42"/>
      <c r="V759" s="42" t="str">
        <f t="shared" si="3"/>
        <v/>
      </c>
      <c r="W759" s="44" t="str">
        <f t="shared" si="36"/>
        <v/>
      </c>
      <c r="X759" s="44"/>
      <c r="Y759" s="44"/>
      <c r="Z759" s="131"/>
      <c r="AA759" s="131"/>
    </row>
    <row r="760">
      <c r="A760" s="21"/>
      <c r="B760" s="21"/>
      <c r="C760" s="21"/>
      <c r="D760" s="21"/>
      <c r="E760" s="21"/>
      <c r="F760" s="21"/>
      <c r="G760" s="21"/>
      <c r="H760" s="31" t="str">
        <f t="shared" si="29"/>
        <v/>
      </c>
      <c r="I760" s="21"/>
      <c r="J760" s="21"/>
      <c r="K760" s="21"/>
      <c r="L760" s="123"/>
      <c r="M760" s="21"/>
      <c r="N760" s="21"/>
      <c r="O760" s="21"/>
      <c r="P760" s="21"/>
      <c r="Q760" s="21"/>
      <c r="R760" s="21"/>
      <c r="S760" s="21"/>
      <c r="T760" s="41" t="str">
        <f>IFERROR(VLOOKUP(D760,BUSCARV!$A$1:$C$5524,2,0),"")</f>
        <v/>
      </c>
      <c r="U760" s="42"/>
      <c r="V760" s="42" t="str">
        <f t="shared" si="3"/>
        <v/>
      </c>
      <c r="W760" s="44" t="str">
        <f t="shared" si="36"/>
        <v/>
      </c>
      <c r="X760" s="44"/>
      <c r="Y760" s="44"/>
      <c r="Z760" s="131"/>
      <c r="AA760" s="131"/>
    </row>
    <row r="761">
      <c r="A761" s="21"/>
      <c r="B761" s="21"/>
      <c r="C761" s="21"/>
      <c r="D761" s="21"/>
      <c r="E761" s="21"/>
      <c r="F761" s="21"/>
      <c r="G761" s="21"/>
      <c r="H761" s="31" t="str">
        <f t="shared" si="29"/>
        <v/>
      </c>
      <c r="I761" s="21"/>
      <c r="J761" s="21"/>
      <c r="K761" s="21"/>
      <c r="L761" s="123"/>
      <c r="M761" s="21"/>
      <c r="N761" s="21"/>
      <c r="O761" s="21"/>
      <c r="P761" s="21"/>
      <c r="Q761" s="21"/>
      <c r="R761" s="21"/>
      <c r="S761" s="21"/>
      <c r="T761" s="41" t="str">
        <f>IFERROR(VLOOKUP(D761,BUSCARV!$A$1:$C$5524,2,0),"")</f>
        <v/>
      </c>
      <c r="U761" s="42"/>
      <c r="V761" s="42" t="str">
        <f t="shared" si="3"/>
        <v/>
      </c>
      <c r="W761" s="44" t="str">
        <f t="shared" si="36"/>
        <v/>
      </c>
      <c r="X761" s="44"/>
      <c r="Y761" s="44"/>
      <c r="Z761" s="131"/>
      <c r="AA761" s="131"/>
    </row>
    <row r="762">
      <c r="A762" s="21"/>
      <c r="B762" s="21"/>
      <c r="C762" s="21"/>
      <c r="D762" s="21"/>
      <c r="E762" s="21"/>
      <c r="F762" s="21"/>
      <c r="G762" s="21"/>
      <c r="H762" s="31" t="str">
        <f t="shared" si="29"/>
        <v/>
      </c>
      <c r="I762" s="21"/>
      <c r="J762" s="21"/>
      <c r="K762" s="21"/>
      <c r="L762" s="123"/>
      <c r="M762" s="21"/>
      <c r="N762" s="21"/>
      <c r="O762" s="21"/>
      <c r="P762" s="21"/>
      <c r="Q762" s="21"/>
      <c r="R762" s="21"/>
      <c r="S762" s="21"/>
      <c r="T762" s="41" t="str">
        <f>IFERROR(VLOOKUP(D762,BUSCARV!$A$1:$C$5524,2,0),"")</f>
        <v/>
      </c>
      <c r="U762" s="42"/>
      <c r="V762" s="42" t="str">
        <f t="shared" si="3"/>
        <v/>
      </c>
      <c r="W762" s="44" t="str">
        <f t="shared" si="36"/>
        <v/>
      </c>
      <c r="X762" s="44"/>
      <c r="Y762" s="44"/>
      <c r="Z762" s="131"/>
      <c r="AA762" s="131"/>
    </row>
    <row r="763">
      <c r="A763" s="21"/>
      <c r="B763" s="21"/>
      <c r="C763" s="21"/>
      <c r="D763" s="21"/>
      <c r="E763" s="21"/>
      <c r="F763" s="21"/>
      <c r="G763" s="21"/>
      <c r="H763" s="31" t="str">
        <f t="shared" si="29"/>
        <v/>
      </c>
      <c r="I763" s="21"/>
      <c r="J763" s="21"/>
      <c r="K763" s="21"/>
      <c r="L763" s="123"/>
      <c r="M763" s="21"/>
      <c r="N763" s="21"/>
      <c r="O763" s="21"/>
      <c r="P763" s="21"/>
      <c r="Q763" s="21"/>
      <c r="R763" s="21"/>
      <c r="S763" s="21"/>
      <c r="T763" s="41" t="str">
        <f>IFERROR(VLOOKUP(D763,BUSCARV!$A$1:$C$5524,2,0),"")</f>
        <v/>
      </c>
      <c r="U763" s="42"/>
      <c r="V763" s="42" t="str">
        <f t="shared" si="3"/>
        <v/>
      </c>
      <c r="W763" s="44" t="str">
        <f t="shared" si="36"/>
        <v/>
      </c>
      <c r="X763" s="44"/>
      <c r="Y763" s="44"/>
      <c r="Z763" s="131"/>
      <c r="AA763" s="131"/>
    </row>
    <row r="764">
      <c r="A764" s="21"/>
      <c r="B764" s="21"/>
      <c r="C764" s="21"/>
      <c r="D764" s="21"/>
      <c r="E764" s="21"/>
      <c r="F764" s="21"/>
      <c r="G764" s="21"/>
      <c r="H764" s="31" t="str">
        <f t="shared" si="29"/>
        <v/>
      </c>
      <c r="I764" s="21"/>
      <c r="J764" s="21"/>
      <c r="K764" s="21"/>
      <c r="L764" s="123"/>
      <c r="M764" s="21"/>
      <c r="N764" s="21"/>
      <c r="O764" s="21"/>
      <c r="P764" s="21"/>
      <c r="Q764" s="21"/>
      <c r="R764" s="21"/>
      <c r="S764" s="21"/>
      <c r="T764" s="41" t="str">
        <f>IFERROR(VLOOKUP(D764,BUSCARV!$A$1:$C$5524,2,0),"")</f>
        <v/>
      </c>
      <c r="U764" s="42"/>
      <c r="V764" s="42" t="str">
        <f t="shared" si="3"/>
        <v/>
      </c>
      <c r="W764" s="44" t="str">
        <f t="shared" si="36"/>
        <v/>
      </c>
      <c r="X764" s="44"/>
      <c r="Y764" s="44"/>
      <c r="Z764" s="131"/>
      <c r="AA764" s="131"/>
    </row>
    <row r="765">
      <c r="A765" s="21"/>
      <c r="B765" s="21"/>
      <c r="C765" s="21"/>
      <c r="D765" s="21"/>
      <c r="E765" s="21"/>
      <c r="F765" s="21"/>
      <c r="G765" s="21"/>
      <c r="H765" s="31" t="str">
        <f t="shared" si="29"/>
        <v/>
      </c>
      <c r="I765" s="21"/>
      <c r="J765" s="21"/>
      <c r="K765" s="21"/>
      <c r="L765" s="123"/>
      <c r="M765" s="21"/>
      <c r="N765" s="21"/>
      <c r="O765" s="21"/>
      <c r="P765" s="21"/>
      <c r="Q765" s="21"/>
      <c r="R765" s="21"/>
      <c r="S765" s="21"/>
      <c r="T765" s="41" t="str">
        <f>IFERROR(VLOOKUP(D765,BUSCARV!$A$1:$C$5524,2,0),"")</f>
        <v/>
      </c>
      <c r="U765" s="42"/>
      <c r="V765" s="42" t="str">
        <f t="shared" si="3"/>
        <v/>
      </c>
      <c r="W765" s="44" t="str">
        <f t="shared" si="36"/>
        <v/>
      </c>
      <c r="X765" s="44"/>
      <c r="Y765" s="44"/>
      <c r="Z765" s="131"/>
      <c r="AA765" s="131"/>
    </row>
    <row r="766">
      <c r="A766" s="21"/>
      <c r="B766" s="21"/>
      <c r="C766" s="21"/>
      <c r="D766" s="21"/>
      <c r="E766" s="21"/>
      <c r="F766" s="21"/>
      <c r="G766" s="21"/>
      <c r="H766" s="31" t="str">
        <f t="shared" si="29"/>
        <v/>
      </c>
      <c r="I766" s="21"/>
      <c r="J766" s="21"/>
      <c r="K766" s="21"/>
      <c r="L766" s="123"/>
      <c r="M766" s="21"/>
      <c r="N766" s="21"/>
      <c r="O766" s="21"/>
      <c r="P766" s="21"/>
      <c r="Q766" s="21"/>
      <c r="R766" s="21"/>
      <c r="S766" s="21"/>
      <c r="T766" s="41" t="str">
        <f>IFERROR(VLOOKUP(D766,BUSCARV!$A$1:$C$5524,2,0),"")</f>
        <v/>
      </c>
      <c r="U766" s="42"/>
      <c r="V766" s="42" t="str">
        <f t="shared" si="3"/>
        <v/>
      </c>
      <c r="W766" s="44" t="str">
        <f t="shared" si="36"/>
        <v/>
      </c>
      <c r="X766" s="44"/>
      <c r="Y766" s="44"/>
      <c r="Z766" s="131"/>
      <c r="AA766" s="131"/>
    </row>
    <row r="767">
      <c r="A767" s="21"/>
      <c r="B767" s="21"/>
      <c r="C767" s="21"/>
      <c r="D767" s="21"/>
      <c r="E767" s="21"/>
      <c r="F767" s="21"/>
      <c r="G767" s="21"/>
      <c r="H767" s="31" t="str">
        <f t="shared" si="29"/>
        <v/>
      </c>
      <c r="I767" s="21"/>
      <c r="J767" s="21"/>
      <c r="K767" s="21"/>
      <c r="L767" s="123"/>
      <c r="M767" s="21"/>
      <c r="N767" s="21"/>
      <c r="O767" s="21"/>
      <c r="P767" s="21"/>
      <c r="Q767" s="21"/>
      <c r="R767" s="21"/>
      <c r="S767" s="21"/>
      <c r="T767" s="41" t="str">
        <f>IFERROR(VLOOKUP(D767,BUSCARV!$A$1:$C$5524,2,0),"")</f>
        <v/>
      </c>
      <c r="U767" s="42"/>
      <c r="V767" s="42" t="str">
        <f t="shared" si="3"/>
        <v/>
      </c>
      <c r="W767" s="44" t="str">
        <f t="shared" si="36"/>
        <v/>
      </c>
      <c r="X767" s="44"/>
      <c r="Y767" s="44"/>
      <c r="Z767" s="131"/>
      <c r="AA767" s="131"/>
    </row>
    <row r="768">
      <c r="A768" s="21"/>
      <c r="B768" s="21"/>
      <c r="C768" s="21"/>
      <c r="D768" s="21"/>
      <c r="E768" s="21"/>
      <c r="F768" s="21"/>
      <c r="G768" s="21"/>
      <c r="H768" s="31" t="str">
        <f t="shared" si="29"/>
        <v/>
      </c>
      <c r="I768" s="21"/>
      <c r="J768" s="21"/>
      <c r="K768" s="21"/>
      <c r="L768" s="123"/>
      <c r="M768" s="21"/>
      <c r="N768" s="21"/>
      <c r="O768" s="21"/>
      <c r="P768" s="21"/>
      <c r="Q768" s="21"/>
      <c r="R768" s="21"/>
      <c r="S768" s="21"/>
      <c r="T768" s="41" t="str">
        <f>IFERROR(VLOOKUP(D768,BUSCARV!$A$1:$C$5524,2,0),"")</f>
        <v/>
      </c>
      <c r="U768" s="42"/>
      <c r="V768" s="42" t="str">
        <f t="shared" si="3"/>
        <v/>
      </c>
      <c r="W768" s="44" t="str">
        <f t="shared" si="36"/>
        <v/>
      </c>
      <c r="X768" s="44"/>
      <c r="Y768" s="44"/>
      <c r="Z768" s="131"/>
      <c r="AA768" s="131"/>
    </row>
    <row r="769">
      <c r="A769" s="21"/>
      <c r="B769" s="21"/>
      <c r="C769" s="21"/>
      <c r="D769" s="21"/>
      <c r="E769" s="21"/>
      <c r="F769" s="21"/>
      <c r="G769" s="21"/>
      <c r="H769" s="31" t="str">
        <f t="shared" si="29"/>
        <v/>
      </c>
      <c r="I769" s="21"/>
      <c r="J769" s="21"/>
      <c r="K769" s="21"/>
      <c r="L769" s="123"/>
      <c r="M769" s="21"/>
      <c r="N769" s="21"/>
      <c r="O769" s="21"/>
      <c r="P769" s="21"/>
      <c r="Q769" s="21"/>
      <c r="R769" s="21"/>
      <c r="S769" s="21"/>
      <c r="T769" s="41" t="str">
        <f>IFERROR(VLOOKUP(D769,BUSCARV!$A$1:$C$5524,2,0),"")</f>
        <v/>
      </c>
      <c r="U769" s="42"/>
      <c r="V769" s="42" t="str">
        <f t="shared" si="3"/>
        <v/>
      </c>
      <c r="W769" s="44" t="str">
        <f t="shared" si="36"/>
        <v/>
      </c>
      <c r="X769" s="44"/>
      <c r="Y769" s="44"/>
      <c r="Z769" s="131"/>
      <c r="AA769" s="131"/>
    </row>
    <row r="770">
      <c r="A770" s="21"/>
      <c r="B770" s="21"/>
      <c r="C770" s="21"/>
      <c r="D770" s="21"/>
      <c r="E770" s="21"/>
      <c r="F770" s="21"/>
      <c r="G770" s="21"/>
      <c r="H770" s="31" t="str">
        <f t="shared" si="29"/>
        <v/>
      </c>
      <c r="I770" s="21"/>
      <c r="J770" s="21"/>
      <c r="K770" s="21"/>
      <c r="L770" s="123"/>
      <c r="M770" s="21"/>
      <c r="N770" s="21"/>
      <c r="O770" s="21"/>
      <c r="P770" s="21"/>
      <c r="Q770" s="21"/>
      <c r="R770" s="21"/>
      <c r="S770" s="21"/>
      <c r="T770" s="41" t="str">
        <f>IFERROR(VLOOKUP(D770,BUSCARV!$A$1:$C$5524,2,0),"")</f>
        <v/>
      </c>
      <c r="U770" s="42"/>
      <c r="V770" s="42" t="str">
        <f t="shared" si="3"/>
        <v/>
      </c>
      <c r="W770" s="44" t="str">
        <f t="shared" si="36"/>
        <v/>
      </c>
      <c r="X770" s="44"/>
      <c r="Y770" s="44"/>
      <c r="Z770" s="131"/>
      <c r="AA770" s="131"/>
    </row>
    <row r="771">
      <c r="A771" s="21"/>
      <c r="B771" s="21"/>
      <c r="C771" s="21"/>
      <c r="D771" s="21"/>
      <c r="E771" s="21"/>
      <c r="F771" s="21"/>
      <c r="G771" s="21"/>
      <c r="H771" s="31" t="str">
        <f t="shared" si="29"/>
        <v/>
      </c>
      <c r="I771" s="21"/>
      <c r="J771" s="21"/>
      <c r="K771" s="21"/>
      <c r="L771" s="123"/>
      <c r="M771" s="21"/>
      <c r="N771" s="21"/>
      <c r="O771" s="21"/>
      <c r="P771" s="21"/>
      <c r="Q771" s="21"/>
      <c r="R771" s="21"/>
      <c r="S771" s="21"/>
      <c r="T771" s="41" t="str">
        <f>IFERROR(VLOOKUP(D771,BUSCARV!$A$1:$C$5524,2,0),"")</f>
        <v/>
      </c>
      <c r="U771" s="42"/>
      <c r="V771" s="42" t="str">
        <f t="shared" si="3"/>
        <v/>
      </c>
      <c r="W771" s="44" t="str">
        <f t="shared" si="36"/>
        <v/>
      </c>
      <c r="X771" s="44"/>
      <c r="Y771" s="44"/>
      <c r="Z771" s="131"/>
      <c r="AA771" s="131"/>
    </row>
    <row r="772">
      <c r="A772" s="21"/>
      <c r="B772" s="21"/>
      <c r="C772" s="21"/>
      <c r="D772" s="21"/>
      <c r="E772" s="21"/>
      <c r="F772" s="21"/>
      <c r="G772" s="21"/>
      <c r="H772" s="31" t="str">
        <f t="shared" si="29"/>
        <v/>
      </c>
      <c r="I772" s="21"/>
      <c r="J772" s="21"/>
      <c r="K772" s="21"/>
      <c r="L772" s="123"/>
      <c r="M772" s="21"/>
      <c r="N772" s="21"/>
      <c r="O772" s="21"/>
      <c r="P772" s="21"/>
      <c r="Q772" s="21"/>
      <c r="R772" s="21"/>
      <c r="S772" s="21"/>
      <c r="T772" s="41" t="str">
        <f>IFERROR(VLOOKUP(D772,BUSCARV!$A$1:$C$5524,2,0),"")</f>
        <v/>
      </c>
      <c r="U772" s="42"/>
      <c r="V772" s="42" t="str">
        <f t="shared" si="3"/>
        <v/>
      </c>
      <c r="W772" s="44" t="str">
        <f t="shared" si="36"/>
        <v/>
      </c>
      <c r="X772" s="44"/>
      <c r="Y772" s="44"/>
      <c r="Z772" s="131"/>
      <c r="AA772" s="131"/>
    </row>
    <row r="773">
      <c r="A773" s="21"/>
      <c r="B773" s="21"/>
      <c r="C773" s="21"/>
      <c r="D773" s="21"/>
      <c r="E773" s="21"/>
      <c r="F773" s="21"/>
      <c r="G773" s="21"/>
      <c r="H773" s="31" t="str">
        <f t="shared" si="29"/>
        <v/>
      </c>
      <c r="I773" s="21"/>
      <c r="J773" s="21"/>
      <c r="K773" s="21"/>
      <c r="L773" s="123"/>
      <c r="M773" s="21"/>
      <c r="N773" s="21"/>
      <c r="O773" s="21"/>
      <c r="P773" s="21"/>
      <c r="Q773" s="21"/>
      <c r="R773" s="21"/>
      <c r="S773" s="21"/>
      <c r="T773" s="41" t="str">
        <f>IFERROR(VLOOKUP(D773,BUSCARV!$A$1:$C$5524,2,0),"")</f>
        <v/>
      </c>
      <c r="U773" s="42"/>
      <c r="V773" s="42" t="str">
        <f t="shared" si="3"/>
        <v/>
      </c>
      <c r="W773" s="44" t="str">
        <f t="shared" si="36"/>
        <v/>
      </c>
      <c r="X773" s="44"/>
      <c r="Y773" s="44"/>
      <c r="Z773" s="131"/>
      <c r="AA773" s="131"/>
    </row>
    <row r="774">
      <c r="A774" s="21"/>
      <c r="B774" s="21"/>
      <c r="C774" s="21"/>
      <c r="D774" s="21"/>
      <c r="E774" s="21"/>
      <c r="F774" s="21"/>
      <c r="G774" s="21"/>
      <c r="H774" s="31" t="str">
        <f t="shared" si="29"/>
        <v/>
      </c>
      <c r="I774" s="21"/>
      <c r="J774" s="21"/>
      <c r="K774" s="21"/>
      <c r="L774" s="123"/>
      <c r="M774" s="21"/>
      <c r="N774" s="21"/>
      <c r="O774" s="21"/>
      <c r="P774" s="21"/>
      <c r="Q774" s="21"/>
      <c r="R774" s="21"/>
      <c r="S774" s="21"/>
      <c r="T774" s="41" t="str">
        <f>IFERROR(VLOOKUP(D774,BUSCARV!$A$1:$C$5524,2,0),"")</f>
        <v/>
      </c>
      <c r="U774" s="42"/>
      <c r="V774" s="42" t="str">
        <f t="shared" si="3"/>
        <v/>
      </c>
      <c r="W774" s="44" t="str">
        <f t="shared" si="36"/>
        <v/>
      </c>
      <c r="X774" s="44"/>
      <c r="Y774" s="44"/>
      <c r="Z774" s="131"/>
      <c r="AA774" s="131"/>
    </row>
    <row r="775">
      <c r="A775" s="21"/>
      <c r="B775" s="21"/>
      <c r="C775" s="21"/>
      <c r="D775" s="21"/>
      <c r="E775" s="21"/>
      <c r="F775" s="21"/>
      <c r="G775" s="21"/>
      <c r="H775" s="31" t="str">
        <f t="shared" si="29"/>
        <v/>
      </c>
      <c r="I775" s="21"/>
      <c r="J775" s="21"/>
      <c r="K775" s="21"/>
      <c r="L775" s="123"/>
      <c r="M775" s="21"/>
      <c r="N775" s="21"/>
      <c r="O775" s="21"/>
      <c r="P775" s="21"/>
      <c r="Q775" s="21"/>
      <c r="R775" s="21"/>
      <c r="S775" s="21"/>
      <c r="T775" s="41" t="str">
        <f>IFERROR(VLOOKUP(D775,BUSCARV!$A$1:$C$5524,2,0),"")</f>
        <v/>
      </c>
      <c r="U775" s="42"/>
      <c r="V775" s="42" t="str">
        <f t="shared" si="3"/>
        <v/>
      </c>
      <c r="W775" s="44" t="str">
        <f t="shared" si="36"/>
        <v/>
      </c>
      <c r="X775" s="44"/>
      <c r="Y775" s="44"/>
      <c r="Z775" s="131"/>
      <c r="AA775" s="131"/>
    </row>
    <row r="776">
      <c r="A776" s="21"/>
      <c r="B776" s="21"/>
      <c r="C776" s="21"/>
      <c r="D776" s="21"/>
      <c r="E776" s="21"/>
      <c r="F776" s="21"/>
      <c r="G776" s="21"/>
      <c r="H776" s="31" t="str">
        <f t="shared" si="29"/>
        <v/>
      </c>
      <c r="I776" s="21"/>
      <c r="J776" s="21"/>
      <c r="K776" s="21"/>
      <c r="L776" s="123"/>
      <c r="M776" s="21"/>
      <c r="N776" s="21"/>
      <c r="O776" s="21"/>
      <c r="P776" s="21"/>
      <c r="Q776" s="21"/>
      <c r="R776" s="21"/>
      <c r="S776" s="21"/>
      <c r="T776" s="41" t="str">
        <f>IFERROR(VLOOKUP(D776,BUSCARV!$A$1:$C$5524,2,0),"")</f>
        <v/>
      </c>
      <c r="U776" s="42"/>
      <c r="V776" s="42" t="str">
        <f t="shared" si="3"/>
        <v/>
      </c>
      <c r="W776" s="44" t="str">
        <f t="shared" si="36"/>
        <v/>
      </c>
      <c r="X776" s="44"/>
      <c r="Y776" s="44"/>
      <c r="Z776" s="131"/>
      <c r="AA776" s="131"/>
    </row>
    <row r="777">
      <c r="A777" s="21"/>
      <c r="B777" s="21"/>
      <c r="C777" s="21"/>
      <c r="D777" s="21"/>
      <c r="E777" s="21"/>
      <c r="F777" s="21"/>
      <c r="G777" s="21"/>
      <c r="H777" s="31" t="str">
        <f t="shared" si="29"/>
        <v/>
      </c>
      <c r="I777" s="21"/>
      <c r="J777" s="21"/>
      <c r="K777" s="21"/>
      <c r="L777" s="123"/>
      <c r="M777" s="21"/>
      <c r="N777" s="21"/>
      <c r="O777" s="21"/>
      <c r="P777" s="21"/>
      <c r="Q777" s="21"/>
      <c r="R777" s="21"/>
      <c r="S777" s="21"/>
      <c r="T777" s="41" t="str">
        <f>IFERROR(VLOOKUP(D777,BUSCARV!$A$1:$C$5524,2,0),"")</f>
        <v/>
      </c>
      <c r="U777" s="42"/>
      <c r="V777" s="42" t="str">
        <f t="shared" si="3"/>
        <v/>
      </c>
      <c r="W777" s="44" t="str">
        <f t="shared" si="36"/>
        <v/>
      </c>
      <c r="X777" s="44"/>
      <c r="Y777" s="44"/>
      <c r="Z777" s="131"/>
      <c r="AA777" s="131"/>
    </row>
    <row r="778">
      <c r="A778" s="21"/>
      <c r="B778" s="21"/>
      <c r="C778" s="21"/>
      <c r="D778" s="21"/>
      <c r="E778" s="21"/>
      <c r="F778" s="21"/>
      <c r="G778" s="21"/>
      <c r="H778" s="31" t="str">
        <f t="shared" si="29"/>
        <v/>
      </c>
      <c r="I778" s="21"/>
      <c r="J778" s="21"/>
      <c r="K778" s="21"/>
      <c r="L778" s="123"/>
      <c r="M778" s="21"/>
      <c r="N778" s="21"/>
      <c r="O778" s="21"/>
      <c r="P778" s="21"/>
      <c r="Q778" s="21"/>
      <c r="R778" s="21"/>
      <c r="S778" s="21"/>
      <c r="T778" s="41" t="str">
        <f>IFERROR(VLOOKUP(D778,BUSCARV!$A$1:$C$5524,2,0),"")</f>
        <v/>
      </c>
      <c r="U778" s="42"/>
      <c r="V778" s="42" t="str">
        <f t="shared" si="3"/>
        <v/>
      </c>
      <c r="W778" s="44" t="str">
        <f t="shared" si="36"/>
        <v/>
      </c>
      <c r="X778" s="44"/>
      <c r="Y778" s="44"/>
      <c r="Z778" s="131"/>
      <c r="AA778" s="131"/>
    </row>
    <row r="779">
      <c r="A779" s="21"/>
      <c r="B779" s="21"/>
      <c r="C779" s="21"/>
      <c r="D779" s="21"/>
      <c r="E779" s="21"/>
      <c r="F779" s="21"/>
      <c r="G779" s="21"/>
      <c r="H779" s="31" t="str">
        <f t="shared" si="29"/>
        <v/>
      </c>
      <c r="I779" s="21"/>
      <c r="J779" s="21"/>
      <c r="K779" s="21"/>
      <c r="L779" s="123"/>
      <c r="M779" s="21"/>
      <c r="N779" s="21"/>
      <c r="O779" s="21"/>
      <c r="P779" s="21"/>
      <c r="Q779" s="21"/>
      <c r="R779" s="21"/>
      <c r="S779" s="21"/>
      <c r="T779" s="41" t="str">
        <f>IFERROR(VLOOKUP(D779,BUSCARV!$A$1:$C$5524,2,0),"")</f>
        <v/>
      </c>
      <c r="U779" s="42"/>
      <c r="V779" s="42" t="str">
        <f t="shared" si="3"/>
        <v/>
      </c>
      <c r="W779" s="44" t="str">
        <f t="shared" si="36"/>
        <v/>
      </c>
      <c r="X779" s="44"/>
      <c r="Y779" s="44"/>
      <c r="Z779" s="131"/>
      <c r="AA779" s="131"/>
    </row>
    <row r="780">
      <c r="A780" s="21"/>
      <c r="B780" s="21"/>
      <c r="C780" s="21"/>
      <c r="D780" s="21"/>
      <c r="E780" s="21"/>
      <c r="F780" s="21"/>
      <c r="G780" s="21"/>
      <c r="H780" s="31" t="str">
        <f t="shared" si="29"/>
        <v/>
      </c>
      <c r="I780" s="21"/>
      <c r="J780" s="21"/>
      <c r="K780" s="21"/>
      <c r="L780" s="123"/>
      <c r="M780" s="21"/>
      <c r="N780" s="21"/>
      <c r="O780" s="21"/>
      <c r="P780" s="21"/>
      <c r="Q780" s="21"/>
      <c r="R780" s="21"/>
      <c r="S780" s="21"/>
      <c r="T780" s="41" t="str">
        <f>IFERROR(VLOOKUP(D780,BUSCARV!$A$1:$C$5524,2,0),"")</f>
        <v/>
      </c>
      <c r="U780" s="42"/>
      <c r="V780" s="42" t="str">
        <f t="shared" si="3"/>
        <v/>
      </c>
      <c r="W780" s="44" t="str">
        <f t="shared" si="36"/>
        <v/>
      </c>
      <c r="X780" s="44"/>
      <c r="Y780" s="44"/>
      <c r="Z780" s="131"/>
      <c r="AA780" s="131"/>
    </row>
    <row r="781">
      <c r="A781" s="21"/>
      <c r="B781" s="21"/>
      <c r="C781" s="21"/>
      <c r="D781" s="21"/>
      <c r="E781" s="21"/>
      <c r="F781" s="21"/>
      <c r="G781" s="21"/>
      <c r="H781" s="31" t="str">
        <f t="shared" si="29"/>
        <v/>
      </c>
      <c r="I781" s="21"/>
      <c r="J781" s="21"/>
      <c r="K781" s="21"/>
      <c r="L781" s="123"/>
      <c r="M781" s="21"/>
      <c r="N781" s="21"/>
      <c r="O781" s="21"/>
      <c r="P781" s="21"/>
      <c r="Q781" s="21"/>
      <c r="R781" s="21"/>
      <c r="S781" s="21"/>
      <c r="T781" s="41" t="str">
        <f>IFERROR(VLOOKUP(D781,BUSCARV!$A$1:$C$5524,2,0),"")</f>
        <v/>
      </c>
      <c r="U781" s="42"/>
      <c r="V781" s="42" t="str">
        <f t="shared" si="3"/>
        <v/>
      </c>
      <c r="W781" s="44" t="str">
        <f t="shared" si="36"/>
        <v/>
      </c>
      <c r="X781" s="44"/>
      <c r="Y781" s="44"/>
      <c r="Z781" s="131"/>
      <c r="AA781" s="131"/>
    </row>
    <row r="782">
      <c r="A782" s="21"/>
      <c r="B782" s="21"/>
      <c r="C782" s="21"/>
      <c r="D782" s="21"/>
      <c r="E782" s="21"/>
      <c r="F782" s="21"/>
      <c r="G782" s="21"/>
      <c r="H782" s="31" t="str">
        <f t="shared" si="29"/>
        <v/>
      </c>
      <c r="I782" s="21"/>
      <c r="J782" s="21"/>
      <c r="K782" s="21"/>
      <c r="L782" s="123"/>
      <c r="M782" s="21"/>
      <c r="N782" s="21"/>
      <c r="O782" s="21"/>
      <c r="P782" s="21"/>
      <c r="Q782" s="21"/>
      <c r="R782" s="21"/>
      <c r="S782" s="21"/>
      <c r="T782" s="41" t="str">
        <f>IFERROR(VLOOKUP(D782,BUSCARV!$A$1:$C$5524,2,0),"")</f>
        <v/>
      </c>
      <c r="U782" s="42"/>
      <c r="V782" s="42" t="str">
        <f t="shared" si="3"/>
        <v/>
      </c>
      <c r="W782" s="44" t="str">
        <f t="shared" si="36"/>
        <v/>
      </c>
      <c r="X782" s="44"/>
      <c r="Y782" s="44"/>
      <c r="Z782" s="131"/>
      <c r="AA782" s="131"/>
    </row>
    <row r="783">
      <c r="A783" s="21"/>
      <c r="B783" s="21"/>
      <c r="C783" s="21"/>
      <c r="D783" s="21"/>
      <c r="E783" s="21"/>
      <c r="F783" s="21"/>
      <c r="G783" s="21"/>
      <c r="H783" s="31" t="str">
        <f t="shared" si="29"/>
        <v/>
      </c>
      <c r="I783" s="21"/>
      <c r="J783" s="21"/>
      <c r="K783" s="21"/>
      <c r="L783" s="123"/>
      <c r="M783" s="21"/>
      <c r="N783" s="21"/>
      <c r="O783" s="21"/>
      <c r="P783" s="21"/>
      <c r="Q783" s="21"/>
      <c r="R783" s="21"/>
      <c r="S783" s="21"/>
      <c r="T783" s="41" t="str">
        <f>IFERROR(VLOOKUP(D783,BUSCARV!$A$1:$C$5524,2,0),"")</f>
        <v/>
      </c>
      <c r="U783" s="42"/>
      <c r="V783" s="42" t="str">
        <f t="shared" si="3"/>
        <v/>
      </c>
      <c r="W783" s="44" t="str">
        <f t="shared" si="36"/>
        <v/>
      </c>
      <c r="X783" s="44"/>
      <c r="Y783" s="44"/>
      <c r="Z783" s="131"/>
      <c r="AA783" s="131"/>
    </row>
    <row r="784">
      <c r="A784" s="21"/>
      <c r="B784" s="21"/>
      <c r="C784" s="21"/>
      <c r="D784" s="21"/>
      <c r="E784" s="21"/>
      <c r="F784" s="21"/>
      <c r="G784" s="21"/>
      <c r="H784" s="31" t="str">
        <f t="shared" si="29"/>
        <v/>
      </c>
      <c r="I784" s="21"/>
      <c r="J784" s="21"/>
      <c r="K784" s="21"/>
      <c r="L784" s="123"/>
      <c r="M784" s="21"/>
      <c r="N784" s="21"/>
      <c r="O784" s="21"/>
      <c r="P784" s="21"/>
      <c r="Q784" s="21"/>
      <c r="R784" s="21"/>
      <c r="S784" s="21"/>
      <c r="T784" s="41" t="str">
        <f>IFERROR(VLOOKUP(D784,BUSCARV!$A$1:$C$5524,2,0),"")</f>
        <v/>
      </c>
      <c r="U784" s="42"/>
      <c r="V784" s="42" t="str">
        <f t="shared" si="3"/>
        <v/>
      </c>
      <c r="W784" s="44" t="str">
        <f t="shared" si="36"/>
        <v/>
      </c>
      <c r="X784" s="44"/>
      <c r="Y784" s="44"/>
      <c r="Z784" s="131"/>
      <c r="AA784" s="131"/>
    </row>
    <row r="785">
      <c r="A785" s="21"/>
      <c r="B785" s="21"/>
      <c r="C785" s="21"/>
      <c r="D785" s="21"/>
      <c r="E785" s="21"/>
      <c r="F785" s="21"/>
      <c r="G785" s="21"/>
      <c r="H785" s="31" t="str">
        <f t="shared" si="29"/>
        <v/>
      </c>
      <c r="I785" s="21"/>
      <c r="J785" s="21"/>
      <c r="K785" s="21"/>
      <c r="L785" s="123"/>
      <c r="M785" s="21"/>
      <c r="N785" s="21"/>
      <c r="O785" s="21"/>
      <c r="P785" s="21"/>
      <c r="Q785" s="21"/>
      <c r="R785" s="21"/>
      <c r="S785" s="21"/>
      <c r="T785" s="41" t="str">
        <f>IFERROR(VLOOKUP(D785,BUSCARV!$A$1:$C$5524,2,0),"")</f>
        <v/>
      </c>
      <c r="U785" s="42"/>
      <c r="V785" s="42" t="str">
        <f t="shared" si="3"/>
        <v/>
      </c>
      <c r="W785" s="44" t="str">
        <f t="shared" si="36"/>
        <v/>
      </c>
      <c r="X785" s="44"/>
      <c r="Y785" s="44"/>
      <c r="Z785" s="131"/>
      <c r="AA785" s="131"/>
    </row>
    <row r="786">
      <c r="A786" s="21"/>
      <c r="B786" s="21"/>
      <c r="C786" s="21"/>
      <c r="D786" s="21"/>
      <c r="E786" s="21"/>
      <c r="F786" s="21"/>
      <c r="G786" s="21"/>
      <c r="H786" s="31" t="str">
        <f t="shared" si="29"/>
        <v/>
      </c>
      <c r="I786" s="21"/>
      <c r="J786" s="21"/>
      <c r="K786" s="21"/>
      <c r="L786" s="123"/>
      <c r="M786" s="21"/>
      <c r="N786" s="21"/>
      <c r="O786" s="21"/>
      <c r="P786" s="21"/>
      <c r="Q786" s="21"/>
      <c r="R786" s="21"/>
      <c r="S786" s="21"/>
      <c r="T786" s="41" t="str">
        <f>IFERROR(VLOOKUP(D786,BUSCARV!$A$1:$C$5524,2,0),"")</f>
        <v/>
      </c>
      <c r="U786" s="42"/>
      <c r="V786" s="42" t="str">
        <f t="shared" si="3"/>
        <v/>
      </c>
      <c r="W786" s="44" t="str">
        <f t="shared" si="36"/>
        <v/>
      </c>
      <c r="X786" s="44"/>
      <c r="Y786" s="44"/>
      <c r="Z786" s="131"/>
      <c r="AA786" s="131"/>
    </row>
    <row r="787">
      <c r="A787" s="21"/>
      <c r="B787" s="21"/>
      <c r="C787" s="21"/>
      <c r="D787" s="21"/>
      <c r="E787" s="21"/>
      <c r="F787" s="21"/>
      <c r="G787" s="21"/>
      <c r="H787" s="31" t="str">
        <f t="shared" si="29"/>
        <v/>
      </c>
      <c r="I787" s="21"/>
      <c r="J787" s="21"/>
      <c r="K787" s="21"/>
      <c r="L787" s="123"/>
      <c r="M787" s="21"/>
      <c r="N787" s="21"/>
      <c r="O787" s="21"/>
      <c r="P787" s="21"/>
      <c r="Q787" s="21"/>
      <c r="R787" s="21"/>
      <c r="S787" s="21"/>
      <c r="T787" s="41" t="str">
        <f>IFERROR(VLOOKUP(D787,BUSCARV!$A$1:$C$5524,2,0),"")</f>
        <v/>
      </c>
      <c r="U787" s="42"/>
      <c r="V787" s="42" t="str">
        <f t="shared" si="3"/>
        <v/>
      </c>
      <c r="W787" s="44" t="str">
        <f t="shared" si="36"/>
        <v/>
      </c>
      <c r="X787" s="44"/>
      <c r="Y787" s="44"/>
      <c r="Z787" s="131"/>
      <c r="AA787" s="131"/>
    </row>
    <row r="788">
      <c r="A788" s="21"/>
      <c r="B788" s="21"/>
      <c r="C788" s="21"/>
      <c r="D788" s="21"/>
      <c r="E788" s="21"/>
      <c r="F788" s="21"/>
      <c r="G788" s="21"/>
      <c r="H788" s="31" t="str">
        <f t="shared" si="29"/>
        <v/>
      </c>
      <c r="I788" s="21"/>
      <c r="J788" s="21"/>
      <c r="K788" s="21"/>
      <c r="L788" s="123"/>
      <c r="M788" s="21"/>
      <c r="N788" s="21"/>
      <c r="O788" s="21"/>
      <c r="P788" s="21"/>
      <c r="Q788" s="21"/>
      <c r="R788" s="21"/>
      <c r="S788" s="21"/>
      <c r="T788" s="41" t="str">
        <f>IFERROR(VLOOKUP(D788,BUSCARV!$A$1:$C$5524,2,0),"")</f>
        <v/>
      </c>
      <c r="U788" s="42"/>
      <c r="V788" s="42" t="str">
        <f t="shared" si="3"/>
        <v/>
      </c>
      <c r="W788" s="44" t="str">
        <f t="shared" si="36"/>
        <v/>
      </c>
      <c r="X788" s="44"/>
      <c r="Y788" s="44"/>
      <c r="Z788" s="131"/>
      <c r="AA788" s="131"/>
    </row>
    <row r="789">
      <c r="A789" s="21"/>
      <c r="B789" s="21"/>
      <c r="C789" s="21"/>
      <c r="D789" s="21"/>
      <c r="E789" s="21"/>
      <c r="F789" s="21"/>
      <c r="G789" s="21"/>
      <c r="H789" s="31" t="str">
        <f t="shared" si="29"/>
        <v/>
      </c>
      <c r="I789" s="21"/>
      <c r="J789" s="21"/>
      <c r="K789" s="21"/>
      <c r="L789" s="123"/>
      <c r="M789" s="21"/>
      <c r="N789" s="21"/>
      <c r="O789" s="21"/>
      <c r="P789" s="21"/>
      <c r="Q789" s="21"/>
      <c r="R789" s="21"/>
      <c r="S789" s="21"/>
      <c r="T789" s="41" t="str">
        <f>IFERROR(VLOOKUP(D789,BUSCARV!$A$1:$C$5524,2,0),"")</f>
        <v/>
      </c>
      <c r="U789" s="42"/>
      <c r="V789" s="42" t="str">
        <f t="shared" si="3"/>
        <v/>
      </c>
      <c r="W789" s="44" t="str">
        <f t="shared" si="36"/>
        <v/>
      </c>
      <c r="X789" s="44"/>
      <c r="Y789" s="44"/>
      <c r="Z789" s="131"/>
      <c r="AA789" s="131"/>
    </row>
    <row r="790">
      <c r="A790" s="21"/>
      <c r="B790" s="21"/>
      <c r="C790" s="21"/>
      <c r="D790" s="21"/>
      <c r="E790" s="21"/>
      <c r="F790" s="21"/>
      <c r="G790" s="21"/>
      <c r="H790" s="31" t="str">
        <f t="shared" si="29"/>
        <v/>
      </c>
      <c r="I790" s="21"/>
      <c r="J790" s="21"/>
      <c r="K790" s="21"/>
      <c r="L790" s="123"/>
      <c r="M790" s="21"/>
      <c r="N790" s="21"/>
      <c r="O790" s="21"/>
      <c r="P790" s="21"/>
      <c r="Q790" s="21"/>
      <c r="R790" s="21"/>
      <c r="S790" s="21"/>
      <c r="T790" s="41" t="str">
        <f>IFERROR(VLOOKUP(D790,BUSCARV!$A$1:$C$5524,2,0),"")</f>
        <v/>
      </c>
      <c r="U790" s="42"/>
      <c r="V790" s="42" t="str">
        <f t="shared" si="3"/>
        <v/>
      </c>
      <c r="W790" s="44" t="str">
        <f t="shared" si="36"/>
        <v/>
      </c>
      <c r="X790" s="44"/>
      <c r="Y790" s="44"/>
      <c r="Z790" s="131"/>
      <c r="AA790" s="131"/>
    </row>
    <row r="791">
      <c r="A791" s="21"/>
      <c r="B791" s="21"/>
      <c r="C791" s="21"/>
      <c r="D791" s="21"/>
      <c r="E791" s="21"/>
      <c r="F791" s="21"/>
      <c r="G791" s="21"/>
      <c r="H791" s="31" t="str">
        <f t="shared" si="29"/>
        <v/>
      </c>
      <c r="I791" s="21"/>
      <c r="J791" s="21"/>
      <c r="K791" s="21"/>
      <c r="L791" s="123"/>
      <c r="M791" s="21"/>
      <c r="N791" s="21"/>
      <c r="O791" s="21"/>
      <c r="P791" s="21"/>
      <c r="Q791" s="21"/>
      <c r="R791" s="21"/>
      <c r="S791" s="21"/>
      <c r="T791" s="41" t="str">
        <f>IFERROR(VLOOKUP(D791,BUSCARV!$A$1:$C$5524,2,0),"")</f>
        <v/>
      </c>
      <c r="U791" s="42"/>
      <c r="V791" s="42" t="str">
        <f t="shared" si="3"/>
        <v/>
      </c>
      <c r="W791" s="44" t="str">
        <f t="shared" si="36"/>
        <v/>
      </c>
      <c r="X791" s="44"/>
      <c r="Y791" s="44"/>
      <c r="Z791" s="131"/>
      <c r="AA791" s="131"/>
    </row>
    <row r="792">
      <c r="A792" s="21"/>
      <c r="B792" s="21"/>
      <c r="C792" s="21"/>
      <c r="D792" s="21"/>
      <c r="E792" s="21"/>
      <c r="F792" s="21"/>
      <c r="G792" s="21"/>
      <c r="H792" s="31" t="str">
        <f t="shared" si="29"/>
        <v/>
      </c>
      <c r="I792" s="21"/>
      <c r="J792" s="21"/>
      <c r="K792" s="21"/>
      <c r="L792" s="123"/>
      <c r="M792" s="21"/>
      <c r="N792" s="21"/>
      <c r="O792" s="21"/>
      <c r="P792" s="21"/>
      <c r="Q792" s="21"/>
      <c r="R792" s="21"/>
      <c r="S792" s="21"/>
      <c r="T792" s="41" t="str">
        <f>IFERROR(VLOOKUP(D792,BUSCARV!$A$1:$C$5524,2,0),"")</f>
        <v/>
      </c>
      <c r="U792" s="42"/>
      <c r="V792" s="42" t="str">
        <f t="shared" si="3"/>
        <v/>
      </c>
      <c r="W792" s="44" t="str">
        <f t="shared" si="36"/>
        <v/>
      </c>
      <c r="X792" s="44"/>
      <c r="Y792" s="44"/>
      <c r="Z792" s="131"/>
      <c r="AA792" s="131"/>
    </row>
    <row r="793">
      <c r="A793" s="21"/>
      <c r="B793" s="21"/>
      <c r="C793" s="21"/>
      <c r="D793" s="21"/>
      <c r="E793" s="21"/>
      <c r="F793" s="21"/>
      <c r="G793" s="21"/>
      <c r="H793" s="31" t="str">
        <f t="shared" si="29"/>
        <v/>
      </c>
      <c r="I793" s="21"/>
      <c r="J793" s="21"/>
      <c r="K793" s="21"/>
      <c r="L793" s="123"/>
      <c r="M793" s="21"/>
      <c r="N793" s="21"/>
      <c r="O793" s="21"/>
      <c r="P793" s="21"/>
      <c r="Q793" s="21"/>
      <c r="R793" s="21"/>
      <c r="S793" s="21"/>
      <c r="T793" s="41" t="str">
        <f>IFERROR(VLOOKUP(D793,BUSCARV!$A$1:$C$5524,2,0),"")</f>
        <v/>
      </c>
      <c r="U793" s="42"/>
      <c r="V793" s="42" t="str">
        <f t="shared" si="3"/>
        <v/>
      </c>
      <c r="W793" s="44" t="str">
        <f t="shared" si="36"/>
        <v/>
      </c>
      <c r="X793" s="44"/>
      <c r="Y793" s="44"/>
      <c r="Z793" s="131"/>
      <c r="AA793" s="131"/>
    </row>
    <row r="794">
      <c r="A794" s="21"/>
      <c r="B794" s="21"/>
      <c r="C794" s="21"/>
      <c r="D794" s="21"/>
      <c r="E794" s="21"/>
      <c r="F794" s="21"/>
      <c r="G794" s="21"/>
      <c r="H794" s="31" t="str">
        <f t="shared" si="29"/>
        <v/>
      </c>
      <c r="I794" s="21"/>
      <c r="J794" s="21"/>
      <c r="K794" s="21"/>
      <c r="L794" s="123"/>
      <c r="M794" s="21"/>
      <c r="N794" s="21"/>
      <c r="O794" s="21"/>
      <c r="P794" s="21"/>
      <c r="Q794" s="21"/>
      <c r="R794" s="21"/>
      <c r="S794" s="21"/>
      <c r="T794" s="41" t="str">
        <f>IFERROR(VLOOKUP(D794,BUSCARV!$A$1:$C$5524,2,0),"")</f>
        <v/>
      </c>
      <c r="U794" s="42"/>
      <c r="V794" s="42" t="str">
        <f t="shared" si="3"/>
        <v/>
      </c>
      <c r="W794" s="44" t="str">
        <f t="shared" si="36"/>
        <v/>
      </c>
      <c r="X794" s="44"/>
      <c r="Y794" s="44"/>
      <c r="Z794" s="131"/>
      <c r="AA794" s="131"/>
    </row>
    <row r="795">
      <c r="A795" s="21"/>
      <c r="B795" s="21"/>
      <c r="C795" s="21"/>
      <c r="D795" s="21"/>
      <c r="E795" s="21"/>
      <c r="F795" s="21"/>
      <c r="G795" s="21"/>
      <c r="H795" s="31" t="str">
        <f t="shared" si="29"/>
        <v/>
      </c>
      <c r="I795" s="21"/>
      <c r="J795" s="21"/>
      <c r="K795" s="21"/>
      <c r="L795" s="123"/>
      <c r="M795" s="21"/>
      <c r="N795" s="21"/>
      <c r="O795" s="21"/>
      <c r="P795" s="21"/>
      <c r="Q795" s="21"/>
      <c r="R795" s="21"/>
      <c r="S795" s="21"/>
      <c r="T795" s="41" t="str">
        <f>IFERROR(VLOOKUP(D795,BUSCARV!$A$1:$C$5524,2,0),"")</f>
        <v/>
      </c>
      <c r="U795" s="42"/>
      <c r="V795" s="42" t="str">
        <f t="shared" si="3"/>
        <v/>
      </c>
      <c r="W795" s="44" t="str">
        <f t="shared" si="36"/>
        <v/>
      </c>
      <c r="X795" s="44"/>
      <c r="Y795" s="44"/>
      <c r="Z795" s="131"/>
      <c r="AA795" s="131"/>
    </row>
    <row r="796">
      <c r="A796" s="21"/>
      <c r="B796" s="21"/>
      <c r="C796" s="21"/>
      <c r="D796" s="21"/>
      <c r="E796" s="21"/>
      <c r="F796" s="21"/>
      <c r="G796" s="21"/>
      <c r="H796" s="31" t="str">
        <f t="shared" si="29"/>
        <v/>
      </c>
      <c r="I796" s="21"/>
      <c r="J796" s="21"/>
      <c r="K796" s="21"/>
      <c r="L796" s="123"/>
      <c r="M796" s="21"/>
      <c r="N796" s="21"/>
      <c r="O796" s="21"/>
      <c r="P796" s="21"/>
      <c r="Q796" s="21"/>
      <c r="R796" s="21"/>
      <c r="S796" s="21"/>
      <c r="T796" s="41" t="str">
        <f>IFERROR(VLOOKUP(D796,BUSCARV!$A$1:$C$5524,2,0),"")</f>
        <v/>
      </c>
      <c r="U796" s="42"/>
      <c r="V796" s="42" t="str">
        <f t="shared" si="3"/>
        <v/>
      </c>
      <c r="W796" s="44" t="str">
        <f t="shared" si="36"/>
        <v/>
      </c>
      <c r="X796" s="44"/>
      <c r="Y796" s="44"/>
      <c r="Z796" s="131"/>
      <c r="AA796" s="131"/>
    </row>
    <row r="797">
      <c r="A797" s="21"/>
      <c r="B797" s="21"/>
      <c r="C797" s="21"/>
      <c r="D797" s="21"/>
      <c r="E797" s="21"/>
      <c r="F797" s="21"/>
      <c r="G797" s="21"/>
      <c r="H797" s="31" t="str">
        <f t="shared" si="29"/>
        <v/>
      </c>
      <c r="I797" s="21"/>
      <c r="J797" s="21"/>
      <c r="K797" s="21"/>
      <c r="L797" s="123"/>
      <c r="M797" s="21"/>
      <c r="N797" s="21"/>
      <c r="O797" s="21"/>
      <c r="P797" s="21"/>
      <c r="Q797" s="21"/>
      <c r="R797" s="21"/>
      <c r="S797" s="21"/>
      <c r="T797" s="41" t="str">
        <f>IFERROR(VLOOKUP(D797,BUSCARV!$A$1:$C$5524,2,0),"")</f>
        <v/>
      </c>
      <c r="U797" s="42"/>
      <c r="V797" s="42" t="str">
        <f t="shared" si="3"/>
        <v/>
      </c>
      <c r="W797" s="44" t="str">
        <f t="shared" si="36"/>
        <v/>
      </c>
      <c r="X797" s="44"/>
      <c r="Y797" s="44"/>
      <c r="Z797" s="131"/>
      <c r="AA797" s="131"/>
    </row>
    <row r="798">
      <c r="A798" s="21"/>
      <c r="B798" s="21"/>
      <c r="C798" s="21"/>
      <c r="D798" s="21"/>
      <c r="E798" s="21"/>
      <c r="F798" s="21"/>
      <c r="G798" s="21"/>
      <c r="H798" s="31" t="str">
        <f t="shared" si="29"/>
        <v/>
      </c>
      <c r="I798" s="21"/>
      <c r="J798" s="21"/>
      <c r="K798" s="21"/>
      <c r="L798" s="123"/>
      <c r="M798" s="21"/>
      <c r="N798" s="21"/>
      <c r="O798" s="21"/>
      <c r="P798" s="21"/>
      <c r="Q798" s="21"/>
      <c r="R798" s="21"/>
      <c r="S798" s="21"/>
      <c r="T798" s="41" t="str">
        <f>IFERROR(VLOOKUP(D798,BUSCARV!$A$1:$C$5524,2,0),"")</f>
        <v/>
      </c>
      <c r="U798" s="42"/>
      <c r="V798" s="42" t="str">
        <f t="shared" si="3"/>
        <v/>
      </c>
      <c r="W798" s="44" t="str">
        <f t="shared" si="36"/>
        <v/>
      </c>
      <c r="X798" s="44"/>
      <c r="Y798" s="44"/>
      <c r="Z798" s="131"/>
      <c r="AA798" s="131"/>
    </row>
    <row r="799">
      <c r="A799" s="21"/>
      <c r="B799" s="21"/>
      <c r="C799" s="21"/>
      <c r="D799" s="21"/>
      <c r="E799" s="21"/>
      <c r="F799" s="21"/>
      <c r="G799" s="21"/>
      <c r="H799" s="31" t="str">
        <f t="shared" si="29"/>
        <v/>
      </c>
      <c r="I799" s="21"/>
      <c r="J799" s="21"/>
      <c r="K799" s="21"/>
      <c r="L799" s="123"/>
      <c r="M799" s="21"/>
      <c r="N799" s="21"/>
      <c r="O799" s="21"/>
      <c r="P799" s="21"/>
      <c r="Q799" s="21"/>
      <c r="R799" s="21"/>
      <c r="S799" s="21"/>
      <c r="T799" s="41" t="str">
        <f>IFERROR(VLOOKUP(D799,BUSCARV!$A$1:$C$5524,2,0),"")</f>
        <v/>
      </c>
      <c r="U799" s="42"/>
      <c r="V799" s="42" t="str">
        <f t="shared" si="3"/>
        <v/>
      </c>
      <c r="W799" s="44" t="str">
        <f t="shared" si="36"/>
        <v/>
      </c>
      <c r="X799" s="44"/>
      <c r="Y799" s="44"/>
      <c r="Z799" s="131"/>
      <c r="AA799" s="131"/>
    </row>
    <row r="800">
      <c r="A800" s="21"/>
      <c r="B800" s="21"/>
      <c r="C800" s="21"/>
      <c r="D800" s="21"/>
      <c r="E800" s="21"/>
      <c r="F800" s="21"/>
      <c r="G800" s="21"/>
      <c r="H800" s="31" t="str">
        <f t="shared" si="29"/>
        <v/>
      </c>
      <c r="I800" s="21"/>
      <c r="J800" s="21"/>
      <c r="K800" s="21"/>
      <c r="L800" s="123"/>
      <c r="M800" s="21"/>
      <c r="N800" s="21"/>
      <c r="O800" s="21"/>
      <c r="P800" s="21"/>
      <c r="Q800" s="21"/>
      <c r="R800" s="21"/>
      <c r="S800" s="21"/>
      <c r="T800" s="41" t="str">
        <f>IFERROR(VLOOKUP(D800,BUSCARV!$A$1:$C$5524,2,0),"")</f>
        <v/>
      </c>
      <c r="U800" s="42"/>
      <c r="V800" s="42" t="str">
        <f t="shared" si="3"/>
        <v/>
      </c>
      <c r="W800" s="44" t="str">
        <f t="shared" si="36"/>
        <v/>
      </c>
      <c r="X800" s="44"/>
      <c r="Y800" s="44"/>
      <c r="Z800" s="131"/>
      <c r="AA800" s="131"/>
    </row>
    <row r="801">
      <c r="A801" s="21"/>
      <c r="B801" s="21"/>
      <c r="C801" s="21"/>
      <c r="D801" s="21"/>
      <c r="E801" s="21"/>
      <c r="F801" s="21"/>
      <c r="G801" s="21"/>
      <c r="H801" s="31" t="str">
        <f t="shared" si="29"/>
        <v/>
      </c>
      <c r="I801" s="21"/>
      <c r="J801" s="21"/>
      <c r="K801" s="21"/>
      <c r="L801" s="123"/>
      <c r="M801" s="21"/>
      <c r="N801" s="21"/>
      <c r="O801" s="21"/>
      <c r="P801" s="21"/>
      <c r="Q801" s="21"/>
      <c r="R801" s="21"/>
      <c r="S801" s="21"/>
      <c r="T801" s="41" t="str">
        <f>IFERROR(VLOOKUP(D801,BUSCARV!$A$1:$C$5524,2,0),"")</f>
        <v/>
      </c>
      <c r="U801" s="42"/>
      <c r="V801" s="42" t="str">
        <f t="shared" si="3"/>
        <v/>
      </c>
      <c r="W801" s="44" t="str">
        <f t="shared" si="36"/>
        <v/>
      </c>
      <c r="X801" s="44"/>
      <c r="Y801" s="44"/>
      <c r="Z801" s="131"/>
      <c r="AA801" s="131"/>
    </row>
    <row r="802">
      <c r="A802" s="21"/>
      <c r="B802" s="21"/>
      <c r="C802" s="21"/>
      <c r="D802" s="21"/>
      <c r="E802" s="21"/>
      <c r="F802" s="21"/>
      <c r="G802" s="21"/>
      <c r="H802" s="31" t="str">
        <f t="shared" si="29"/>
        <v/>
      </c>
      <c r="I802" s="21"/>
      <c r="J802" s="21"/>
      <c r="K802" s="21"/>
      <c r="L802" s="123"/>
      <c r="M802" s="21"/>
      <c r="N802" s="21"/>
      <c r="O802" s="21"/>
      <c r="P802" s="21"/>
      <c r="Q802" s="21"/>
      <c r="R802" s="21"/>
      <c r="S802" s="21"/>
      <c r="T802" s="41" t="str">
        <f>IFERROR(VLOOKUP(D802,BUSCARV!$A$1:$C$5524,2,0),"")</f>
        <v/>
      </c>
      <c r="U802" s="42"/>
      <c r="V802" s="42" t="str">
        <f t="shared" si="3"/>
        <v/>
      </c>
      <c r="W802" s="44" t="str">
        <f t="shared" si="36"/>
        <v/>
      </c>
      <c r="X802" s="44"/>
      <c r="Y802" s="44"/>
      <c r="Z802" s="131"/>
      <c r="AA802" s="131"/>
    </row>
    <row r="803">
      <c r="A803" s="21"/>
      <c r="B803" s="21"/>
      <c r="C803" s="21"/>
      <c r="D803" s="21"/>
      <c r="E803" s="21"/>
      <c r="F803" s="21"/>
      <c r="G803" s="21"/>
      <c r="H803" s="31" t="str">
        <f t="shared" si="29"/>
        <v/>
      </c>
      <c r="I803" s="21"/>
      <c r="J803" s="21"/>
      <c r="K803" s="21"/>
      <c r="L803" s="123"/>
      <c r="M803" s="21"/>
      <c r="N803" s="21"/>
      <c r="O803" s="21"/>
      <c r="P803" s="21"/>
      <c r="Q803" s="21"/>
      <c r="R803" s="21"/>
      <c r="S803" s="21"/>
      <c r="T803" s="41" t="str">
        <f>IFERROR(VLOOKUP(D803,BUSCARV!$A$1:$C$5524,2,0),"")</f>
        <v/>
      </c>
      <c r="U803" s="42"/>
      <c r="V803" s="42" t="str">
        <f t="shared" si="3"/>
        <v/>
      </c>
      <c r="W803" s="44" t="str">
        <f t="shared" si="36"/>
        <v/>
      </c>
      <c r="X803" s="44"/>
      <c r="Y803" s="44"/>
      <c r="Z803" s="131"/>
      <c r="AA803" s="131"/>
    </row>
    <row r="804">
      <c r="A804" s="21"/>
      <c r="B804" s="21"/>
      <c r="C804" s="21"/>
      <c r="D804" s="21"/>
      <c r="E804" s="21"/>
      <c r="F804" s="21"/>
      <c r="G804" s="21"/>
      <c r="H804" s="31" t="str">
        <f t="shared" si="29"/>
        <v/>
      </c>
      <c r="I804" s="21"/>
      <c r="J804" s="21"/>
      <c r="K804" s="21"/>
      <c r="L804" s="123"/>
      <c r="M804" s="21"/>
      <c r="N804" s="21"/>
      <c r="O804" s="21"/>
      <c r="P804" s="21"/>
      <c r="Q804" s="21"/>
      <c r="R804" s="21"/>
      <c r="S804" s="21"/>
      <c r="T804" s="41" t="str">
        <f>IFERROR(VLOOKUP(D804,BUSCARV!$A$1:$C$5524,2,0),"")</f>
        <v/>
      </c>
      <c r="U804" s="42"/>
      <c r="V804" s="42" t="str">
        <f t="shared" si="3"/>
        <v/>
      </c>
      <c r="W804" s="44" t="str">
        <f t="shared" si="36"/>
        <v/>
      </c>
      <c r="X804" s="44"/>
      <c r="Y804" s="44"/>
      <c r="Z804" s="131"/>
      <c r="AA804" s="131"/>
    </row>
    <row r="805">
      <c r="A805" s="21"/>
      <c r="B805" s="21"/>
      <c r="C805" s="21"/>
      <c r="D805" s="21"/>
      <c r="E805" s="21"/>
      <c r="F805" s="21"/>
      <c r="G805" s="21"/>
      <c r="H805" s="31" t="str">
        <f t="shared" si="29"/>
        <v/>
      </c>
      <c r="I805" s="21"/>
      <c r="J805" s="21"/>
      <c r="K805" s="21"/>
      <c r="L805" s="123"/>
      <c r="M805" s="21"/>
      <c r="N805" s="21"/>
      <c r="O805" s="21"/>
      <c r="P805" s="21"/>
      <c r="Q805" s="21"/>
      <c r="R805" s="21"/>
      <c r="S805" s="21"/>
      <c r="T805" s="41" t="str">
        <f>IFERROR(VLOOKUP(D805,BUSCARV!$A$1:$C$5524,2,0),"")</f>
        <v/>
      </c>
      <c r="U805" s="42"/>
      <c r="V805" s="42" t="str">
        <f t="shared" si="3"/>
        <v/>
      </c>
      <c r="W805" s="44" t="str">
        <f t="shared" si="36"/>
        <v/>
      </c>
      <c r="X805" s="44"/>
      <c r="Y805" s="44"/>
      <c r="Z805" s="131"/>
      <c r="AA805" s="131"/>
    </row>
    <row r="806">
      <c r="A806" s="21"/>
      <c r="B806" s="21"/>
      <c r="C806" s="21"/>
      <c r="D806" s="21"/>
      <c r="E806" s="21"/>
      <c r="F806" s="21"/>
      <c r="G806" s="21"/>
      <c r="H806" s="31" t="str">
        <f t="shared" si="29"/>
        <v/>
      </c>
      <c r="I806" s="21"/>
      <c r="J806" s="21"/>
      <c r="K806" s="21"/>
      <c r="L806" s="123"/>
      <c r="M806" s="21"/>
      <c r="N806" s="21"/>
      <c r="O806" s="21"/>
      <c r="P806" s="21"/>
      <c r="Q806" s="21"/>
      <c r="R806" s="21"/>
      <c r="S806" s="21"/>
      <c r="T806" s="41" t="str">
        <f>IFERROR(VLOOKUP(D806,BUSCARV!$A$1:$C$5524,2,0),"")</f>
        <v/>
      </c>
      <c r="U806" s="42"/>
      <c r="V806" s="42" t="str">
        <f t="shared" si="3"/>
        <v/>
      </c>
      <c r="W806" s="44" t="str">
        <f t="shared" si="36"/>
        <v/>
      </c>
      <c r="X806" s="44"/>
      <c r="Y806" s="44"/>
      <c r="Z806" s="131"/>
      <c r="AA806" s="131"/>
    </row>
    <row r="807">
      <c r="A807" s="21"/>
      <c r="B807" s="21"/>
      <c r="C807" s="21"/>
      <c r="D807" s="21"/>
      <c r="E807" s="21"/>
      <c r="F807" s="21"/>
      <c r="G807" s="21"/>
      <c r="H807" s="31" t="str">
        <f t="shared" si="29"/>
        <v/>
      </c>
      <c r="I807" s="21"/>
      <c r="J807" s="21"/>
      <c r="K807" s="21"/>
      <c r="L807" s="123"/>
      <c r="M807" s="21"/>
      <c r="N807" s="21"/>
      <c r="O807" s="21"/>
      <c r="P807" s="21"/>
      <c r="Q807" s="21"/>
      <c r="R807" s="21"/>
      <c r="S807" s="21"/>
      <c r="T807" s="41" t="str">
        <f>IFERROR(VLOOKUP(D807,BUSCARV!$A$1:$C$5524,2,0),"")</f>
        <v/>
      </c>
      <c r="U807" s="42"/>
      <c r="V807" s="42" t="str">
        <f t="shared" si="3"/>
        <v/>
      </c>
      <c r="W807" s="44" t="str">
        <f t="shared" si="36"/>
        <v/>
      </c>
      <c r="X807" s="44"/>
      <c r="Y807" s="44"/>
      <c r="Z807" s="131"/>
      <c r="AA807" s="131"/>
    </row>
    <row r="808">
      <c r="A808" s="21"/>
      <c r="B808" s="21"/>
      <c r="C808" s="21"/>
      <c r="D808" s="21"/>
      <c r="E808" s="21"/>
      <c r="F808" s="21"/>
      <c r="G808" s="21"/>
      <c r="H808" s="31" t="str">
        <f t="shared" si="29"/>
        <v/>
      </c>
      <c r="I808" s="21"/>
      <c r="J808" s="21"/>
      <c r="K808" s="21"/>
      <c r="L808" s="123"/>
      <c r="M808" s="21"/>
      <c r="N808" s="21"/>
      <c r="O808" s="21"/>
      <c r="P808" s="21"/>
      <c r="Q808" s="21"/>
      <c r="R808" s="21"/>
      <c r="S808" s="21"/>
      <c r="T808" s="41" t="str">
        <f>IFERROR(VLOOKUP(D808,BUSCARV!$A$1:$C$5524,2,0),"")</f>
        <v/>
      </c>
      <c r="U808" s="42"/>
      <c r="V808" s="42" t="str">
        <f t="shared" si="3"/>
        <v/>
      </c>
      <c r="W808" s="44" t="str">
        <f t="shared" si="36"/>
        <v/>
      </c>
      <c r="X808" s="44"/>
      <c r="Y808" s="44"/>
      <c r="Z808" s="131"/>
      <c r="AA808" s="131"/>
    </row>
    <row r="809">
      <c r="A809" s="21"/>
      <c r="B809" s="21"/>
      <c r="C809" s="21"/>
      <c r="D809" s="21"/>
      <c r="E809" s="21"/>
      <c r="F809" s="21"/>
      <c r="G809" s="21"/>
      <c r="H809" s="31" t="str">
        <f t="shared" si="29"/>
        <v/>
      </c>
      <c r="I809" s="21"/>
      <c r="J809" s="21"/>
      <c r="K809" s="21"/>
      <c r="L809" s="123"/>
      <c r="M809" s="21"/>
      <c r="N809" s="21"/>
      <c r="O809" s="21"/>
      <c r="P809" s="21"/>
      <c r="Q809" s="21"/>
      <c r="R809" s="21"/>
      <c r="S809" s="21"/>
      <c r="T809" s="41" t="str">
        <f>IFERROR(VLOOKUP(D809,BUSCARV!$A$1:$C$5524,2,0),"")</f>
        <v/>
      </c>
      <c r="U809" s="42"/>
      <c r="V809" s="42" t="str">
        <f t="shared" si="3"/>
        <v/>
      </c>
      <c r="W809" s="44" t="str">
        <f t="shared" si="36"/>
        <v/>
      </c>
      <c r="X809" s="44"/>
      <c r="Y809" s="44"/>
      <c r="Z809" s="131"/>
      <c r="AA809" s="131"/>
    </row>
    <row r="810">
      <c r="A810" s="21"/>
      <c r="B810" s="21"/>
      <c r="C810" s="21"/>
      <c r="D810" s="21"/>
      <c r="E810" s="21"/>
      <c r="F810" s="21"/>
      <c r="G810" s="21"/>
      <c r="H810" s="31" t="str">
        <f t="shared" si="29"/>
        <v/>
      </c>
      <c r="I810" s="21"/>
      <c r="J810" s="21"/>
      <c r="K810" s="21"/>
      <c r="L810" s="123"/>
      <c r="M810" s="21"/>
      <c r="N810" s="21"/>
      <c r="O810" s="21"/>
      <c r="P810" s="21"/>
      <c r="Q810" s="21"/>
      <c r="R810" s="21"/>
      <c r="S810" s="21"/>
      <c r="T810" s="41" t="str">
        <f>IFERROR(VLOOKUP(D810,BUSCARV!$A$1:$C$5524,2,0),"")</f>
        <v/>
      </c>
      <c r="U810" s="42"/>
      <c r="V810" s="42" t="str">
        <f t="shared" si="3"/>
        <v/>
      </c>
      <c r="W810" s="44" t="str">
        <f t="shared" si="36"/>
        <v/>
      </c>
      <c r="X810" s="44"/>
      <c r="Y810" s="44"/>
      <c r="Z810" s="131"/>
      <c r="AA810" s="131"/>
    </row>
    <row r="811">
      <c r="A811" s="21"/>
      <c r="B811" s="21"/>
      <c r="C811" s="21"/>
      <c r="D811" s="21"/>
      <c r="E811" s="21"/>
      <c r="F811" s="21"/>
      <c r="G811" s="21"/>
      <c r="H811" s="31" t="str">
        <f t="shared" si="29"/>
        <v/>
      </c>
      <c r="I811" s="21"/>
      <c r="J811" s="21"/>
      <c r="K811" s="21"/>
      <c r="L811" s="123"/>
      <c r="M811" s="21"/>
      <c r="N811" s="21"/>
      <c r="O811" s="21"/>
      <c r="P811" s="21"/>
      <c r="Q811" s="21"/>
      <c r="R811" s="21"/>
      <c r="S811" s="21"/>
      <c r="T811" s="41" t="str">
        <f>IFERROR(VLOOKUP(D811,BUSCARV!$A$1:$C$5524,2,0),"")</f>
        <v/>
      </c>
      <c r="U811" s="42"/>
      <c r="V811" s="42" t="str">
        <f t="shared" si="3"/>
        <v/>
      </c>
      <c r="W811" s="44" t="str">
        <f t="shared" si="36"/>
        <v/>
      </c>
      <c r="X811" s="44"/>
      <c r="Y811" s="44"/>
      <c r="Z811" s="131"/>
      <c r="AA811" s="131"/>
    </row>
    <row r="812">
      <c r="A812" s="21"/>
      <c r="B812" s="21"/>
      <c r="C812" s="21"/>
      <c r="D812" s="21"/>
      <c r="E812" s="21"/>
      <c r="F812" s="21"/>
      <c r="G812" s="21"/>
      <c r="H812" s="31" t="str">
        <f t="shared" si="29"/>
        <v/>
      </c>
      <c r="I812" s="21"/>
      <c r="J812" s="21"/>
      <c r="K812" s="21"/>
      <c r="L812" s="123"/>
      <c r="M812" s="21"/>
      <c r="N812" s="21"/>
      <c r="O812" s="21"/>
      <c r="P812" s="21"/>
      <c r="Q812" s="21"/>
      <c r="R812" s="21"/>
      <c r="S812" s="21"/>
      <c r="T812" s="41" t="str">
        <f>IFERROR(VLOOKUP(D812,BUSCARV!$A$1:$C$5524,2,0),"")</f>
        <v/>
      </c>
      <c r="U812" s="42"/>
      <c r="V812" s="42" t="str">
        <f t="shared" si="3"/>
        <v/>
      </c>
      <c r="W812" s="44" t="str">
        <f t="shared" si="36"/>
        <v/>
      </c>
      <c r="X812" s="44"/>
      <c r="Y812" s="44"/>
      <c r="Z812" s="131"/>
      <c r="AA812" s="131"/>
    </row>
    <row r="813">
      <c r="A813" s="21"/>
      <c r="B813" s="21"/>
      <c r="C813" s="21"/>
      <c r="D813" s="21"/>
      <c r="E813" s="21"/>
      <c r="F813" s="21"/>
      <c r="G813" s="21"/>
      <c r="H813" s="31" t="str">
        <f t="shared" si="29"/>
        <v/>
      </c>
      <c r="I813" s="21"/>
      <c r="J813" s="21"/>
      <c r="K813" s="21"/>
      <c r="L813" s="123"/>
      <c r="M813" s="21"/>
      <c r="N813" s="21"/>
      <c r="O813" s="21"/>
      <c r="P813" s="21"/>
      <c r="Q813" s="21"/>
      <c r="R813" s="21"/>
      <c r="S813" s="21"/>
      <c r="T813" s="41" t="str">
        <f>IFERROR(VLOOKUP(D813,BUSCARV!$A$1:$C$5524,2,0),"")</f>
        <v/>
      </c>
      <c r="U813" s="42"/>
      <c r="V813" s="42" t="str">
        <f t="shared" si="3"/>
        <v/>
      </c>
      <c r="W813" s="44" t="str">
        <f t="shared" si="36"/>
        <v/>
      </c>
      <c r="X813" s="44"/>
      <c r="Y813" s="44"/>
      <c r="Z813" s="131"/>
      <c r="AA813" s="131"/>
    </row>
    <row r="814">
      <c r="A814" s="21"/>
      <c r="B814" s="21"/>
      <c r="C814" s="21"/>
      <c r="D814" s="21"/>
      <c r="E814" s="21"/>
      <c r="F814" s="21"/>
      <c r="G814" s="21"/>
      <c r="H814" s="31" t="str">
        <f t="shared" si="29"/>
        <v/>
      </c>
      <c r="I814" s="21"/>
      <c r="J814" s="21"/>
      <c r="K814" s="21"/>
      <c r="L814" s="123"/>
      <c r="M814" s="21"/>
      <c r="N814" s="21"/>
      <c r="O814" s="21"/>
      <c r="P814" s="21"/>
      <c r="Q814" s="21"/>
      <c r="R814" s="21"/>
      <c r="S814" s="21"/>
      <c r="T814" s="41" t="str">
        <f>IFERROR(VLOOKUP(D814,BUSCARV!$A$1:$C$5524,2,0),"")</f>
        <v/>
      </c>
      <c r="U814" s="42"/>
      <c r="V814" s="42" t="str">
        <f t="shared" si="3"/>
        <v/>
      </c>
      <c r="W814" s="44" t="str">
        <f t="shared" si="36"/>
        <v/>
      </c>
      <c r="X814" s="44"/>
      <c r="Y814" s="44"/>
      <c r="Z814" s="131"/>
      <c r="AA814" s="131"/>
    </row>
    <row r="815">
      <c r="A815" s="21"/>
      <c r="B815" s="21"/>
      <c r="C815" s="21"/>
      <c r="D815" s="21"/>
      <c r="E815" s="21"/>
      <c r="F815" s="21"/>
      <c r="G815" s="21"/>
      <c r="H815" s="31" t="str">
        <f t="shared" si="29"/>
        <v/>
      </c>
      <c r="I815" s="21"/>
      <c r="J815" s="21"/>
      <c r="K815" s="21"/>
      <c r="L815" s="123"/>
      <c r="M815" s="21"/>
      <c r="N815" s="21"/>
      <c r="O815" s="21"/>
      <c r="P815" s="21"/>
      <c r="Q815" s="21"/>
      <c r="R815" s="21"/>
      <c r="S815" s="21"/>
      <c r="T815" s="41" t="str">
        <f>IFERROR(VLOOKUP(D815,BUSCARV!$A$1:$C$5524,2,0),"")</f>
        <v/>
      </c>
      <c r="U815" s="42"/>
      <c r="V815" s="42" t="str">
        <f t="shared" si="3"/>
        <v/>
      </c>
      <c r="W815" s="44" t="str">
        <f t="shared" si="36"/>
        <v/>
      </c>
      <c r="X815" s="44"/>
      <c r="Y815" s="44"/>
      <c r="Z815" s="131"/>
      <c r="AA815" s="131"/>
    </row>
    <row r="816">
      <c r="A816" s="21"/>
      <c r="B816" s="21"/>
      <c r="C816" s="21"/>
      <c r="D816" s="21"/>
      <c r="E816" s="21"/>
      <c r="F816" s="21"/>
      <c r="G816" s="21"/>
      <c r="H816" s="31" t="str">
        <f t="shared" si="29"/>
        <v/>
      </c>
      <c r="I816" s="21"/>
      <c r="J816" s="21"/>
      <c r="K816" s="21"/>
      <c r="L816" s="123"/>
      <c r="M816" s="21"/>
      <c r="N816" s="21"/>
      <c r="O816" s="21"/>
      <c r="P816" s="21"/>
      <c r="Q816" s="21"/>
      <c r="R816" s="21"/>
      <c r="S816" s="21"/>
      <c r="T816" s="41" t="str">
        <f>IFERROR(VLOOKUP(D816,BUSCARV!$A$1:$C$5524,2,0),"")</f>
        <v/>
      </c>
      <c r="U816" s="42"/>
      <c r="V816" s="42" t="str">
        <f t="shared" si="3"/>
        <v/>
      </c>
      <c r="W816" s="44" t="str">
        <f t="shared" si="36"/>
        <v/>
      </c>
      <c r="X816" s="44"/>
      <c r="Y816" s="44"/>
      <c r="Z816" s="131"/>
      <c r="AA816" s="131"/>
    </row>
    <row r="817">
      <c r="A817" s="21"/>
      <c r="B817" s="21"/>
      <c r="C817" s="21"/>
      <c r="D817" s="21"/>
      <c r="E817" s="21"/>
      <c r="F817" s="21"/>
      <c r="G817" s="21"/>
      <c r="H817" s="31" t="str">
        <f t="shared" si="29"/>
        <v/>
      </c>
      <c r="I817" s="21"/>
      <c r="J817" s="21"/>
      <c r="K817" s="21"/>
      <c r="L817" s="123"/>
      <c r="M817" s="21"/>
      <c r="N817" s="21"/>
      <c r="O817" s="21"/>
      <c r="P817" s="21"/>
      <c r="Q817" s="21"/>
      <c r="R817" s="21"/>
      <c r="S817" s="21"/>
      <c r="T817" s="41" t="str">
        <f>IFERROR(VLOOKUP(D817,BUSCARV!$A$1:$C$5524,2,0),"")</f>
        <v/>
      </c>
      <c r="U817" s="42"/>
      <c r="V817" s="42" t="str">
        <f t="shared" si="3"/>
        <v/>
      </c>
      <c r="W817" s="44" t="str">
        <f t="shared" si="36"/>
        <v/>
      </c>
      <c r="X817" s="44"/>
      <c r="Y817" s="44"/>
      <c r="Z817" s="131"/>
      <c r="AA817" s="131"/>
    </row>
    <row r="818">
      <c r="A818" s="21"/>
      <c r="B818" s="21"/>
      <c r="C818" s="21"/>
      <c r="D818" s="21"/>
      <c r="E818" s="21"/>
      <c r="F818" s="21"/>
      <c r="G818" s="21"/>
      <c r="H818" s="31" t="str">
        <f t="shared" si="29"/>
        <v/>
      </c>
      <c r="I818" s="21"/>
      <c r="J818" s="21"/>
      <c r="K818" s="21"/>
      <c r="L818" s="123"/>
      <c r="M818" s="21"/>
      <c r="N818" s="21"/>
      <c r="O818" s="21"/>
      <c r="P818" s="21"/>
      <c r="Q818" s="21"/>
      <c r="R818" s="21"/>
      <c r="S818" s="21"/>
      <c r="T818" s="41" t="str">
        <f>IFERROR(VLOOKUP(D818,BUSCARV!$A$1:$C$5524,2,0),"")</f>
        <v/>
      </c>
      <c r="U818" s="42"/>
      <c r="V818" s="42" t="str">
        <f t="shared" si="3"/>
        <v/>
      </c>
      <c r="W818" s="44" t="str">
        <f t="shared" si="36"/>
        <v/>
      </c>
      <c r="X818" s="44"/>
      <c r="Y818" s="44"/>
      <c r="Z818" s="131"/>
      <c r="AA818" s="131"/>
    </row>
    <row r="819">
      <c r="A819" s="21"/>
      <c r="B819" s="21"/>
      <c r="C819" s="21"/>
      <c r="D819" s="21"/>
      <c r="E819" s="21"/>
      <c r="F819" s="21"/>
      <c r="G819" s="21"/>
      <c r="H819" s="31" t="str">
        <f t="shared" si="29"/>
        <v/>
      </c>
      <c r="I819" s="21"/>
      <c r="J819" s="21"/>
      <c r="K819" s="21"/>
      <c r="L819" s="123"/>
      <c r="M819" s="21"/>
      <c r="N819" s="21"/>
      <c r="O819" s="21"/>
      <c r="P819" s="21"/>
      <c r="Q819" s="21"/>
      <c r="R819" s="21"/>
      <c r="S819" s="21"/>
      <c r="T819" s="41" t="str">
        <f>IFERROR(VLOOKUP(D819,BUSCARV!$A$1:$C$5524,2,0),"")</f>
        <v/>
      </c>
      <c r="U819" s="42"/>
      <c r="V819" s="42" t="str">
        <f t="shared" si="3"/>
        <v/>
      </c>
      <c r="W819" s="44" t="str">
        <f t="shared" si="36"/>
        <v/>
      </c>
      <c r="X819" s="44"/>
      <c r="Y819" s="44"/>
      <c r="Z819" s="131"/>
      <c r="AA819" s="131"/>
    </row>
    <row r="820">
      <c r="A820" s="21"/>
      <c r="B820" s="21"/>
      <c r="C820" s="21"/>
      <c r="D820" s="21"/>
      <c r="E820" s="21"/>
      <c r="F820" s="21"/>
      <c r="G820" s="21"/>
      <c r="H820" s="31" t="str">
        <f t="shared" si="29"/>
        <v/>
      </c>
      <c r="I820" s="21"/>
      <c r="J820" s="21"/>
      <c r="K820" s="21"/>
      <c r="L820" s="123"/>
      <c r="M820" s="21"/>
      <c r="N820" s="21"/>
      <c r="O820" s="21"/>
      <c r="P820" s="21"/>
      <c r="Q820" s="21"/>
      <c r="R820" s="21"/>
      <c r="S820" s="21"/>
      <c r="T820" s="41" t="str">
        <f>IFERROR(VLOOKUP(D820,BUSCARV!$A$1:$C$5524,2,0),"")</f>
        <v/>
      </c>
      <c r="U820" s="42"/>
      <c r="V820" s="42" t="str">
        <f t="shared" si="3"/>
        <v/>
      </c>
      <c r="W820" s="44" t="str">
        <f t="shared" si="36"/>
        <v/>
      </c>
      <c r="X820" s="44"/>
      <c r="Y820" s="44"/>
      <c r="Z820" s="131"/>
      <c r="AA820" s="131"/>
    </row>
    <row r="821">
      <c r="A821" s="21"/>
      <c r="B821" s="21"/>
      <c r="C821" s="21"/>
      <c r="D821" s="21"/>
      <c r="E821" s="21"/>
      <c r="F821" s="21"/>
      <c r="G821" s="21"/>
      <c r="H821" s="31" t="str">
        <f t="shared" si="29"/>
        <v/>
      </c>
      <c r="I821" s="21"/>
      <c r="J821" s="21"/>
      <c r="K821" s="21"/>
      <c r="L821" s="123"/>
      <c r="M821" s="21"/>
      <c r="N821" s="21"/>
      <c r="O821" s="21"/>
      <c r="P821" s="21"/>
      <c r="Q821" s="21"/>
      <c r="R821" s="21"/>
      <c r="S821" s="21"/>
      <c r="T821" s="41" t="str">
        <f>IFERROR(VLOOKUP(D821,BUSCARV!$A$1:$C$5524,2,0),"")</f>
        <v/>
      </c>
      <c r="U821" s="42"/>
      <c r="V821" s="42" t="str">
        <f t="shared" si="3"/>
        <v/>
      </c>
      <c r="W821" s="44" t="str">
        <f t="shared" si="36"/>
        <v/>
      </c>
      <c r="X821" s="44"/>
      <c r="Y821" s="44"/>
      <c r="Z821" s="131"/>
      <c r="AA821" s="131"/>
    </row>
    <row r="822">
      <c r="A822" s="21"/>
      <c r="B822" s="21"/>
      <c r="C822" s="21"/>
      <c r="D822" s="21"/>
      <c r="E822" s="21"/>
      <c r="F822" s="21"/>
      <c r="G822" s="21"/>
      <c r="H822" s="31" t="str">
        <f t="shared" si="29"/>
        <v/>
      </c>
      <c r="I822" s="21"/>
      <c r="J822" s="21"/>
      <c r="K822" s="21"/>
      <c r="L822" s="123"/>
      <c r="M822" s="21"/>
      <c r="N822" s="21"/>
      <c r="O822" s="21"/>
      <c r="P822" s="21"/>
      <c r="Q822" s="21"/>
      <c r="R822" s="21"/>
      <c r="S822" s="21"/>
      <c r="T822" s="41" t="str">
        <f>IFERROR(VLOOKUP(D822,BUSCARV!$A$1:$C$5524,2,0),"")</f>
        <v/>
      </c>
      <c r="U822" s="42"/>
      <c r="V822" s="42" t="str">
        <f t="shared" si="3"/>
        <v/>
      </c>
      <c r="W822" s="44" t="str">
        <f t="shared" si="36"/>
        <v/>
      </c>
      <c r="X822" s="44"/>
      <c r="Y822" s="44"/>
      <c r="Z822" s="131"/>
      <c r="AA822" s="131"/>
    </row>
    <row r="823">
      <c r="A823" s="21"/>
      <c r="B823" s="21"/>
      <c r="C823" s="21"/>
      <c r="D823" s="21"/>
      <c r="E823" s="21"/>
      <c r="F823" s="21"/>
      <c r="G823" s="21"/>
      <c r="H823" s="31" t="str">
        <f t="shared" si="29"/>
        <v/>
      </c>
      <c r="I823" s="21"/>
      <c r="J823" s="21"/>
      <c r="K823" s="21"/>
      <c r="L823" s="123"/>
      <c r="M823" s="21"/>
      <c r="N823" s="21"/>
      <c r="O823" s="21"/>
      <c r="P823" s="21"/>
      <c r="Q823" s="21"/>
      <c r="R823" s="21"/>
      <c r="S823" s="21"/>
      <c r="T823" s="41" t="str">
        <f>IFERROR(VLOOKUP(D823,BUSCARV!$A$1:$C$5524,2,0),"")</f>
        <v/>
      </c>
      <c r="U823" s="42"/>
      <c r="V823" s="42" t="str">
        <f t="shared" si="3"/>
        <v/>
      </c>
      <c r="W823" s="44" t="str">
        <f t="shared" si="36"/>
        <v/>
      </c>
      <c r="X823" s="44"/>
      <c r="Y823" s="44"/>
      <c r="Z823" s="131"/>
      <c r="AA823" s="131"/>
    </row>
    <row r="824">
      <c r="A824" s="21"/>
      <c r="B824" s="21"/>
      <c r="C824" s="21"/>
      <c r="D824" s="21"/>
      <c r="E824" s="21"/>
      <c r="F824" s="21"/>
      <c r="G824" s="21"/>
      <c r="H824" s="31" t="str">
        <f t="shared" si="29"/>
        <v/>
      </c>
      <c r="I824" s="21"/>
      <c r="J824" s="21"/>
      <c r="K824" s="21"/>
      <c r="L824" s="123"/>
      <c r="M824" s="21"/>
      <c r="N824" s="21"/>
      <c r="O824" s="21"/>
      <c r="P824" s="21"/>
      <c r="Q824" s="21"/>
      <c r="R824" s="21"/>
      <c r="S824" s="21"/>
      <c r="T824" s="41" t="str">
        <f>IFERROR(VLOOKUP(D824,BUSCARV!$A$1:$C$5524,2,0),"")</f>
        <v/>
      </c>
      <c r="U824" s="42"/>
      <c r="V824" s="42" t="str">
        <f t="shared" si="3"/>
        <v/>
      </c>
      <c r="W824" s="44" t="str">
        <f t="shared" si="36"/>
        <v/>
      </c>
      <c r="X824" s="44"/>
      <c r="Y824" s="44"/>
      <c r="Z824" s="131"/>
      <c r="AA824" s="131"/>
    </row>
    <row r="825">
      <c r="A825" s="21"/>
      <c r="B825" s="21"/>
      <c r="C825" s="21"/>
      <c r="D825" s="21"/>
      <c r="E825" s="21"/>
      <c r="F825" s="21"/>
      <c r="G825" s="21"/>
      <c r="H825" s="31" t="str">
        <f t="shared" si="29"/>
        <v/>
      </c>
      <c r="I825" s="21"/>
      <c r="J825" s="21"/>
      <c r="K825" s="21"/>
      <c r="L825" s="123"/>
      <c r="M825" s="21"/>
      <c r="N825" s="21"/>
      <c r="O825" s="21"/>
      <c r="P825" s="21"/>
      <c r="Q825" s="21"/>
      <c r="R825" s="21"/>
      <c r="S825" s="21"/>
      <c r="T825" s="41" t="str">
        <f>IFERROR(VLOOKUP(D825,BUSCARV!$A$1:$C$5524,2,0),"")</f>
        <v/>
      </c>
      <c r="U825" s="42"/>
      <c r="V825" s="42" t="str">
        <f t="shared" si="3"/>
        <v/>
      </c>
      <c r="W825" s="44" t="str">
        <f t="shared" si="36"/>
        <v/>
      </c>
      <c r="X825" s="44"/>
      <c r="Y825" s="44"/>
      <c r="Z825" s="131"/>
      <c r="AA825" s="131"/>
    </row>
    <row r="826">
      <c r="A826" s="21"/>
      <c r="B826" s="21"/>
      <c r="C826" s="21"/>
      <c r="D826" s="21"/>
      <c r="E826" s="21"/>
      <c r="F826" s="21"/>
      <c r="G826" s="21"/>
      <c r="H826" s="31" t="str">
        <f t="shared" si="29"/>
        <v/>
      </c>
      <c r="I826" s="21"/>
      <c r="J826" s="21"/>
      <c r="K826" s="21"/>
      <c r="L826" s="123"/>
      <c r="M826" s="21"/>
      <c r="N826" s="21"/>
      <c r="O826" s="21"/>
      <c r="P826" s="21"/>
      <c r="Q826" s="21"/>
      <c r="R826" s="21"/>
      <c r="S826" s="21"/>
      <c r="T826" s="41" t="str">
        <f>IFERROR(VLOOKUP(D826,BUSCARV!$A$1:$C$5524,2,0),"")</f>
        <v/>
      </c>
      <c r="U826" s="42"/>
      <c r="V826" s="42" t="str">
        <f t="shared" si="3"/>
        <v/>
      </c>
      <c r="W826" s="44" t="str">
        <f t="shared" si="36"/>
        <v/>
      </c>
      <c r="X826" s="44"/>
      <c r="Y826" s="44"/>
      <c r="Z826" s="131"/>
      <c r="AA826" s="131"/>
    </row>
    <row r="827">
      <c r="A827" s="21"/>
      <c r="B827" s="21"/>
      <c r="C827" s="21"/>
      <c r="D827" s="21"/>
      <c r="E827" s="21"/>
      <c r="F827" s="21"/>
      <c r="G827" s="21"/>
      <c r="H827" s="31" t="str">
        <f t="shared" si="29"/>
        <v/>
      </c>
      <c r="I827" s="21"/>
      <c r="J827" s="21"/>
      <c r="K827" s="21"/>
      <c r="L827" s="123"/>
      <c r="M827" s="21"/>
      <c r="N827" s="21"/>
      <c r="O827" s="21"/>
      <c r="P827" s="21"/>
      <c r="Q827" s="21"/>
      <c r="R827" s="21"/>
      <c r="S827" s="21"/>
      <c r="T827" s="41" t="str">
        <f>IFERROR(VLOOKUP(D827,BUSCARV!$A$1:$C$5524,2,0),"")</f>
        <v/>
      </c>
      <c r="U827" s="42"/>
      <c r="V827" s="42" t="str">
        <f t="shared" si="3"/>
        <v/>
      </c>
      <c r="W827" s="44" t="str">
        <f t="shared" si="36"/>
        <v/>
      </c>
      <c r="X827" s="44"/>
      <c r="Y827" s="44"/>
      <c r="Z827" s="131"/>
      <c r="AA827" s="131"/>
    </row>
    <row r="828">
      <c r="A828" s="21"/>
      <c r="B828" s="21"/>
      <c r="C828" s="21"/>
      <c r="D828" s="21"/>
      <c r="E828" s="21"/>
      <c r="F828" s="21"/>
      <c r="G828" s="21"/>
      <c r="H828" s="31" t="str">
        <f t="shared" si="29"/>
        <v/>
      </c>
      <c r="I828" s="21"/>
      <c r="J828" s="21"/>
      <c r="K828" s="21"/>
      <c r="L828" s="123"/>
      <c r="M828" s="21"/>
      <c r="N828" s="21"/>
      <c r="O828" s="21"/>
      <c r="P828" s="21"/>
      <c r="Q828" s="21"/>
      <c r="R828" s="21"/>
      <c r="S828" s="21"/>
      <c r="T828" s="41" t="str">
        <f>IFERROR(VLOOKUP(D828,BUSCARV!$A$1:$C$5524,2,0),"")</f>
        <v/>
      </c>
      <c r="U828" s="42"/>
      <c r="V828" s="42" t="str">
        <f t="shared" si="3"/>
        <v/>
      </c>
      <c r="W828" s="44" t="str">
        <f t="shared" si="36"/>
        <v/>
      </c>
      <c r="X828" s="44"/>
      <c r="Y828" s="44"/>
      <c r="Z828" s="131"/>
      <c r="AA828" s="131"/>
    </row>
    <row r="829">
      <c r="A829" s="21"/>
      <c r="B829" s="21"/>
      <c r="C829" s="21"/>
      <c r="D829" s="21"/>
      <c r="E829" s="21"/>
      <c r="F829" s="21"/>
      <c r="G829" s="21"/>
      <c r="H829" s="31" t="str">
        <f t="shared" si="29"/>
        <v/>
      </c>
      <c r="I829" s="21"/>
      <c r="J829" s="21"/>
      <c r="K829" s="21"/>
      <c r="L829" s="123"/>
      <c r="M829" s="21"/>
      <c r="N829" s="21"/>
      <c r="O829" s="21"/>
      <c r="P829" s="21"/>
      <c r="Q829" s="21"/>
      <c r="R829" s="21"/>
      <c r="S829" s="21"/>
      <c r="T829" s="41" t="str">
        <f>IFERROR(VLOOKUP(D829,BUSCARV!$A$1:$C$5524,2,0),"")</f>
        <v/>
      </c>
      <c r="U829" s="42"/>
      <c r="V829" s="42" t="str">
        <f t="shared" si="3"/>
        <v/>
      </c>
      <c r="W829" s="44" t="str">
        <f t="shared" si="36"/>
        <v/>
      </c>
      <c r="X829" s="44"/>
      <c r="Y829" s="44"/>
      <c r="Z829" s="131"/>
      <c r="AA829" s="131"/>
    </row>
    <row r="830">
      <c r="A830" s="21"/>
      <c r="B830" s="21"/>
      <c r="C830" s="21"/>
      <c r="D830" s="21"/>
      <c r="E830" s="21"/>
      <c r="F830" s="21"/>
      <c r="G830" s="21"/>
      <c r="H830" s="31" t="str">
        <f t="shared" si="29"/>
        <v/>
      </c>
      <c r="I830" s="21"/>
      <c r="J830" s="21"/>
      <c r="K830" s="21"/>
      <c r="L830" s="123"/>
      <c r="M830" s="21"/>
      <c r="N830" s="21"/>
      <c r="O830" s="21"/>
      <c r="P830" s="21"/>
      <c r="Q830" s="21"/>
      <c r="R830" s="21"/>
      <c r="S830" s="21"/>
      <c r="T830" s="41" t="str">
        <f>IFERROR(VLOOKUP(D830,BUSCARV!$A$1:$C$5524,2,0),"")</f>
        <v/>
      </c>
      <c r="U830" s="42"/>
      <c r="V830" s="42" t="str">
        <f t="shared" si="3"/>
        <v/>
      </c>
      <c r="W830" s="44" t="str">
        <f t="shared" si="36"/>
        <v/>
      </c>
      <c r="X830" s="44"/>
      <c r="Y830" s="44"/>
      <c r="Z830" s="131"/>
      <c r="AA830" s="131"/>
    </row>
    <row r="831">
      <c r="A831" s="21"/>
      <c r="B831" s="21"/>
      <c r="C831" s="21"/>
      <c r="D831" s="21"/>
      <c r="E831" s="21"/>
      <c r="F831" s="21"/>
      <c r="G831" s="21"/>
      <c r="H831" s="31" t="str">
        <f t="shared" si="29"/>
        <v/>
      </c>
      <c r="I831" s="21"/>
      <c r="J831" s="21"/>
      <c r="K831" s="21"/>
      <c r="L831" s="123"/>
      <c r="M831" s="21"/>
      <c r="N831" s="21"/>
      <c r="O831" s="21"/>
      <c r="P831" s="21"/>
      <c r="Q831" s="21"/>
      <c r="R831" s="21"/>
      <c r="S831" s="21"/>
      <c r="T831" s="41" t="str">
        <f>IFERROR(VLOOKUP(D831,BUSCARV!$A$1:$C$5524,2,0),"")</f>
        <v/>
      </c>
      <c r="U831" s="42"/>
      <c r="V831" s="42" t="str">
        <f t="shared" si="3"/>
        <v/>
      </c>
      <c r="W831" s="44" t="str">
        <f t="shared" si="36"/>
        <v/>
      </c>
      <c r="X831" s="44"/>
      <c r="Y831" s="44"/>
      <c r="Z831" s="131"/>
      <c r="AA831" s="131"/>
    </row>
    <row r="832">
      <c r="A832" s="21"/>
      <c r="B832" s="21"/>
      <c r="C832" s="21"/>
      <c r="D832" s="21"/>
      <c r="E832" s="21"/>
      <c r="F832" s="21"/>
      <c r="G832" s="21"/>
      <c r="H832" s="31" t="str">
        <f t="shared" si="29"/>
        <v/>
      </c>
      <c r="I832" s="21"/>
      <c r="J832" s="21"/>
      <c r="K832" s="21"/>
      <c r="L832" s="123"/>
      <c r="M832" s="21"/>
      <c r="N832" s="21"/>
      <c r="O832" s="21"/>
      <c r="P832" s="21"/>
      <c r="Q832" s="21"/>
      <c r="R832" s="21"/>
      <c r="S832" s="21"/>
      <c r="T832" s="41" t="str">
        <f>IFERROR(VLOOKUP(D832,BUSCARV!$A$1:$C$5524,2,0),"")</f>
        <v/>
      </c>
      <c r="U832" s="42"/>
      <c r="V832" s="42" t="str">
        <f t="shared" si="3"/>
        <v/>
      </c>
      <c r="W832" s="44" t="str">
        <f t="shared" si="36"/>
        <v/>
      </c>
      <c r="X832" s="44"/>
      <c r="Y832" s="44"/>
      <c r="Z832" s="131"/>
      <c r="AA832" s="131"/>
    </row>
    <row r="833">
      <c r="A833" s="21"/>
      <c r="B833" s="21"/>
      <c r="C833" s="21"/>
      <c r="D833" s="21"/>
      <c r="E833" s="21"/>
      <c r="F833" s="21"/>
      <c r="G833" s="21"/>
      <c r="H833" s="31" t="str">
        <f t="shared" si="29"/>
        <v/>
      </c>
      <c r="I833" s="21"/>
      <c r="J833" s="21"/>
      <c r="K833" s="21"/>
      <c r="L833" s="123"/>
      <c r="M833" s="21"/>
      <c r="N833" s="21"/>
      <c r="O833" s="21"/>
      <c r="P833" s="21"/>
      <c r="Q833" s="21"/>
      <c r="R833" s="21"/>
      <c r="S833" s="21"/>
      <c r="T833" s="41" t="str">
        <f>IFERROR(VLOOKUP(D833,BUSCARV!$A$1:$C$5524,2,0),"")</f>
        <v/>
      </c>
      <c r="U833" s="42"/>
      <c r="V833" s="42" t="str">
        <f t="shared" si="3"/>
        <v/>
      </c>
      <c r="W833" s="44" t="str">
        <f t="shared" si="36"/>
        <v/>
      </c>
      <c r="X833" s="44"/>
      <c r="Y833" s="44"/>
      <c r="Z833" s="131"/>
      <c r="AA833" s="131"/>
    </row>
    <row r="834">
      <c r="A834" s="21"/>
      <c r="B834" s="21"/>
      <c r="C834" s="21"/>
      <c r="D834" s="21"/>
      <c r="E834" s="21"/>
      <c r="F834" s="21"/>
      <c r="G834" s="21"/>
      <c r="H834" s="31" t="str">
        <f t="shared" si="29"/>
        <v/>
      </c>
      <c r="I834" s="21"/>
      <c r="J834" s="21"/>
      <c r="K834" s="21"/>
      <c r="L834" s="123"/>
      <c r="M834" s="21"/>
      <c r="N834" s="21"/>
      <c r="O834" s="21"/>
      <c r="P834" s="21"/>
      <c r="Q834" s="21"/>
      <c r="R834" s="21"/>
      <c r="S834" s="21"/>
      <c r="T834" s="41" t="str">
        <f>IFERROR(VLOOKUP(D834,BUSCARV!$A$1:$C$5524,2,0),"")</f>
        <v/>
      </c>
      <c r="U834" s="42"/>
      <c r="V834" s="42" t="str">
        <f t="shared" si="3"/>
        <v/>
      </c>
      <c r="W834" s="44" t="str">
        <f t="shared" si="36"/>
        <v/>
      </c>
      <c r="X834" s="44"/>
      <c r="Y834" s="44"/>
      <c r="Z834" s="131"/>
      <c r="AA834" s="131"/>
    </row>
    <row r="835">
      <c r="A835" s="21"/>
      <c r="B835" s="21"/>
      <c r="C835" s="21"/>
      <c r="D835" s="21"/>
      <c r="E835" s="21"/>
      <c r="F835" s="21"/>
      <c r="G835" s="21"/>
      <c r="H835" s="31" t="str">
        <f t="shared" si="29"/>
        <v/>
      </c>
      <c r="I835" s="21"/>
      <c r="J835" s="21"/>
      <c r="K835" s="21"/>
      <c r="L835" s="123"/>
      <c r="M835" s="21"/>
      <c r="N835" s="21"/>
      <c r="O835" s="21"/>
      <c r="P835" s="21"/>
      <c r="Q835" s="21"/>
      <c r="R835" s="21"/>
      <c r="S835" s="21"/>
      <c r="T835" s="41" t="str">
        <f>IFERROR(VLOOKUP(D835,BUSCARV!$A$1:$C$5524,2,0),"")</f>
        <v/>
      </c>
      <c r="U835" s="42"/>
      <c r="V835" s="42" t="str">
        <f t="shared" si="3"/>
        <v/>
      </c>
      <c r="W835" s="44" t="str">
        <f t="shared" si="36"/>
        <v/>
      </c>
      <c r="X835" s="44"/>
      <c r="Y835" s="44"/>
      <c r="Z835" s="131"/>
      <c r="AA835" s="131"/>
    </row>
    <row r="836">
      <c r="A836" s="21"/>
      <c r="B836" s="21"/>
      <c r="C836" s="21"/>
      <c r="D836" s="21"/>
      <c r="E836" s="21"/>
      <c r="F836" s="21"/>
      <c r="G836" s="21"/>
      <c r="H836" s="31" t="str">
        <f t="shared" si="29"/>
        <v/>
      </c>
      <c r="I836" s="21"/>
      <c r="J836" s="21"/>
      <c r="K836" s="21"/>
      <c r="L836" s="123"/>
      <c r="M836" s="21"/>
      <c r="N836" s="21"/>
      <c r="O836" s="21"/>
      <c r="P836" s="21"/>
      <c r="Q836" s="21"/>
      <c r="R836" s="21"/>
      <c r="S836" s="21"/>
      <c r="T836" s="41" t="str">
        <f>IFERROR(VLOOKUP(D836,BUSCARV!$A$1:$C$5524,2,0),"")</f>
        <v/>
      </c>
      <c r="U836" s="42"/>
      <c r="V836" s="42" t="str">
        <f t="shared" si="3"/>
        <v/>
      </c>
      <c r="W836" s="44" t="str">
        <f t="shared" si="36"/>
        <v/>
      </c>
      <c r="X836" s="44"/>
      <c r="Y836" s="44"/>
      <c r="Z836" s="131"/>
      <c r="AA836" s="131"/>
    </row>
    <row r="837">
      <c r="A837" s="21"/>
      <c r="B837" s="21"/>
      <c r="C837" s="21"/>
      <c r="D837" s="21"/>
      <c r="E837" s="21"/>
      <c r="F837" s="21"/>
      <c r="G837" s="21"/>
      <c r="H837" s="31" t="str">
        <f t="shared" si="29"/>
        <v/>
      </c>
      <c r="I837" s="21"/>
      <c r="J837" s="21"/>
      <c r="K837" s="21"/>
      <c r="L837" s="123"/>
      <c r="M837" s="21"/>
      <c r="N837" s="21"/>
      <c r="O837" s="21"/>
      <c r="P837" s="21"/>
      <c r="Q837" s="21"/>
      <c r="R837" s="21"/>
      <c r="S837" s="21"/>
      <c r="T837" s="41" t="str">
        <f>IFERROR(VLOOKUP(D837,BUSCARV!$A$1:$C$5524,2,0),"")</f>
        <v/>
      </c>
      <c r="U837" s="42"/>
      <c r="V837" s="42" t="str">
        <f t="shared" si="3"/>
        <v/>
      </c>
      <c r="W837" s="44" t="str">
        <f t="shared" si="36"/>
        <v/>
      </c>
      <c r="X837" s="44"/>
      <c r="Y837" s="44"/>
      <c r="Z837" s="131"/>
      <c r="AA837" s="131"/>
    </row>
    <row r="838">
      <c r="A838" s="21"/>
      <c r="B838" s="21"/>
      <c r="C838" s="21"/>
      <c r="D838" s="21"/>
      <c r="E838" s="21"/>
      <c r="F838" s="21"/>
      <c r="G838" s="21"/>
      <c r="H838" s="31" t="str">
        <f t="shared" si="29"/>
        <v/>
      </c>
      <c r="I838" s="21"/>
      <c r="J838" s="21"/>
      <c r="K838" s="21"/>
      <c r="L838" s="123"/>
      <c r="M838" s="21"/>
      <c r="N838" s="21"/>
      <c r="O838" s="21"/>
      <c r="P838" s="21"/>
      <c r="Q838" s="21"/>
      <c r="R838" s="21"/>
      <c r="S838" s="21"/>
      <c r="T838" s="41" t="str">
        <f>IFERROR(VLOOKUP(D838,BUSCARV!$A$1:$C$5524,2,0),"")</f>
        <v/>
      </c>
      <c r="U838" s="42"/>
      <c r="V838" s="42" t="str">
        <f t="shared" si="3"/>
        <v/>
      </c>
      <c r="W838" s="44" t="str">
        <f t="shared" si="36"/>
        <v/>
      </c>
      <c r="X838" s="44"/>
      <c r="Y838" s="44"/>
      <c r="Z838" s="131"/>
      <c r="AA838" s="131"/>
    </row>
    <row r="839">
      <c r="A839" s="21"/>
      <c r="B839" s="21"/>
      <c r="C839" s="21"/>
      <c r="D839" s="21"/>
      <c r="E839" s="21"/>
      <c r="F839" s="21"/>
      <c r="G839" s="21"/>
      <c r="H839" s="31" t="str">
        <f t="shared" si="29"/>
        <v/>
      </c>
      <c r="I839" s="21"/>
      <c r="J839" s="21"/>
      <c r="K839" s="21"/>
      <c r="L839" s="123"/>
      <c r="M839" s="21"/>
      <c r="N839" s="21"/>
      <c r="O839" s="21"/>
      <c r="P839" s="21"/>
      <c r="Q839" s="21"/>
      <c r="R839" s="21"/>
      <c r="S839" s="21"/>
      <c r="T839" s="41" t="str">
        <f>IFERROR(VLOOKUP(D839,BUSCARV!$A$1:$C$5524,2,0),"")</f>
        <v/>
      </c>
      <c r="U839" s="42"/>
      <c r="V839" s="42" t="str">
        <f t="shared" si="3"/>
        <v/>
      </c>
      <c r="W839" s="44" t="str">
        <f t="shared" si="36"/>
        <v/>
      </c>
      <c r="X839" s="44"/>
      <c r="Y839" s="44"/>
      <c r="Z839" s="131"/>
      <c r="AA839" s="131"/>
    </row>
    <row r="840">
      <c r="A840" s="21"/>
      <c r="B840" s="21"/>
      <c r="C840" s="21"/>
      <c r="D840" s="21"/>
      <c r="E840" s="21"/>
      <c r="F840" s="21"/>
      <c r="G840" s="21"/>
      <c r="H840" s="31" t="str">
        <f t="shared" si="29"/>
        <v/>
      </c>
      <c r="I840" s="21"/>
      <c r="J840" s="21"/>
      <c r="K840" s="21"/>
      <c r="L840" s="123"/>
      <c r="M840" s="21"/>
      <c r="N840" s="21"/>
      <c r="O840" s="21"/>
      <c r="P840" s="21"/>
      <c r="Q840" s="21"/>
      <c r="R840" s="21"/>
      <c r="S840" s="21"/>
      <c r="T840" s="41" t="str">
        <f>IFERROR(VLOOKUP(D840,BUSCARV!$A$1:$C$5524,2,0),"")</f>
        <v/>
      </c>
      <c r="U840" s="42"/>
      <c r="V840" s="42" t="str">
        <f t="shared" si="3"/>
        <v/>
      </c>
      <c r="W840" s="44" t="str">
        <f t="shared" si="36"/>
        <v/>
      </c>
      <c r="X840" s="44"/>
      <c r="Y840" s="44"/>
      <c r="Z840" s="131"/>
      <c r="AA840" s="131"/>
    </row>
    <row r="841">
      <c r="A841" s="21"/>
      <c r="B841" s="21"/>
      <c r="C841" s="21"/>
      <c r="D841" s="21"/>
      <c r="E841" s="21"/>
      <c r="F841" s="21"/>
      <c r="G841" s="21"/>
      <c r="H841" s="31" t="str">
        <f t="shared" si="29"/>
        <v/>
      </c>
      <c r="I841" s="21"/>
      <c r="J841" s="21"/>
      <c r="K841" s="21"/>
      <c r="L841" s="123"/>
      <c r="M841" s="21"/>
      <c r="N841" s="21"/>
      <c r="O841" s="21"/>
      <c r="P841" s="21"/>
      <c r="Q841" s="21"/>
      <c r="R841" s="21"/>
      <c r="S841" s="21"/>
      <c r="T841" s="41" t="str">
        <f>IFERROR(VLOOKUP(D841,BUSCARV!$A$1:$C$5524,2,0),"")</f>
        <v/>
      </c>
      <c r="U841" s="42"/>
      <c r="V841" s="42" t="str">
        <f t="shared" si="3"/>
        <v/>
      </c>
      <c r="W841" s="44" t="str">
        <f t="shared" si="36"/>
        <v/>
      </c>
      <c r="X841" s="44"/>
      <c r="Y841" s="44"/>
      <c r="Z841" s="131"/>
      <c r="AA841" s="131"/>
    </row>
    <row r="842">
      <c r="A842" s="21"/>
      <c r="B842" s="21"/>
      <c r="C842" s="21"/>
      <c r="D842" s="21"/>
      <c r="E842" s="21"/>
      <c r="F842" s="21"/>
      <c r="G842" s="21"/>
      <c r="H842" s="31" t="str">
        <f t="shared" si="29"/>
        <v/>
      </c>
      <c r="I842" s="21"/>
      <c r="J842" s="21"/>
      <c r="K842" s="21"/>
      <c r="L842" s="123"/>
      <c r="M842" s="21"/>
      <c r="N842" s="21"/>
      <c r="O842" s="21"/>
      <c r="P842" s="21"/>
      <c r="Q842" s="21"/>
      <c r="R842" s="21"/>
      <c r="S842" s="21"/>
      <c r="T842" s="41" t="str">
        <f>IFERROR(VLOOKUP(D842,BUSCARV!$A$1:$C$5524,2,0),"")</f>
        <v/>
      </c>
      <c r="U842" s="42"/>
      <c r="V842" s="42" t="str">
        <f t="shared" si="3"/>
        <v/>
      </c>
      <c r="W842" s="44" t="str">
        <f t="shared" si="36"/>
        <v/>
      </c>
      <c r="X842" s="44"/>
      <c r="Y842" s="44"/>
      <c r="Z842" s="131"/>
      <c r="AA842" s="131"/>
    </row>
    <row r="843">
      <c r="A843" s="21"/>
      <c r="B843" s="21"/>
      <c r="C843" s="21"/>
      <c r="D843" s="21"/>
      <c r="E843" s="21"/>
      <c r="F843" s="21"/>
      <c r="G843" s="21"/>
      <c r="H843" s="31" t="str">
        <f t="shared" si="29"/>
        <v/>
      </c>
      <c r="I843" s="21"/>
      <c r="J843" s="21"/>
      <c r="K843" s="21"/>
      <c r="L843" s="123"/>
      <c r="M843" s="21"/>
      <c r="N843" s="21"/>
      <c r="O843" s="21"/>
      <c r="P843" s="21"/>
      <c r="Q843" s="21"/>
      <c r="R843" s="21"/>
      <c r="S843" s="21"/>
      <c r="T843" s="41" t="str">
        <f>IFERROR(VLOOKUP(D843,BUSCARV!$A$1:$C$5524,2,0),"")</f>
        <v/>
      </c>
      <c r="U843" s="42"/>
      <c r="V843" s="42" t="str">
        <f t="shared" si="3"/>
        <v/>
      </c>
      <c r="W843" s="44" t="str">
        <f t="shared" si="36"/>
        <v/>
      </c>
      <c r="X843" s="44"/>
      <c r="Y843" s="44"/>
      <c r="Z843" s="131"/>
      <c r="AA843" s="131"/>
    </row>
    <row r="844">
      <c r="A844" s="21"/>
      <c r="B844" s="21"/>
      <c r="C844" s="21"/>
      <c r="D844" s="21"/>
      <c r="E844" s="21"/>
      <c r="F844" s="21"/>
      <c r="G844" s="21"/>
      <c r="H844" s="31" t="str">
        <f t="shared" si="29"/>
        <v/>
      </c>
      <c r="I844" s="21"/>
      <c r="J844" s="21"/>
      <c r="K844" s="21"/>
      <c r="L844" s="123"/>
      <c r="M844" s="21"/>
      <c r="N844" s="21"/>
      <c r="O844" s="21"/>
      <c r="P844" s="21"/>
      <c r="Q844" s="21"/>
      <c r="R844" s="21"/>
      <c r="S844" s="21"/>
      <c r="T844" s="41" t="str">
        <f>IFERROR(VLOOKUP(D844,BUSCARV!$A$1:$C$5524,2,0),"")</f>
        <v/>
      </c>
      <c r="U844" s="42"/>
      <c r="V844" s="42" t="str">
        <f t="shared" si="3"/>
        <v/>
      </c>
      <c r="W844" s="44" t="str">
        <f t="shared" si="36"/>
        <v/>
      </c>
      <c r="X844" s="44"/>
      <c r="Y844" s="44"/>
      <c r="Z844" s="131"/>
      <c r="AA844" s="131"/>
    </row>
    <row r="845">
      <c r="A845" s="21"/>
      <c r="B845" s="21"/>
      <c r="C845" s="21"/>
      <c r="D845" s="21"/>
      <c r="E845" s="21"/>
      <c r="F845" s="21"/>
      <c r="G845" s="21"/>
      <c r="H845" s="31" t="str">
        <f t="shared" si="29"/>
        <v/>
      </c>
      <c r="I845" s="21"/>
      <c r="J845" s="21"/>
      <c r="K845" s="21"/>
      <c r="L845" s="123"/>
      <c r="M845" s="21"/>
      <c r="N845" s="21"/>
      <c r="O845" s="21"/>
      <c r="P845" s="21"/>
      <c r="Q845" s="21"/>
      <c r="R845" s="21"/>
      <c r="S845" s="21"/>
      <c r="T845" s="41" t="str">
        <f>IFERROR(VLOOKUP(D845,BUSCARV!$A$1:$C$5524,2,0),"")</f>
        <v/>
      </c>
      <c r="U845" s="42"/>
      <c r="V845" s="42" t="str">
        <f t="shared" si="3"/>
        <v/>
      </c>
      <c r="W845" s="44" t="str">
        <f t="shared" si="36"/>
        <v/>
      </c>
      <c r="X845" s="44"/>
      <c r="Y845" s="44"/>
      <c r="Z845" s="131"/>
      <c r="AA845" s="131"/>
    </row>
    <row r="846">
      <c r="A846" s="21"/>
      <c r="B846" s="21"/>
      <c r="C846" s="21"/>
      <c r="D846" s="21"/>
      <c r="E846" s="21"/>
      <c r="F846" s="21"/>
      <c r="G846" s="21"/>
      <c r="H846" s="31" t="str">
        <f t="shared" si="29"/>
        <v/>
      </c>
      <c r="I846" s="21"/>
      <c r="J846" s="21"/>
      <c r="K846" s="21"/>
      <c r="L846" s="123"/>
      <c r="M846" s="21"/>
      <c r="N846" s="21"/>
      <c r="O846" s="21"/>
      <c r="P846" s="21"/>
      <c r="Q846" s="21"/>
      <c r="R846" s="21"/>
      <c r="S846" s="21"/>
      <c r="T846" s="41" t="str">
        <f>IFERROR(VLOOKUP(D846,BUSCARV!$A$1:$C$5524,2,0),"")</f>
        <v/>
      </c>
      <c r="U846" s="42"/>
      <c r="V846" s="42" t="str">
        <f t="shared" si="3"/>
        <v/>
      </c>
      <c r="W846" s="44" t="str">
        <f t="shared" si="36"/>
        <v/>
      </c>
      <c r="X846" s="44"/>
      <c r="Y846" s="44"/>
      <c r="Z846" s="131"/>
      <c r="AA846" s="131"/>
    </row>
    <row r="847">
      <c r="A847" s="21"/>
      <c r="B847" s="21"/>
      <c r="C847" s="21"/>
      <c r="D847" s="21"/>
      <c r="E847" s="21"/>
      <c r="F847" s="21"/>
      <c r="G847" s="21"/>
      <c r="H847" s="31" t="str">
        <f t="shared" si="29"/>
        <v/>
      </c>
      <c r="I847" s="21"/>
      <c r="J847" s="21"/>
      <c r="K847" s="21"/>
      <c r="L847" s="123"/>
      <c r="M847" s="21"/>
      <c r="N847" s="21"/>
      <c r="O847" s="21"/>
      <c r="P847" s="21"/>
      <c r="Q847" s="21"/>
      <c r="R847" s="21"/>
      <c r="S847" s="21"/>
      <c r="T847" s="41" t="str">
        <f>IFERROR(VLOOKUP(D847,BUSCARV!$A$1:$C$5524,2,0),"")</f>
        <v/>
      </c>
      <c r="U847" s="42"/>
      <c r="V847" s="42" t="str">
        <f t="shared" si="3"/>
        <v/>
      </c>
      <c r="W847" s="44" t="str">
        <f t="shared" si="36"/>
        <v/>
      </c>
      <c r="X847" s="44"/>
      <c r="Y847" s="44"/>
      <c r="Z847" s="131"/>
      <c r="AA847" s="131"/>
    </row>
    <row r="848">
      <c r="A848" s="21"/>
      <c r="B848" s="21"/>
      <c r="C848" s="21"/>
      <c r="D848" s="21"/>
      <c r="E848" s="21"/>
      <c r="F848" s="21"/>
      <c r="G848" s="21"/>
      <c r="H848" s="31" t="str">
        <f t="shared" si="29"/>
        <v/>
      </c>
      <c r="I848" s="21"/>
      <c r="J848" s="21"/>
      <c r="K848" s="21"/>
      <c r="L848" s="123"/>
      <c r="M848" s="21"/>
      <c r="N848" s="21"/>
      <c r="O848" s="21"/>
      <c r="P848" s="21"/>
      <c r="Q848" s="21"/>
      <c r="R848" s="21"/>
      <c r="S848" s="21"/>
      <c r="T848" s="41" t="str">
        <f>IFERROR(VLOOKUP(D848,BUSCARV!$A$1:$C$5524,2,0),"")</f>
        <v/>
      </c>
      <c r="U848" s="42"/>
      <c r="V848" s="42" t="str">
        <f t="shared" si="3"/>
        <v/>
      </c>
      <c r="W848" s="44" t="str">
        <f t="shared" si="36"/>
        <v/>
      </c>
      <c r="X848" s="44"/>
      <c r="Y848" s="44"/>
      <c r="Z848" s="131"/>
      <c r="AA848" s="131"/>
    </row>
    <row r="849">
      <c r="A849" s="21"/>
      <c r="B849" s="21"/>
      <c r="C849" s="21"/>
      <c r="D849" s="21"/>
      <c r="E849" s="21"/>
      <c r="F849" s="21"/>
      <c r="G849" s="21"/>
      <c r="H849" s="31" t="str">
        <f t="shared" si="29"/>
        <v/>
      </c>
      <c r="I849" s="21"/>
      <c r="J849" s="21"/>
      <c r="K849" s="21"/>
      <c r="L849" s="123"/>
      <c r="M849" s="21"/>
      <c r="N849" s="21"/>
      <c r="O849" s="21"/>
      <c r="P849" s="21"/>
      <c r="Q849" s="21"/>
      <c r="R849" s="21"/>
      <c r="S849" s="21"/>
      <c r="T849" s="41" t="str">
        <f>IFERROR(VLOOKUP(D849,BUSCARV!$A$1:$C$5524,2,0),"")</f>
        <v/>
      </c>
      <c r="U849" s="42"/>
      <c r="V849" s="42" t="str">
        <f t="shared" si="3"/>
        <v/>
      </c>
      <c r="W849" s="44" t="str">
        <f t="shared" si="36"/>
        <v/>
      </c>
      <c r="X849" s="44"/>
      <c r="Y849" s="44"/>
      <c r="Z849" s="131"/>
      <c r="AA849" s="131"/>
    </row>
    <row r="850">
      <c r="A850" s="21"/>
      <c r="B850" s="21"/>
      <c r="C850" s="21"/>
      <c r="D850" s="21"/>
      <c r="E850" s="21"/>
      <c r="F850" s="21"/>
      <c r="G850" s="21"/>
      <c r="H850" s="31" t="str">
        <f t="shared" si="29"/>
        <v/>
      </c>
      <c r="I850" s="21"/>
      <c r="J850" s="21"/>
      <c r="K850" s="21"/>
      <c r="L850" s="123"/>
      <c r="M850" s="21"/>
      <c r="N850" s="21"/>
      <c r="O850" s="21"/>
      <c r="P850" s="21"/>
      <c r="Q850" s="21"/>
      <c r="R850" s="21"/>
      <c r="S850" s="21"/>
      <c r="T850" s="41" t="str">
        <f>IFERROR(VLOOKUP(D850,BUSCARV!$A$1:$C$5524,2,0),"")</f>
        <v/>
      </c>
      <c r="U850" s="42"/>
      <c r="V850" s="42" t="str">
        <f t="shared" si="3"/>
        <v/>
      </c>
      <c r="W850" s="44" t="str">
        <f t="shared" si="36"/>
        <v/>
      </c>
      <c r="X850" s="44"/>
      <c r="Y850" s="44"/>
      <c r="Z850" s="131"/>
      <c r="AA850" s="131"/>
    </row>
    <row r="851">
      <c r="A851" s="21"/>
      <c r="B851" s="21"/>
      <c r="C851" s="21"/>
      <c r="D851" s="21"/>
      <c r="E851" s="21"/>
      <c r="F851" s="21"/>
      <c r="G851" s="21"/>
      <c r="H851" s="31" t="str">
        <f t="shared" si="29"/>
        <v/>
      </c>
      <c r="I851" s="21"/>
      <c r="J851" s="21"/>
      <c r="K851" s="21"/>
      <c r="L851" s="123"/>
      <c r="M851" s="21"/>
      <c r="N851" s="21"/>
      <c r="O851" s="21"/>
      <c r="P851" s="21"/>
      <c r="Q851" s="21"/>
      <c r="R851" s="21"/>
      <c r="S851" s="21"/>
      <c r="T851" s="41" t="str">
        <f>IFERROR(VLOOKUP(D851,BUSCARV!$A$1:$C$5524,2,0),"")</f>
        <v/>
      </c>
      <c r="U851" s="42"/>
      <c r="V851" s="42" t="str">
        <f t="shared" si="3"/>
        <v/>
      </c>
      <c r="W851" s="44" t="str">
        <f t="shared" si="36"/>
        <v/>
      </c>
      <c r="X851" s="44"/>
      <c r="Y851" s="44"/>
      <c r="Z851" s="131"/>
      <c r="AA851" s="131"/>
    </row>
    <row r="852">
      <c r="A852" s="21"/>
      <c r="B852" s="21"/>
      <c r="C852" s="21"/>
      <c r="D852" s="21"/>
      <c r="E852" s="21"/>
      <c r="F852" s="21"/>
      <c r="G852" s="21"/>
      <c r="H852" s="31" t="str">
        <f t="shared" si="29"/>
        <v/>
      </c>
      <c r="I852" s="21"/>
      <c r="J852" s="21"/>
      <c r="K852" s="21"/>
      <c r="L852" s="123"/>
      <c r="M852" s="21"/>
      <c r="N852" s="21"/>
      <c r="O852" s="21"/>
      <c r="P852" s="21"/>
      <c r="Q852" s="21"/>
      <c r="R852" s="21"/>
      <c r="S852" s="21"/>
      <c r="T852" s="41" t="str">
        <f>IFERROR(VLOOKUP(D852,BUSCARV!$A$1:$C$5524,2,0),"")</f>
        <v/>
      </c>
      <c r="U852" s="42"/>
      <c r="V852" s="42" t="str">
        <f t="shared" si="3"/>
        <v/>
      </c>
      <c r="W852" s="44" t="str">
        <f t="shared" si="36"/>
        <v/>
      </c>
      <c r="X852" s="44"/>
      <c r="Y852" s="44"/>
      <c r="Z852" s="131"/>
      <c r="AA852" s="131"/>
    </row>
    <row r="853">
      <c r="A853" s="21"/>
      <c r="B853" s="21"/>
      <c r="C853" s="21"/>
      <c r="D853" s="21"/>
      <c r="E853" s="21"/>
      <c r="F853" s="21"/>
      <c r="G853" s="21"/>
      <c r="H853" s="31" t="str">
        <f t="shared" si="29"/>
        <v/>
      </c>
      <c r="I853" s="21"/>
      <c r="J853" s="21"/>
      <c r="K853" s="21"/>
      <c r="L853" s="123"/>
      <c r="M853" s="21"/>
      <c r="N853" s="21"/>
      <c r="O853" s="21"/>
      <c r="P853" s="21"/>
      <c r="Q853" s="21"/>
      <c r="R853" s="21"/>
      <c r="S853" s="21"/>
      <c r="T853" s="41" t="str">
        <f>IFERROR(VLOOKUP(D853,BUSCARV!$A$1:$C$5524,2,0),"")</f>
        <v/>
      </c>
      <c r="U853" s="42"/>
      <c r="V853" s="42" t="str">
        <f t="shared" si="3"/>
        <v/>
      </c>
      <c r="W853" s="44" t="str">
        <f t="shared" si="36"/>
        <v/>
      </c>
      <c r="X853" s="44"/>
      <c r="Y853" s="44"/>
      <c r="Z853" s="131"/>
      <c r="AA853" s="131"/>
    </row>
    <row r="854">
      <c r="A854" s="21"/>
      <c r="B854" s="21"/>
      <c r="C854" s="21"/>
      <c r="D854" s="21"/>
      <c r="E854" s="21"/>
      <c r="F854" s="21"/>
      <c r="G854" s="21"/>
      <c r="H854" s="31" t="str">
        <f t="shared" si="29"/>
        <v/>
      </c>
      <c r="I854" s="21"/>
      <c r="J854" s="21"/>
      <c r="K854" s="21"/>
      <c r="L854" s="123"/>
      <c r="M854" s="21"/>
      <c r="N854" s="21"/>
      <c r="O854" s="21"/>
      <c r="P854" s="21"/>
      <c r="Q854" s="21"/>
      <c r="R854" s="21"/>
      <c r="S854" s="21"/>
      <c r="T854" s="41" t="str">
        <f>IFERROR(VLOOKUP(D854,BUSCARV!$A$1:$C$5524,2,0),"")</f>
        <v/>
      </c>
      <c r="U854" s="42"/>
      <c r="V854" s="42" t="str">
        <f t="shared" si="3"/>
        <v/>
      </c>
      <c r="W854" s="44" t="str">
        <f t="shared" si="36"/>
        <v/>
      </c>
      <c r="X854" s="44"/>
      <c r="Y854" s="44"/>
      <c r="Z854" s="131"/>
      <c r="AA854" s="131"/>
    </row>
    <row r="855">
      <c r="A855" s="21"/>
      <c r="B855" s="21"/>
      <c r="C855" s="21"/>
      <c r="D855" s="21"/>
      <c r="E855" s="21"/>
      <c r="F855" s="21"/>
      <c r="G855" s="21"/>
      <c r="H855" s="31" t="str">
        <f t="shared" si="29"/>
        <v/>
      </c>
      <c r="I855" s="21"/>
      <c r="J855" s="21"/>
      <c r="K855" s="21"/>
      <c r="L855" s="123"/>
      <c r="M855" s="21"/>
      <c r="N855" s="21"/>
      <c r="O855" s="21"/>
      <c r="P855" s="21"/>
      <c r="Q855" s="21"/>
      <c r="R855" s="21"/>
      <c r="S855" s="21"/>
      <c r="T855" s="41" t="str">
        <f>IFERROR(VLOOKUP(D855,BUSCARV!$A$1:$C$5524,2,0),"")</f>
        <v/>
      </c>
      <c r="U855" s="42"/>
      <c r="V855" s="42" t="str">
        <f t="shared" si="3"/>
        <v/>
      </c>
      <c r="W855" s="44" t="str">
        <f t="shared" si="36"/>
        <v/>
      </c>
      <c r="X855" s="44"/>
      <c r="Y855" s="44"/>
      <c r="Z855" s="131"/>
      <c r="AA855" s="131"/>
    </row>
    <row r="856">
      <c r="A856" s="21"/>
      <c r="B856" s="21"/>
      <c r="C856" s="21"/>
      <c r="D856" s="21"/>
      <c r="E856" s="21"/>
      <c r="F856" s="21"/>
      <c r="G856" s="21"/>
      <c r="H856" s="31" t="str">
        <f t="shared" si="29"/>
        <v/>
      </c>
      <c r="I856" s="21"/>
      <c r="J856" s="21"/>
      <c r="K856" s="21"/>
      <c r="L856" s="123"/>
      <c r="M856" s="21"/>
      <c r="N856" s="21"/>
      <c r="O856" s="21"/>
      <c r="P856" s="21"/>
      <c r="Q856" s="21"/>
      <c r="R856" s="21"/>
      <c r="S856" s="21"/>
      <c r="T856" s="41" t="str">
        <f>IFERROR(VLOOKUP(D856,BUSCARV!$A$1:$C$5524,2,0),"")</f>
        <v/>
      </c>
      <c r="U856" s="42"/>
      <c r="V856" s="42" t="str">
        <f t="shared" si="3"/>
        <v/>
      </c>
      <c r="W856" s="44" t="str">
        <f t="shared" si="36"/>
        <v/>
      </c>
      <c r="X856" s="44"/>
      <c r="Y856" s="44"/>
      <c r="Z856" s="131"/>
      <c r="AA856" s="131"/>
    </row>
    <row r="857">
      <c r="A857" s="21"/>
      <c r="B857" s="21"/>
      <c r="C857" s="21"/>
      <c r="D857" s="21"/>
      <c r="E857" s="21"/>
      <c r="F857" s="21"/>
      <c r="G857" s="21"/>
      <c r="H857" s="31" t="str">
        <f t="shared" si="29"/>
        <v/>
      </c>
      <c r="I857" s="21"/>
      <c r="J857" s="21"/>
      <c r="K857" s="21"/>
      <c r="L857" s="123"/>
      <c r="M857" s="21"/>
      <c r="N857" s="21"/>
      <c r="O857" s="21"/>
      <c r="P857" s="21"/>
      <c r="Q857" s="21"/>
      <c r="R857" s="21"/>
      <c r="S857" s="21"/>
      <c r="T857" s="41" t="str">
        <f>IFERROR(VLOOKUP(D857,BUSCARV!$A$1:$C$5524,2,0),"")</f>
        <v/>
      </c>
      <c r="U857" s="42"/>
      <c r="V857" s="42" t="str">
        <f t="shared" si="3"/>
        <v/>
      </c>
      <c r="W857" s="44" t="str">
        <f t="shared" si="36"/>
        <v/>
      </c>
      <c r="X857" s="44"/>
      <c r="Y857" s="44"/>
      <c r="Z857" s="131"/>
      <c r="AA857" s="131"/>
    </row>
    <row r="858">
      <c r="A858" s="21"/>
      <c r="B858" s="21"/>
      <c r="C858" s="21"/>
      <c r="D858" s="21"/>
      <c r="E858" s="21"/>
      <c r="F858" s="21"/>
      <c r="G858" s="21"/>
      <c r="H858" s="31" t="str">
        <f t="shared" si="29"/>
        <v/>
      </c>
      <c r="I858" s="21"/>
      <c r="J858" s="21"/>
      <c r="K858" s="21"/>
      <c r="L858" s="123"/>
      <c r="M858" s="21"/>
      <c r="N858" s="21"/>
      <c r="O858" s="21"/>
      <c r="P858" s="21"/>
      <c r="Q858" s="21"/>
      <c r="R858" s="21"/>
      <c r="S858" s="21"/>
      <c r="T858" s="41" t="str">
        <f>IFERROR(VLOOKUP(D858,BUSCARV!$A$1:$C$5524,2,0),"")</f>
        <v/>
      </c>
      <c r="U858" s="42"/>
      <c r="V858" s="42" t="str">
        <f t="shared" si="3"/>
        <v/>
      </c>
      <c r="W858" s="44" t="str">
        <f t="shared" si="36"/>
        <v/>
      </c>
      <c r="X858" s="44"/>
      <c r="Y858" s="44"/>
      <c r="Z858" s="131"/>
      <c r="AA858" s="131"/>
    </row>
    <row r="859">
      <c r="A859" s="21"/>
      <c r="B859" s="21"/>
      <c r="C859" s="21"/>
      <c r="D859" s="21"/>
      <c r="E859" s="21"/>
      <c r="F859" s="21"/>
      <c r="G859" s="21"/>
      <c r="H859" s="31" t="str">
        <f t="shared" si="29"/>
        <v/>
      </c>
      <c r="I859" s="21"/>
      <c r="J859" s="21"/>
      <c r="K859" s="21"/>
      <c r="L859" s="123"/>
      <c r="M859" s="21"/>
      <c r="N859" s="21"/>
      <c r="O859" s="21"/>
      <c r="P859" s="21"/>
      <c r="Q859" s="21"/>
      <c r="R859" s="21"/>
      <c r="S859" s="21"/>
      <c r="T859" s="41" t="str">
        <f>IFERROR(VLOOKUP(D859,BUSCARV!$A$1:$C$5524,2,0),"")</f>
        <v/>
      </c>
      <c r="U859" s="42"/>
      <c r="V859" s="42" t="str">
        <f t="shared" si="3"/>
        <v/>
      </c>
      <c r="W859" s="44" t="str">
        <f t="shared" si="36"/>
        <v/>
      </c>
      <c r="X859" s="44"/>
      <c r="Y859" s="44"/>
      <c r="Z859" s="131"/>
      <c r="AA859" s="131"/>
    </row>
    <row r="860">
      <c r="A860" s="21"/>
      <c r="B860" s="21"/>
      <c r="C860" s="21"/>
      <c r="D860" s="21"/>
      <c r="E860" s="21"/>
      <c r="F860" s="21"/>
      <c r="G860" s="21"/>
      <c r="H860" s="31" t="str">
        <f t="shared" si="29"/>
        <v/>
      </c>
      <c r="I860" s="21"/>
      <c r="J860" s="21"/>
      <c r="K860" s="21"/>
      <c r="L860" s="123"/>
      <c r="M860" s="21"/>
      <c r="N860" s="21"/>
      <c r="O860" s="21"/>
      <c r="P860" s="21"/>
      <c r="Q860" s="21"/>
      <c r="R860" s="21"/>
      <c r="S860" s="21"/>
      <c r="T860" s="41" t="str">
        <f>IFERROR(VLOOKUP(D860,BUSCARV!$A$1:$C$5524,2,0),"")</f>
        <v/>
      </c>
      <c r="U860" s="42"/>
      <c r="V860" s="42" t="str">
        <f t="shared" si="3"/>
        <v/>
      </c>
      <c r="W860" s="44" t="str">
        <f t="shared" si="36"/>
        <v/>
      </c>
      <c r="X860" s="44"/>
      <c r="Y860" s="44"/>
      <c r="Z860" s="131"/>
      <c r="AA860" s="131"/>
    </row>
    <row r="861">
      <c r="A861" s="21"/>
      <c r="B861" s="21"/>
      <c r="C861" s="21"/>
      <c r="D861" s="21"/>
      <c r="E861" s="21"/>
      <c r="F861" s="21"/>
      <c r="G861" s="21"/>
      <c r="H861" s="31" t="str">
        <f t="shared" si="29"/>
        <v/>
      </c>
      <c r="I861" s="21"/>
      <c r="J861" s="21"/>
      <c r="K861" s="21"/>
      <c r="L861" s="123"/>
      <c r="M861" s="21"/>
      <c r="N861" s="21"/>
      <c r="O861" s="21"/>
      <c r="P861" s="21"/>
      <c r="Q861" s="21"/>
      <c r="R861" s="21"/>
      <c r="S861" s="21"/>
      <c r="T861" s="41" t="str">
        <f>IFERROR(VLOOKUP(D861,BUSCARV!$A$1:$C$5524,2,0),"")</f>
        <v/>
      </c>
      <c r="U861" s="42"/>
      <c r="V861" s="42" t="str">
        <f t="shared" si="3"/>
        <v/>
      </c>
      <c r="W861" s="44" t="str">
        <f t="shared" si="36"/>
        <v/>
      </c>
      <c r="X861" s="44"/>
      <c r="Y861" s="44"/>
      <c r="Z861" s="131"/>
      <c r="AA861" s="131"/>
    </row>
    <row r="862">
      <c r="A862" s="21"/>
      <c r="B862" s="21"/>
      <c r="C862" s="21"/>
      <c r="D862" s="21"/>
      <c r="E862" s="21"/>
      <c r="F862" s="21"/>
      <c r="G862" s="21"/>
      <c r="H862" s="31" t="str">
        <f t="shared" si="29"/>
        <v/>
      </c>
      <c r="I862" s="21"/>
      <c r="J862" s="21"/>
      <c r="K862" s="21"/>
      <c r="L862" s="123"/>
      <c r="M862" s="21"/>
      <c r="N862" s="21"/>
      <c r="O862" s="21"/>
      <c r="P862" s="21"/>
      <c r="Q862" s="21"/>
      <c r="R862" s="21"/>
      <c r="S862" s="21"/>
      <c r="T862" s="41" t="str">
        <f>IFERROR(VLOOKUP(D862,BUSCARV!$A$1:$C$5524,2,0),"")</f>
        <v/>
      </c>
      <c r="U862" s="42"/>
      <c r="V862" s="42" t="str">
        <f t="shared" si="3"/>
        <v/>
      </c>
      <c r="W862" s="44" t="str">
        <f t="shared" si="36"/>
        <v/>
      </c>
      <c r="X862" s="44"/>
      <c r="Y862" s="44"/>
      <c r="Z862" s="131"/>
      <c r="AA862" s="131"/>
    </row>
    <row r="863">
      <c r="A863" s="21"/>
      <c r="B863" s="21"/>
      <c r="C863" s="21"/>
      <c r="D863" s="21"/>
      <c r="E863" s="21"/>
      <c r="F863" s="21"/>
      <c r="G863" s="21"/>
      <c r="H863" s="31" t="str">
        <f t="shared" si="29"/>
        <v/>
      </c>
      <c r="I863" s="21"/>
      <c r="J863" s="21"/>
      <c r="K863" s="21"/>
      <c r="L863" s="123"/>
      <c r="M863" s="21"/>
      <c r="N863" s="21"/>
      <c r="O863" s="21"/>
      <c r="P863" s="21"/>
      <c r="Q863" s="21"/>
      <c r="R863" s="21"/>
      <c r="S863" s="21"/>
      <c r="T863" s="41" t="str">
        <f>IFERROR(VLOOKUP(D863,BUSCARV!$A$1:$C$5524,2,0),"")</f>
        <v/>
      </c>
      <c r="U863" s="42"/>
      <c r="V863" s="42" t="str">
        <f t="shared" si="3"/>
        <v/>
      </c>
      <c r="W863" s="44" t="str">
        <f t="shared" si="36"/>
        <v/>
      </c>
      <c r="X863" s="44"/>
      <c r="Y863" s="44"/>
      <c r="Z863" s="131"/>
      <c r="AA863" s="131"/>
    </row>
    <row r="864">
      <c r="A864" s="21"/>
      <c r="B864" s="21"/>
      <c r="C864" s="21"/>
      <c r="D864" s="21"/>
      <c r="E864" s="21"/>
      <c r="F864" s="21"/>
      <c r="G864" s="21"/>
      <c r="H864" s="31" t="str">
        <f t="shared" si="29"/>
        <v/>
      </c>
      <c r="I864" s="21"/>
      <c r="J864" s="21"/>
      <c r="K864" s="21"/>
      <c r="L864" s="123"/>
      <c r="M864" s="21"/>
      <c r="N864" s="21"/>
      <c r="O864" s="21"/>
      <c r="P864" s="21"/>
      <c r="Q864" s="21"/>
      <c r="R864" s="21"/>
      <c r="S864" s="21"/>
      <c r="T864" s="41" t="str">
        <f>IFERROR(VLOOKUP(D864,BUSCARV!$A$1:$C$5524,2,0),"")</f>
        <v/>
      </c>
      <c r="U864" s="42"/>
      <c r="V864" s="42" t="str">
        <f t="shared" si="3"/>
        <v/>
      </c>
      <c r="W864" s="44" t="str">
        <f t="shared" si="36"/>
        <v/>
      </c>
      <c r="X864" s="44"/>
      <c r="Y864" s="44"/>
      <c r="Z864" s="131"/>
      <c r="AA864" s="131"/>
    </row>
    <row r="865">
      <c r="A865" s="21"/>
      <c r="B865" s="21"/>
      <c r="C865" s="21"/>
      <c r="D865" s="21"/>
      <c r="E865" s="21"/>
      <c r="F865" s="21"/>
      <c r="G865" s="21"/>
      <c r="H865" s="31" t="str">
        <f t="shared" si="29"/>
        <v/>
      </c>
      <c r="I865" s="21"/>
      <c r="J865" s="21"/>
      <c r="K865" s="21"/>
      <c r="L865" s="123"/>
      <c r="M865" s="21"/>
      <c r="N865" s="21"/>
      <c r="O865" s="21"/>
      <c r="P865" s="21"/>
      <c r="Q865" s="21"/>
      <c r="R865" s="21"/>
      <c r="S865" s="21"/>
      <c r="T865" s="41" t="str">
        <f>IFERROR(VLOOKUP(D865,BUSCARV!$A$1:$C$5524,2,0),"")</f>
        <v/>
      </c>
      <c r="U865" s="42"/>
      <c r="V865" s="42" t="str">
        <f t="shared" si="3"/>
        <v/>
      </c>
      <c r="W865" s="44" t="str">
        <f t="shared" si="36"/>
        <v/>
      </c>
      <c r="X865" s="44"/>
      <c r="Y865" s="44"/>
      <c r="Z865" s="131"/>
      <c r="AA865" s="131"/>
    </row>
    <row r="866">
      <c r="A866" s="21"/>
      <c r="B866" s="21"/>
      <c r="C866" s="21"/>
      <c r="D866" s="21"/>
      <c r="E866" s="21"/>
      <c r="F866" s="21"/>
      <c r="G866" s="21"/>
      <c r="H866" s="31" t="str">
        <f t="shared" si="29"/>
        <v/>
      </c>
      <c r="I866" s="21"/>
      <c r="J866" s="21"/>
      <c r="K866" s="21"/>
      <c r="L866" s="123"/>
      <c r="M866" s="21"/>
      <c r="N866" s="21"/>
      <c r="O866" s="21"/>
      <c r="P866" s="21"/>
      <c r="Q866" s="21"/>
      <c r="R866" s="21"/>
      <c r="S866" s="21"/>
      <c r="T866" s="41" t="str">
        <f>IFERROR(VLOOKUP(D866,BUSCARV!$A$1:$C$5524,2,0),"")</f>
        <v/>
      </c>
      <c r="U866" s="42"/>
      <c r="V866" s="42" t="str">
        <f t="shared" si="3"/>
        <v/>
      </c>
      <c r="W866" s="44" t="str">
        <f t="shared" si="36"/>
        <v/>
      </c>
      <c r="X866" s="44"/>
      <c r="Y866" s="44"/>
      <c r="Z866" s="131"/>
      <c r="AA866" s="131"/>
    </row>
    <row r="867">
      <c r="A867" s="21"/>
      <c r="B867" s="21"/>
      <c r="C867" s="21"/>
      <c r="D867" s="21"/>
      <c r="E867" s="21"/>
      <c r="F867" s="21"/>
      <c r="G867" s="21"/>
      <c r="H867" s="31" t="str">
        <f t="shared" si="29"/>
        <v/>
      </c>
      <c r="I867" s="21"/>
      <c r="J867" s="21"/>
      <c r="K867" s="21"/>
      <c r="L867" s="123"/>
      <c r="M867" s="21"/>
      <c r="N867" s="21"/>
      <c r="O867" s="21"/>
      <c r="P867" s="21"/>
      <c r="Q867" s="21"/>
      <c r="R867" s="21"/>
      <c r="S867" s="21"/>
      <c r="T867" s="41" t="str">
        <f>IFERROR(VLOOKUP(D867,BUSCARV!$A$1:$C$5524,2,0),"")</f>
        <v/>
      </c>
      <c r="U867" s="42"/>
      <c r="V867" s="42" t="str">
        <f t="shared" si="3"/>
        <v/>
      </c>
      <c r="W867" s="44" t="str">
        <f t="shared" si="36"/>
        <v/>
      </c>
      <c r="X867" s="44"/>
      <c r="Y867" s="44"/>
      <c r="Z867" s="131"/>
      <c r="AA867" s="131"/>
    </row>
    <row r="868">
      <c r="A868" s="21"/>
      <c r="B868" s="21"/>
      <c r="C868" s="21"/>
      <c r="D868" s="21"/>
      <c r="E868" s="21"/>
      <c r="F868" s="21"/>
      <c r="G868" s="21"/>
      <c r="H868" s="31" t="str">
        <f t="shared" si="29"/>
        <v/>
      </c>
      <c r="I868" s="21"/>
      <c r="J868" s="21"/>
      <c r="K868" s="21"/>
      <c r="L868" s="123"/>
      <c r="M868" s="21"/>
      <c r="N868" s="21"/>
      <c r="O868" s="21"/>
      <c r="P868" s="21"/>
      <c r="Q868" s="21"/>
      <c r="R868" s="21"/>
      <c r="S868" s="21"/>
      <c r="T868" s="41" t="str">
        <f>IFERROR(VLOOKUP(D868,BUSCARV!$A$1:$C$5524,2,0),"")</f>
        <v/>
      </c>
      <c r="U868" s="42"/>
      <c r="V868" s="42" t="str">
        <f t="shared" si="3"/>
        <v/>
      </c>
      <c r="W868" s="44" t="str">
        <f t="shared" si="36"/>
        <v/>
      </c>
      <c r="X868" s="44"/>
      <c r="Y868" s="44"/>
      <c r="Z868" s="131"/>
      <c r="AA868" s="131"/>
    </row>
    <row r="869">
      <c r="A869" s="21"/>
      <c r="B869" s="21"/>
      <c r="C869" s="21"/>
      <c r="D869" s="21"/>
      <c r="E869" s="21"/>
      <c r="F869" s="21"/>
      <c r="G869" s="21"/>
      <c r="H869" s="31" t="str">
        <f t="shared" si="29"/>
        <v/>
      </c>
      <c r="I869" s="21"/>
      <c r="J869" s="21"/>
      <c r="K869" s="21"/>
      <c r="L869" s="123"/>
      <c r="M869" s="21"/>
      <c r="N869" s="21"/>
      <c r="O869" s="21"/>
      <c r="P869" s="21"/>
      <c r="Q869" s="21"/>
      <c r="R869" s="21"/>
      <c r="S869" s="21"/>
      <c r="T869" s="41" t="str">
        <f>IFERROR(VLOOKUP(D869,BUSCARV!$A$1:$C$5524,2,0),"")</f>
        <v/>
      </c>
      <c r="U869" s="42"/>
      <c r="V869" s="42" t="str">
        <f t="shared" si="3"/>
        <v/>
      </c>
      <c r="W869" s="44" t="str">
        <f t="shared" si="36"/>
        <v/>
      </c>
      <c r="X869" s="44"/>
      <c r="Y869" s="44"/>
      <c r="Z869" s="131"/>
      <c r="AA869" s="131"/>
    </row>
    <row r="870">
      <c r="A870" s="21"/>
      <c r="B870" s="21"/>
      <c r="C870" s="21"/>
      <c r="D870" s="21"/>
      <c r="E870" s="21"/>
      <c r="F870" s="21"/>
      <c r="G870" s="21"/>
      <c r="H870" s="31" t="str">
        <f t="shared" si="29"/>
        <v/>
      </c>
      <c r="I870" s="21"/>
      <c r="J870" s="21"/>
      <c r="K870" s="21"/>
      <c r="L870" s="123"/>
      <c r="M870" s="21"/>
      <c r="N870" s="21"/>
      <c r="O870" s="21"/>
      <c r="P870" s="21"/>
      <c r="Q870" s="21"/>
      <c r="R870" s="21"/>
      <c r="S870" s="21"/>
      <c r="T870" s="41" t="str">
        <f>IFERROR(VLOOKUP(D870,BUSCARV!$A$1:$C$5524,2,0),"")</f>
        <v/>
      </c>
      <c r="U870" s="42"/>
      <c r="V870" s="42" t="str">
        <f t="shared" si="3"/>
        <v/>
      </c>
      <c r="W870" s="44" t="str">
        <f t="shared" si="36"/>
        <v/>
      </c>
      <c r="X870" s="44"/>
      <c r="Y870" s="44"/>
      <c r="Z870" s="131"/>
      <c r="AA870" s="131"/>
    </row>
    <row r="871">
      <c r="A871" s="21"/>
      <c r="B871" s="21"/>
      <c r="C871" s="21"/>
      <c r="D871" s="21"/>
      <c r="E871" s="21"/>
      <c r="F871" s="21"/>
      <c r="G871" s="21"/>
      <c r="H871" s="31" t="str">
        <f t="shared" si="29"/>
        <v/>
      </c>
      <c r="I871" s="21"/>
      <c r="J871" s="21"/>
      <c r="K871" s="21"/>
      <c r="L871" s="123"/>
      <c r="M871" s="21"/>
      <c r="N871" s="21"/>
      <c r="O871" s="21"/>
      <c r="P871" s="21"/>
      <c r="Q871" s="21"/>
      <c r="R871" s="21"/>
      <c r="S871" s="21"/>
      <c r="T871" s="41" t="str">
        <f>IFERROR(VLOOKUP(D871,BUSCARV!$A$1:$C$5524,2,0),"")</f>
        <v/>
      </c>
      <c r="U871" s="42"/>
      <c r="V871" s="42" t="str">
        <f t="shared" si="3"/>
        <v/>
      </c>
      <c r="W871" s="44" t="str">
        <f t="shared" si="36"/>
        <v/>
      </c>
      <c r="X871" s="44"/>
      <c r="Y871" s="44"/>
      <c r="Z871" s="131"/>
      <c r="AA871" s="131"/>
    </row>
    <row r="872">
      <c r="A872" s="21"/>
      <c r="B872" s="21"/>
      <c r="C872" s="21"/>
      <c r="D872" s="21"/>
      <c r="E872" s="21"/>
      <c r="F872" s="21"/>
      <c r="G872" s="21"/>
      <c r="H872" s="31" t="str">
        <f t="shared" si="29"/>
        <v/>
      </c>
      <c r="I872" s="21"/>
      <c r="J872" s="21"/>
      <c r="K872" s="21"/>
      <c r="L872" s="123"/>
      <c r="M872" s="21"/>
      <c r="N872" s="21"/>
      <c r="O872" s="21"/>
      <c r="P872" s="21"/>
      <c r="Q872" s="21"/>
      <c r="R872" s="21"/>
      <c r="S872" s="21"/>
      <c r="T872" s="41" t="str">
        <f>IFERROR(VLOOKUP(D872,BUSCARV!$A$1:$C$5524,2,0),"")</f>
        <v/>
      </c>
      <c r="U872" s="42"/>
      <c r="V872" s="42" t="str">
        <f t="shared" si="3"/>
        <v/>
      </c>
      <c r="W872" s="44" t="str">
        <f t="shared" si="36"/>
        <v/>
      </c>
      <c r="X872" s="44"/>
      <c r="Y872" s="44"/>
      <c r="Z872" s="131"/>
      <c r="AA872" s="131"/>
    </row>
    <row r="873">
      <c r="A873" s="21"/>
      <c r="B873" s="21"/>
      <c r="C873" s="21"/>
      <c r="D873" s="21"/>
      <c r="E873" s="21"/>
      <c r="F873" s="21"/>
      <c r="G873" s="21"/>
      <c r="H873" s="31" t="str">
        <f t="shared" si="29"/>
        <v/>
      </c>
      <c r="I873" s="21"/>
      <c r="J873" s="21"/>
      <c r="K873" s="21"/>
      <c r="L873" s="123"/>
      <c r="M873" s="21"/>
      <c r="N873" s="21"/>
      <c r="O873" s="21"/>
      <c r="P873" s="21"/>
      <c r="Q873" s="21"/>
      <c r="R873" s="21"/>
      <c r="S873" s="21"/>
      <c r="T873" s="41" t="str">
        <f>IFERROR(VLOOKUP(D873,BUSCARV!$A$1:$C$5524,2,0),"")</f>
        <v/>
      </c>
      <c r="U873" s="42"/>
      <c r="V873" s="42" t="str">
        <f t="shared" si="3"/>
        <v/>
      </c>
      <c r="W873" s="44" t="str">
        <f t="shared" si="36"/>
        <v/>
      </c>
      <c r="X873" s="44"/>
      <c r="Y873" s="44"/>
      <c r="Z873" s="131"/>
      <c r="AA873" s="131"/>
    </row>
    <row r="874">
      <c r="A874" s="21"/>
      <c r="B874" s="21"/>
      <c r="C874" s="21"/>
      <c r="D874" s="21"/>
      <c r="E874" s="21"/>
      <c r="F874" s="21"/>
      <c r="G874" s="21"/>
      <c r="H874" s="31" t="str">
        <f t="shared" si="29"/>
        <v/>
      </c>
      <c r="I874" s="21"/>
      <c r="J874" s="21"/>
      <c r="K874" s="21"/>
      <c r="L874" s="123"/>
      <c r="M874" s="21"/>
      <c r="N874" s="21"/>
      <c r="O874" s="21"/>
      <c r="P874" s="21"/>
      <c r="Q874" s="21"/>
      <c r="R874" s="21"/>
      <c r="S874" s="21"/>
      <c r="T874" s="41" t="str">
        <f>IFERROR(VLOOKUP(D874,BUSCARV!$A$1:$C$5524,2,0),"")</f>
        <v/>
      </c>
      <c r="U874" s="42"/>
      <c r="V874" s="42" t="str">
        <f t="shared" si="3"/>
        <v/>
      </c>
      <c r="W874" s="44" t="str">
        <f t="shared" si="36"/>
        <v/>
      </c>
      <c r="X874" s="44"/>
      <c r="Y874" s="44"/>
      <c r="Z874" s="131"/>
      <c r="AA874" s="131"/>
    </row>
    <row r="875">
      <c r="A875" s="21"/>
      <c r="B875" s="21"/>
      <c r="C875" s="21"/>
      <c r="D875" s="21"/>
      <c r="E875" s="21"/>
      <c r="F875" s="21"/>
      <c r="G875" s="21"/>
      <c r="H875" s="31" t="str">
        <f t="shared" si="29"/>
        <v/>
      </c>
      <c r="I875" s="21"/>
      <c r="J875" s="21"/>
      <c r="K875" s="21"/>
      <c r="L875" s="123"/>
      <c r="M875" s="21"/>
      <c r="N875" s="21"/>
      <c r="O875" s="21"/>
      <c r="P875" s="21"/>
      <c r="Q875" s="21"/>
      <c r="R875" s="21"/>
      <c r="S875" s="21"/>
      <c r="T875" s="41" t="str">
        <f>IFERROR(VLOOKUP(D875,BUSCARV!$A$1:$C$5524,2,0),"")</f>
        <v/>
      </c>
      <c r="U875" s="42"/>
      <c r="V875" s="42" t="str">
        <f t="shared" si="3"/>
        <v/>
      </c>
      <c r="W875" s="44" t="str">
        <f t="shared" si="36"/>
        <v/>
      </c>
      <c r="X875" s="44"/>
      <c r="Y875" s="44"/>
      <c r="Z875" s="131"/>
      <c r="AA875" s="131"/>
    </row>
    <row r="876">
      <c r="A876" s="21"/>
      <c r="B876" s="21"/>
      <c r="C876" s="21"/>
      <c r="D876" s="21"/>
      <c r="E876" s="21"/>
      <c r="F876" s="21"/>
      <c r="G876" s="21"/>
      <c r="H876" s="31" t="str">
        <f t="shared" si="29"/>
        <v/>
      </c>
      <c r="I876" s="21"/>
      <c r="J876" s="21"/>
      <c r="K876" s="21"/>
      <c r="L876" s="123"/>
      <c r="M876" s="21"/>
      <c r="N876" s="21"/>
      <c r="O876" s="21"/>
      <c r="P876" s="21"/>
      <c r="Q876" s="21"/>
      <c r="R876" s="21"/>
      <c r="S876" s="21"/>
      <c r="T876" s="41" t="str">
        <f>IFERROR(VLOOKUP(D876,BUSCARV!$A$1:$C$5524,2,0),"")</f>
        <v/>
      </c>
      <c r="U876" s="42"/>
      <c r="V876" s="42" t="str">
        <f t="shared" si="3"/>
        <v/>
      </c>
      <c r="W876" s="44" t="str">
        <f t="shared" si="36"/>
        <v/>
      </c>
      <c r="X876" s="44"/>
      <c r="Y876" s="44"/>
      <c r="Z876" s="131"/>
      <c r="AA876" s="131"/>
    </row>
    <row r="877">
      <c r="A877" s="21"/>
      <c r="B877" s="21"/>
      <c r="C877" s="21"/>
      <c r="D877" s="21"/>
      <c r="E877" s="21"/>
      <c r="F877" s="21"/>
      <c r="G877" s="21"/>
      <c r="H877" s="31" t="str">
        <f t="shared" si="29"/>
        <v/>
      </c>
      <c r="I877" s="21"/>
      <c r="J877" s="21"/>
      <c r="K877" s="21"/>
      <c r="L877" s="123"/>
      <c r="M877" s="21"/>
      <c r="N877" s="21"/>
      <c r="O877" s="21"/>
      <c r="P877" s="21"/>
      <c r="Q877" s="21"/>
      <c r="R877" s="21"/>
      <c r="S877" s="21"/>
      <c r="T877" s="41" t="str">
        <f>IFERROR(VLOOKUP(D877,BUSCARV!$A$1:$C$5524,2,0),"")</f>
        <v/>
      </c>
      <c r="U877" s="42"/>
      <c r="V877" s="42" t="str">
        <f t="shared" si="3"/>
        <v/>
      </c>
      <c r="W877" s="44" t="str">
        <f t="shared" si="36"/>
        <v/>
      </c>
      <c r="X877" s="44"/>
      <c r="Y877" s="44"/>
      <c r="Z877" s="131"/>
      <c r="AA877" s="131"/>
    </row>
    <row r="878">
      <c r="A878" s="21"/>
      <c r="B878" s="21"/>
      <c r="C878" s="21"/>
      <c r="D878" s="21"/>
      <c r="E878" s="21"/>
      <c r="F878" s="21"/>
      <c r="G878" s="21"/>
      <c r="H878" s="31" t="str">
        <f t="shared" si="29"/>
        <v/>
      </c>
      <c r="I878" s="21"/>
      <c r="J878" s="21"/>
      <c r="K878" s="21"/>
      <c r="L878" s="123"/>
      <c r="M878" s="21"/>
      <c r="N878" s="21"/>
      <c r="O878" s="21"/>
      <c r="P878" s="21"/>
      <c r="Q878" s="21"/>
      <c r="R878" s="21"/>
      <c r="S878" s="21"/>
      <c r="T878" s="41" t="str">
        <f>IFERROR(VLOOKUP(D878,BUSCARV!$A$1:$C$5524,2,0),"")</f>
        <v/>
      </c>
      <c r="U878" s="42"/>
      <c r="V878" s="42" t="str">
        <f t="shared" si="3"/>
        <v/>
      </c>
      <c r="W878" s="44" t="str">
        <f t="shared" si="36"/>
        <v/>
      </c>
      <c r="X878" s="44"/>
      <c r="Y878" s="44"/>
      <c r="Z878" s="131"/>
      <c r="AA878" s="131"/>
    </row>
    <row r="879">
      <c r="A879" s="21"/>
      <c r="B879" s="21"/>
      <c r="C879" s="21"/>
      <c r="D879" s="21"/>
      <c r="E879" s="21"/>
      <c r="F879" s="21"/>
      <c r="G879" s="21"/>
      <c r="H879" s="31" t="str">
        <f t="shared" si="29"/>
        <v/>
      </c>
      <c r="I879" s="21"/>
      <c r="J879" s="21"/>
      <c r="K879" s="21"/>
      <c r="L879" s="123"/>
      <c r="M879" s="21"/>
      <c r="N879" s="21"/>
      <c r="O879" s="21"/>
      <c r="P879" s="21"/>
      <c r="Q879" s="21"/>
      <c r="R879" s="21"/>
      <c r="S879" s="21"/>
      <c r="T879" s="41" t="str">
        <f>IFERROR(VLOOKUP(D879,BUSCARV!$A$1:$C$5524,2,0),"")</f>
        <v/>
      </c>
      <c r="U879" s="42"/>
      <c r="V879" s="42" t="str">
        <f t="shared" si="3"/>
        <v/>
      </c>
      <c r="W879" s="44" t="str">
        <f t="shared" si="36"/>
        <v/>
      </c>
      <c r="X879" s="44"/>
      <c r="Y879" s="44"/>
      <c r="Z879" s="131"/>
      <c r="AA879" s="131"/>
    </row>
    <row r="880">
      <c r="A880" s="21"/>
      <c r="B880" s="21"/>
      <c r="C880" s="21"/>
      <c r="D880" s="21"/>
      <c r="E880" s="21"/>
      <c r="F880" s="21"/>
      <c r="G880" s="21"/>
      <c r="H880" s="31" t="str">
        <f t="shared" si="29"/>
        <v/>
      </c>
      <c r="I880" s="21"/>
      <c r="J880" s="21"/>
      <c r="K880" s="21"/>
      <c r="L880" s="123"/>
      <c r="M880" s="21"/>
      <c r="N880" s="21"/>
      <c r="O880" s="21"/>
      <c r="P880" s="21"/>
      <c r="Q880" s="21"/>
      <c r="R880" s="21"/>
      <c r="S880" s="21"/>
      <c r="T880" s="41" t="str">
        <f>IFERROR(VLOOKUP(D880,BUSCARV!$A$1:$C$5524,2,0),"")</f>
        <v/>
      </c>
      <c r="U880" s="42"/>
      <c r="V880" s="42" t="str">
        <f t="shared" si="3"/>
        <v/>
      </c>
      <c r="W880" s="44" t="str">
        <f t="shared" si="36"/>
        <v/>
      </c>
      <c r="X880" s="44"/>
      <c r="Y880" s="44"/>
      <c r="Z880" s="131"/>
      <c r="AA880" s="131"/>
    </row>
    <row r="881">
      <c r="A881" s="21"/>
      <c r="B881" s="21"/>
      <c r="C881" s="21"/>
      <c r="D881" s="21"/>
      <c r="E881" s="21"/>
      <c r="F881" s="21"/>
      <c r="G881" s="21"/>
      <c r="H881" s="31" t="str">
        <f t="shared" si="29"/>
        <v/>
      </c>
      <c r="I881" s="21"/>
      <c r="J881" s="21"/>
      <c r="K881" s="21"/>
      <c r="L881" s="123"/>
      <c r="M881" s="21"/>
      <c r="N881" s="21"/>
      <c r="O881" s="21"/>
      <c r="P881" s="21"/>
      <c r="Q881" s="21"/>
      <c r="R881" s="21"/>
      <c r="S881" s="21"/>
      <c r="T881" s="41" t="str">
        <f>IFERROR(VLOOKUP(D881,BUSCARV!$A$1:$C$5524,2,0),"")</f>
        <v/>
      </c>
      <c r="U881" s="42"/>
      <c r="V881" s="42" t="str">
        <f t="shared" si="3"/>
        <v/>
      </c>
      <c r="W881" s="44" t="str">
        <f t="shared" si="36"/>
        <v/>
      </c>
      <c r="X881" s="44"/>
      <c r="Y881" s="44"/>
      <c r="Z881" s="131"/>
      <c r="AA881" s="131"/>
    </row>
    <row r="882">
      <c r="A882" s="21"/>
      <c r="B882" s="21"/>
      <c r="C882" s="21"/>
      <c r="D882" s="21"/>
      <c r="E882" s="21"/>
      <c r="F882" s="21"/>
      <c r="G882" s="21"/>
      <c r="H882" s="31" t="str">
        <f t="shared" si="29"/>
        <v/>
      </c>
      <c r="I882" s="21"/>
      <c r="J882" s="21"/>
      <c r="K882" s="21"/>
      <c r="L882" s="123"/>
      <c r="M882" s="21"/>
      <c r="N882" s="21"/>
      <c r="O882" s="21"/>
      <c r="P882" s="21"/>
      <c r="Q882" s="21"/>
      <c r="R882" s="21"/>
      <c r="S882" s="21"/>
      <c r="T882" s="41" t="str">
        <f>IFERROR(VLOOKUP(D882,BUSCARV!$A$1:$C$5524,2,0),"")</f>
        <v/>
      </c>
      <c r="U882" s="42"/>
      <c r="V882" s="42" t="str">
        <f t="shared" si="3"/>
        <v/>
      </c>
      <c r="W882" s="44" t="str">
        <f t="shared" si="36"/>
        <v/>
      </c>
      <c r="X882" s="44"/>
      <c r="Y882" s="44"/>
      <c r="Z882" s="131"/>
      <c r="AA882" s="131"/>
    </row>
    <row r="883">
      <c r="A883" s="21"/>
      <c r="B883" s="21"/>
      <c r="C883" s="21"/>
      <c r="D883" s="21"/>
      <c r="E883" s="21"/>
      <c r="F883" s="21"/>
      <c r="G883" s="21"/>
      <c r="H883" s="31" t="str">
        <f t="shared" si="29"/>
        <v/>
      </c>
      <c r="I883" s="21"/>
      <c r="J883" s="21"/>
      <c r="K883" s="21"/>
      <c r="L883" s="123"/>
      <c r="M883" s="21"/>
      <c r="N883" s="21"/>
      <c r="O883" s="21"/>
      <c r="P883" s="21"/>
      <c r="Q883" s="21"/>
      <c r="R883" s="21"/>
      <c r="S883" s="21"/>
      <c r="T883" s="41" t="str">
        <f>IFERROR(VLOOKUP(D883,BUSCARV!$A$1:$C$5524,2,0),"")</f>
        <v/>
      </c>
      <c r="U883" s="42"/>
      <c r="V883" s="42" t="str">
        <f t="shared" si="3"/>
        <v/>
      </c>
      <c r="W883" s="44" t="str">
        <f t="shared" si="36"/>
        <v/>
      </c>
      <c r="X883" s="44"/>
      <c r="Y883" s="44"/>
      <c r="Z883" s="131"/>
      <c r="AA883" s="131"/>
    </row>
    <row r="884">
      <c r="A884" s="21"/>
      <c r="B884" s="21"/>
      <c r="C884" s="21"/>
      <c r="D884" s="21"/>
      <c r="E884" s="21"/>
      <c r="F884" s="21"/>
      <c r="G884" s="21"/>
      <c r="H884" s="31" t="str">
        <f t="shared" si="29"/>
        <v/>
      </c>
      <c r="I884" s="21"/>
      <c r="J884" s="21"/>
      <c r="K884" s="21"/>
      <c r="L884" s="123"/>
      <c r="M884" s="21"/>
      <c r="N884" s="21"/>
      <c r="O884" s="21"/>
      <c r="P884" s="21"/>
      <c r="Q884" s="21"/>
      <c r="R884" s="21"/>
      <c r="S884" s="21"/>
      <c r="T884" s="41" t="str">
        <f>IFERROR(VLOOKUP(D884,BUSCARV!$A$1:$C$5524,2,0),"")</f>
        <v/>
      </c>
      <c r="U884" s="42"/>
      <c r="V884" s="42" t="str">
        <f t="shared" si="3"/>
        <v/>
      </c>
      <c r="W884" s="44" t="str">
        <f t="shared" si="36"/>
        <v/>
      </c>
      <c r="X884" s="44"/>
      <c r="Y884" s="44"/>
      <c r="Z884" s="131"/>
      <c r="AA884" s="131"/>
    </row>
    <row r="885">
      <c r="A885" s="21"/>
      <c r="B885" s="21"/>
      <c r="C885" s="21"/>
      <c r="D885" s="21"/>
      <c r="E885" s="21"/>
      <c r="F885" s="21"/>
      <c r="G885" s="21"/>
      <c r="H885" s="31" t="str">
        <f t="shared" si="29"/>
        <v/>
      </c>
      <c r="I885" s="21"/>
      <c r="J885" s="21"/>
      <c r="K885" s="21"/>
      <c r="L885" s="123"/>
      <c r="M885" s="21"/>
      <c r="N885" s="21"/>
      <c r="O885" s="21"/>
      <c r="P885" s="21"/>
      <c r="Q885" s="21"/>
      <c r="R885" s="21"/>
      <c r="S885" s="21"/>
      <c r="T885" s="41" t="str">
        <f>IFERROR(VLOOKUP(D885,BUSCARV!$A$1:$C$5524,2,0),"")</f>
        <v/>
      </c>
      <c r="U885" s="42"/>
      <c r="V885" s="42" t="str">
        <f t="shared" si="3"/>
        <v/>
      </c>
      <c r="W885" s="44" t="str">
        <f t="shared" si="36"/>
        <v/>
      </c>
      <c r="X885" s="44"/>
      <c r="Y885" s="44"/>
      <c r="Z885" s="131"/>
      <c r="AA885" s="131"/>
    </row>
    <row r="886">
      <c r="A886" s="21"/>
      <c r="B886" s="21"/>
      <c r="C886" s="21"/>
      <c r="D886" s="21"/>
      <c r="E886" s="21"/>
      <c r="F886" s="21"/>
      <c r="G886" s="21"/>
      <c r="H886" s="31" t="str">
        <f t="shared" si="29"/>
        <v/>
      </c>
      <c r="I886" s="21"/>
      <c r="J886" s="21"/>
      <c r="K886" s="21"/>
      <c r="L886" s="123"/>
      <c r="M886" s="21"/>
      <c r="N886" s="21"/>
      <c r="O886" s="21"/>
      <c r="P886" s="21"/>
      <c r="Q886" s="21"/>
      <c r="R886" s="21"/>
      <c r="S886" s="21"/>
      <c r="T886" s="41" t="str">
        <f>IFERROR(VLOOKUP(D886,BUSCARV!$A$1:$C$5524,2,0),"")</f>
        <v/>
      </c>
      <c r="U886" s="42"/>
      <c r="V886" s="42" t="str">
        <f t="shared" si="3"/>
        <v/>
      </c>
      <c r="W886" s="44" t="str">
        <f t="shared" si="36"/>
        <v/>
      </c>
      <c r="X886" s="44"/>
      <c r="Y886" s="44"/>
      <c r="Z886" s="131"/>
      <c r="AA886" s="131"/>
    </row>
    <row r="887">
      <c r="A887" s="21"/>
      <c r="B887" s="21"/>
      <c r="C887" s="21"/>
      <c r="D887" s="21"/>
      <c r="E887" s="21"/>
      <c r="F887" s="21"/>
      <c r="G887" s="21"/>
      <c r="H887" s="31" t="str">
        <f t="shared" si="29"/>
        <v/>
      </c>
      <c r="I887" s="21"/>
      <c r="J887" s="21"/>
      <c r="K887" s="21"/>
      <c r="L887" s="123"/>
      <c r="M887" s="21"/>
      <c r="N887" s="21"/>
      <c r="O887" s="21"/>
      <c r="P887" s="21"/>
      <c r="Q887" s="21"/>
      <c r="R887" s="21"/>
      <c r="S887" s="21"/>
      <c r="T887" s="41" t="str">
        <f>IFERROR(VLOOKUP(D887,BUSCARV!$A$1:$C$5524,2,0),"")</f>
        <v/>
      </c>
      <c r="U887" s="42"/>
      <c r="V887" s="42" t="str">
        <f t="shared" si="3"/>
        <v/>
      </c>
      <c r="W887" s="44" t="str">
        <f t="shared" si="36"/>
        <v/>
      </c>
      <c r="X887" s="44"/>
      <c r="Y887" s="44"/>
      <c r="Z887" s="131"/>
      <c r="AA887" s="131"/>
    </row>
    <row r="888">
      <c r="A888" s="21"/>
      <c r="B888" s="21"/>
      <c r="C888" s="21"/>
      <c r="D888" s="21"/>
      <c r="E888" s="21"/>
      <c r="F888" s="21"/>
      <c r="G888" s="21"/>
      <c r="H888" s="31" t="str">
        <f t="shared" si="29"/>
        <v/>
      </c>
      <c r="I888" s="21"/>
      <c r="J888" s="21"/>
      <c r="K888" s="21"/>
      <c r="L888" s="123"/>
      <c r="M888" s="21"/>
      <c r="N888" s="21"/>
      <c r="O888" s="21"/>
      <c r="P888" s="21"/>
      <c r="Q888" s="21"/>
      <c r="R888" s="21"/>
      <c r="S888" s="21"/>
      <c r="T888" s="41" t="str">
        <f>IFERROR(VLOOKUP(D888,BUSCARV!$A$1:$C$5524,2,0),"")</f>
        <v/>
      </c>
      <c r="U888" s="42"/>
      <c r="V888" s="42" t="str">
        <f t="shared" si="3"/>
        <v/>
      </c>
      <c r="W888" s="44" t="str">
        <f t="shared" si="36"/>
        <v/>
      </c>
      <c r="X888" s="44"/>
      <c r="Y888" s="44"/>
      <c r="Z888" s="131"/>
      <c r="AA888" s="131"/>
    </row>
    <row r="889">
      <c r="A889" s="21"/>
      <c r="B889" s="21"/>
      <c r="C889" s="21"/>
      <c r="D889" s="21"/>
      <c r="E889" s="21"/>
      <c r="F889" s="21"/>
      <c r="G889" s="21"/>
      <c r="H889" s="31" t="str">
        <f t="shared" si="29"/>
        <v/>
      </c>
      <c r="I889" s="21"/>
      <c r="J889" s="21"/>
      <c r="K889" s="21"/>
      <c r="L889" s="123"/>
      <c r="M889" s="21"/>
      <c r="N889" s="21"/>
      <c r="O889" s="21"/>
      <c r="P889" s="21"/>
      <c r="Q889" s="21"/>
      <c r="R889" s="21"/>
      <c r="S889" s="21"/>
      <c r="T889" s="41" t="str">
        <f>IFERROR(VLOOKUP(D889,BUSCARV!$A$1:$C$5524,2,0),"")</f>
        <v/>
      </c>
      <c r="U889" s="42"/>
      <c r="V889" s="42" t="str">
        <f t="shared" si="3"/>
        <v/>
      </c>
      <c r="W889" s="44" t="str">
        <f t="shared" si="36"/>
        <v/>
      </c>
      <c r="X889" s="44"/>
      <c r="Y889" s="44"/>
      <c r="Z889" s="131"/>
      <c r="AA889" s="131"/>
    </row>
    <row r="890">
      <c r="A890" s="21"/>
      <c r="B890" s="21"/>
      <c r="C890" s="21"/>
      <c r="D890" s="21"/>
      <c r="E890" s="21"/>
      <c r="F890" s="21"/>
      <c r="G890" s="21"/>
      <c r="H890" s="31" t="str">
        <f t="shared" si="29"/>
        <v/>
      </c>
      <c r="I890" s="21"/>
      <c r="J890" s="21"/>
      <c r="K890" s="21"/>
      <c r="L890" s="123"/>
      <c r="M890" s="21"/>
      <c r="N890" s="21"/>
      <c r="O890" s="21"/>
      <c r="P890" s="21"/>
      <c r="Q890" s="21"/>
      <c r="R890" s="21"/>
      <c r="S890" s="21"/>
      <c r="T890" s="41" t="str">
        <f>IFERROR(VLOOKUP(D890,BUSCARV!$A$1:$C$5524,2,0),"")</f>
        <v/>
      </c>
      <c r="U890" s="42"/>
      <c r="V890" s="42" t="str">
        <f t="shared" si="3"/>
        <v/>
      </c>
      <c r="W890" s="44" t="str">
        <f t="shared" si="36"/>
        <v/>
      </c>
      <c r="X890" s="44"/>
      <c r="Y890" s="44"/>
      <c r="Z890" s="131"/>
      <c r="AA890" s="131"/>
    </row>
    <row r="891">
      <c r="A891" s="21"/>
      <c r="B891" s="21"/>
      <c r="C891" s="21"/>
      <c r="D891" s="21"/>
      <c r="E891" s="21"/>
      <c r="F891" s="21"/>
      <c r="G891" s="21"/>
      <c r="H891" s="31" t="str">
        <f t="shared" si="29"/>
        <v/>
      </c>
      <c r="I891" s="21"/>
      <c r="J891" s="21"/>
      <c r="K891" s="21"/>
      <c r="L891" s="123"/>
      <c r="M891" s="21"/>
      <c r="N891" s="21"/>
      <c r="O891" s="21"/>
      <c r="P891" s="21"/>
      <c r="Q891" s="21"/>
      <c r="R891" s="21"/>
      <c r="S891" s="21"/>
      <c r="T891" s="41" t="str">
        <f>IFERROR(VLOOKUP(D891,BUSCARV!$A$1:$C$5524,2,0),"")</f>
        <v/>
      </c>
      <c r="U891" s="42"/>
      <c r="V891" s="42" t="str">
        <f t="shared" si="3"/>
        <v/>
      </c>
      <c r="W891" s="44" t="str">
        <f t="shared" si="36"/>
        <v/>
      </c>
      <c r="X891" s="44"/>
      <c r="Y891" s="44"/>
      <c r="Z891" s="131"/>
      <c r="AA891" s="131"/>
    </row>
    <row r="892">
      <c r="A892" s="21"/>
      <c r="B892" s="21"/>
      <c r="C892" s="21"/>
      <c r="D892" s="21"/>
      <c r="E892" s="21"/>
      <c r="F892" s="21"/>
      <c r="G892" s="21"/>
      <c r="H892" s="31" t="str">
        <f t="shared" si="29"/>
        <v/>
      </c>
      <c r="I892" s="21"/>
      <c r="J892" s="21"/>
      <c r="K892" s="21"/>
      <c r="L892" s="123"/>
      <c r="M892" s="21"/>
      <c r="N892" s="21"/>
      <c r="O892" s="21"/>
      <c r="P892" s="21"/>
      <c r="Q892" s="21"/>
      <c r="R892" s="21"/>
      <c r="S892" s="21"/>
      <c r="T892" s="41" t="str">
        <f>IFERROR(VLOOKUP(D892,BUSCARV!$A$1:$C$5524,2,0),"")</f>
        <v/>
      </c>
      <c r="U892" s="42"/>
      <c r="V892" s="42" t="str">
        <f t="shared" si="3"/>
        <v/>
      </c>
      <c r="W892" s="44" t="str">
        <f t="shared" si="36"/>
        <v/>
      </c>
      <c r="X892" s="44"/>
      <c r="Y892" s="44"/>
      <c r="Z892" s="131"/>
      <c r="AA892" s="131"/>
    </row>
    <row r="893">
      <c r="A893" s="21"/>
      <c r="B893" s="21"/>
      <c r="C893" s="21"/>
      <c r="D893" s="21"/>
      <c r="E893" s="21"/>
      <c r="F893" s="21"/>
      <c r="G893" s="21"/>
      <c r="H893" s="31" t="str">
        <f t="shared" si="29"/>
        <v/>
      </c>
      <c r="I893" s="21"/>
      <c r="J893" s="21"/>
      <c r="K893" s="21"/>
      <c r="L893" s="123"/>
      <c r="M893" s="21"/>
      <c r="N893" s="21"/>
      <c r="O893" s="21"/>
      <c r="P893" s="21"/>
      <c r="Q893" s="21"/>
      <c r="R893" s="21"/>
      <c r="S893" s="21"/>
      <c r="T893" s="41" t="str">
        <f>IFERROR(VLOOKUP(D893,BUSCARV!$A$1:$C$5524,2,0),"")</f>
        <v/>
      </c>
      <c r="U893" s="42"/>
      <c r="V893" s="42" t="str">
        <f t="shared" si="3"/>
        <v/>
      </c>
      <c r="W893" s="44" t="str">
        <f t="shared" si="36"/>
        <v/>
      </c>
      <c r="X893" s="44"/>
      <c r="Y893" s="44"/>
      <c r="Z893" s="131"/>
      <c r="AA893" s="131"/>
    </row>
    <row r="894">
      <c r="A894" s="21"/>
      <c r="B894" s="21"/>
      <c r="C894" s="21"/>
      <c r="D894" s="21"/>
      <c r="E894" s="21"/>
      <c r="F894" s="21"/>
      <c r="G894" s="21"/>
      <c r="H894" s="31" t="str">
        <f t="shared" si="29"/>
        <v/>
      </c>
      <c r="I894" s="21"/>
      <c r="J894" s="21"/>
      <c r="K894" s="21"/>
      <c r="L894" s="123"/>
      <c r="M894" s="21"/>
      <c r="N894" s="21"/>
      <c r="O894" s="21"/>
      <c r="P894" s="21"/>
      <c r="Q894" s="21"/>
      <c r="R894" s="21"/>
      <c r="S894" s="21"/>
      <c r="T894" s="41" t="str">
        <f>IFERROR(VLOOKUP(D894,BUSCARV!$A$1:$C$5524,2,0),"")</f>
        <v/>
      </c>
      <c r="U894" s="42"/>
      <c r="V894" s="42" t="str">
        <f t="shared" si="3"/>
        <v/>
      </c>
      <c r="W894" s="44" t="str">
        <f t="shared" si="36"/>
        <v/>
      </c>
      <c r="X894" s="44"/>
      <c r="Y894" s="44"/>
      <c r="Z894" s="131"/>
      <c r="AA894" s="131"/>
    </row>
    <row r="895">
      <c r="A895" s="21"/>
      <c r="B895" s="21"/>
      <c r="C895" s="21"/>
      <c r="D895" s="21"/>
      <c r="E895" s="21"/>
      <c r="F895" s="21"/>
      <c r="G895" s="21"/>
      <c r="H895" s="31" t="str">
        <f t="shared" si="29"/>
        <v/>
      </c>
      <c r="I895" s="21"/>
      <c r="J895" s="21"/>
      <c r="K895" s="21"/>
      <c r="L895" s="123"/>
      <c r="M895" s="21"/>
      <c r="N895" s="21"/>
      <c r="O895" s="21"/>
      <c r="P895" s="21"/>
      <c r="Q895" s="21"/>
      <c r="R895" s="21"/>
      <c r="S895" s="21"/>
      <c r="T895" s="41" t="str">
        <f>IFERROR(VLOOKUP(D895,BUSCARV!$A$1:$C$5524,2,0),"")</f>
        <v/>
      </c>
      <c r="U895" s="42"/>
      <c r="V895" s="42" t="str">
        <f t="shared" si="3"/>
        <v/>
      </c>
      <c r="W895" s="44" t="str">
        <f t="shared" si="36"/>
        <v/>
      </c>
      <c r="X895" s="44"/>
      <c r="Y895" s="44"/>
      <c r="Z895" s="131"/>
      <c r="AA895" s="131"/>
    </row>
    <row r="896">
      <c r="A896" s="21"/>
      <c r="B896" s="21"/>
      <c r="C896" s="21"/>
      <c r="D896" s="21"/>
      <c r="E896" s="21"/>
      <c r="F896" s="21"/>
      <c r="G896" s="21"/>
      <c r="H896" s="31" t="str">
        <f t="shared" si="29"/>
        <v/>
      </c>
      <c r="I896" s="21"/>
      <c r="J896" s="21"/>
      <c r="K896" s="21"/>
      <c r="L896" s="123"/>
      <c r="M896" s="21"/>
      <c r="N896" s="21"/>
      <c r="O896" s="21"/>
      <c r="P896" s="21"/>
      <c r="Q896" s="21"/>
      <c r="R896" s="21"/>
      <c r="S896" s="21"/>
      <c r="T896" s="41" t="str">
        <f>IFERROR(VLOOKUP(D896,BUSCARV!$A$1:$C$5524,2,0),"")</f>
        <v/>
      </c>
      <c r="U896" s="42"/>
      <c r="V896" s="42" t="str">
        <f t="shared" si="3"/>
        <v/>
      </c>
      <c r="W896" s="44" t="str">
        <f t="shared" si="36"/>
        <v/>
      </c>
      <c r="X896" s="44"/>
      <c r="Y896" s="44"/>
      <c r="Z896" s="131"/>
      <c r="AA896" s="131"/>
    </row>
    <row r="897">
      <c r="A897" s="21"/>
      <c r="B897" s="21"/>
      <c r="C897" s="21"/>
      <c r="D897" s="21"/>
      <c r="E897" s="21"/>
      <c r="F897" s="21"/>
      <c r="G897" s="21"/>
      <c r="H897" s="31" t="str">
        <f t="shared" si="29"/>
        <v/>
      </c>
      <c r="I897" s="21"/>
      <c r="J897" s="21"/>
      <c r="K897" s="21"/>
      <c r="L897" s="123"/>
      <c r="M897" s="21"/>
      <c r="N897" s="21"/>
      <c r="O897" s="21"/>
      <c r="P897" s="21"/>
      <c r="Q897" s="21"/>
      <c r="R897" s="21"/>
      <c r="S897" s="21"/>
      <c r="T897" s="41" t="str">
        <f>IFERROR(VLOOKUP(D897,BUSCARV!$A$1:$C$5524,2,0),"")</f>
        <v/>
      </c>
      <c r="U897" s="42"/>
      <c r="V897" s="42" t="str">
        <f t="shared" si="3"/>
        <v/>
      </c>
      <c r="W897" s="44" t="str">
        <f t="shared" si="36"/>
        <v/>
      </c>
      <c r="X897" s="44"/>
      <c r="Y897" s="44"/>
      <c r="Z897" s="131"/>
      <c r="AA897" s="131"/>
    </row>
    <row r="898">
      <c r="A898" s="21"/>
      <c r="B898" s="21"/>
      <c r="C898" s="21"/>
      <c r="D898" s="21"/>
      <c r="E898" s="21"/>
      <c r="F898" s="21"/>
      <c r="G898" s="21"/>
      <c r="H898" s="31" t="str">
        <f t="shared" si="29"/>
        <v/>
      </c>
      <c r="I898" s="21"/>
      <c r="J898" s="21"/>
      <c r="K898" s="21"/>
      <c r="L898" s="123"/>
      <c r="M898" s="21"/>
      <c r="N898" s="21"/>
      <c r="O898" s="21"/>
      <c r="P898" s="21"/>
      <c r="Q898" s="21"/>
      <c r="R898" s="21"/>
      <c r="S898" s="21"/>
      <c r="T898" s="41" t="str">
        <f>IFERROR(VLOOKUP(D898,BUSCARV!$A$1:$C$5524,2,0),"")</f>
        <v/>
      </c>
      <c r="U898" s="42"/>
      <c r="V898" s="42" t="str">
        <f t="shared" si="3"/>
        <v/>
      </c>
      <c r="W898" s="44" t="str">
        <f t="shared" si="36"/>
        <v/>
      </c>
      <c r="X898" s="44"/>
      <c r="Y898" s="44"/>
      <c r="Z898" s="131"/>
      <c r="AA898" s="131"/>
    </row>
    <row r="899">
      <c r="A899" s="21"/>
      <c r="B899" s="21"/>
      <c r="C899" s="21"/>
      <c r="D899" s="21"/>
      <c r="E899" s="21"/>
      <c r="F899" s="21"/>
      <c r="G899" s="21"/>
      <c r="H899" s="31" t="str">
        <f t="shared" si="29"/>
        <v/>
      </c>
      <c r="I899" s="21"/>
      <c r="J899" s="21"/>
      <c r="K899" s="21"/>
      <c r="L899" s="123"/>
      <c r="M899" s="21"/>
      <c r="N899" s="21"/>
      <c r="O899" s="21"/>
      <c r="P899" s="21"/>
      <c r="Q899" s="21"/>
      <c r="R899" s="21"/>
      <c r="S899" s="21"/>
      <c r="T899" s="41" t="str">
        <f>IFERROR(VLOOKUP(D899,BUSCARV!$A$1:$C$5524,2,0),"")</f>
        <v/>
      </c>
      <c r="U899" s="42"/>
      <c r="V899" s="42" t="str">
        <f t="shared" si="3"/>
        <v/>
      </c>
      <c r="W899" s="44" t="str">
        <f t="shared" si="36"/>
        <v/>
      </c>
      <c r="X899" s="44"/>
      <c r="Y899" s="44"/>
      <c r="Z899" s="131"/>
      <c r="AA899" s="131"/>
    </row>
    <row r="900">
      <c r="A900" s="21"/>
      <c r="B900" s="21"/>
      <c r="C900" s="21"/>
      <c r="D900" s="21"/>
      <c r="E900" s="21"/>
      <c r="F900" s="21"/>
      <c r="G900" s="21"/>
      <c r="H900" s="31" t="str">
        <f t="shared" si="29"/>
        <v/>
      </c>
      <c r="I900" s="21"/>
      <c r="J900" s="21"/>
      <c r="K900" s="21"/>
      <c r="L900" s="123"/>
      <c r="M900" s="21"/>
      <c r="N900" s="21"/>
      <c r="O900" s="21"/>
      <c r="P900" s="21"/>
      <c r="Q900" s="21"/>
      <c r="R900" s="21"/>
      <c r="S900" s="21"/>
      <c r="T900" s="41" t="str">
        <f>IFERROR(VLOOKUP(D900,BUSCARV!$A$1:$C$5524,2,0),"")</f>
        <v/>
      </c>
      <c r="U900" s="42"/>
      <c r="V900" s="42" t="str">
        <f t="shared" si="3"/>
        <v/>
      </c>
      <c r="W900" s="44" t="str">
        <f t="shared" si="36"/>
        <v/>
      </c>
      <c r="X900" s="44"/>
      <c r="Y900" s="44"/>
      <c r="Z900" s="131"/>
      <c r="AA900" s="131"/>
    </row>
    <row r="901">
      <c r="A901" s="21"/>
      <c r="B901" s="21"/>
      <c r="C901" s="21"/>
      <c r="D901" s="21"/>
      <c r="E901" s="21"/>
      <c r="F901" s="21"/>
      <c r="G901" s="21"/>
      <c r="H901" s="31" t="str">
        <f t="shared" si="29"/>
        <v/>
      </c>
      <c r="I901" s="21"/>
      <c r="J901" s="21"/>
      <c r="K901" s="21"/>
      <c r="L901" s="123"/>
      <c r="M901" s="21"/>
      <c r="N901" s="21"/>
      <c r="O901" s="21"/>
      <c r="P901" s="21"/>
      <c r="Q901" s="21"/>
      <c r="R901" s="21"/>
      <c r="S901" s="21"/>
      <c r="T901" s="41" t="str">
        <f>IFERROR(VLOOKUP(D901,BUSCARV!$A$1:$C$5524,2,0),"")</f>
        <v/>
      </c>
      <c r="U901" s="42"/>
      <c r="V901" s="42" t="str">
        <f t="shared" si="3"/>
        <v/>
      </c>
      <c r="W901" s="44" t="str">
        <f t="shared" si="36"/>
        <v/>
      </c>
      <c r="X901" s="44"/>
      <c r="Y901" s="44"/>
      <c r="Z901" s="131"/>
      <c r="AA901" s="131"/>
    </row>
    <row r="902">
      <c r="A902" s="21"/>
      <c r="B902" s="21"/>
      <c r="C902" s="21"/>
      <c r="D902" s="21"/>
      <c r="E902" s="21"/>
      <c r="F902" s="21"/>
      <c r="G902" s="21"/>
      <c r="H902" s="31" t="str">
        <f t="shared" si="29"/>
        <v/>
      </c>
      <c r="I902" s="21"/>
      <c r="J902" s="21"/>
      <c r="K902" s="21"/>
      <c r="L902" s="123"/>
      <c r="M902" s="21"/>
      <c r="N902" s="21"/>
      <c r="O902" s="21"/>
      <c r="P902" s="21"/>
      <c r="Q902" s="21"/>
      <c r="R902" s="21"/>
      <c r="S902" s="21"/>
      <c r="T902" s="41" t="str">
        <f>IFERROR(VLOOKUP(D902,BUSCARV!$A$1:$C$5524,2,0),"")</f>
        <v/>
      </c>
      <c r="U902" s="42"/>
      <c r="V902" s="42" t="str">
        <f t="shared" si="3"/>
        <v/>
      </c>
      <c r="W902" s="44" t="str">
        <f t="shared" si="36"/>
        <v/>
      </c>
      <c r="X902" s="44"/>
      <c r="Y902" s="44"/>
      <c r="Z902" s="131"/>
      <c r="AA902" s="131"/>
    </row>
    <row r="903">
      <c r="A903" s="21"/>
      <c r="B903" s="21"/>
      <c r="C903" s="21"/>
      <c r="D903" s="21"/>
      <c r="E903" s="21"/>
      <c r="F903" s="21"/>
      <c r="G903" s="21"/>
      <c r="H903" s="31" t="str">
        <f t="shared" si="29"/>
        <v/>
      </c>
      <c r="I903" s="21"/>
      <c r="J903" s="21"/>
      <c r="K903" s="21"/>
      <c r="L903" s="123"/>
      <c r="M903" s="21"/>
      <c r="N903" s="21"/>
      <c r="O903" s="21"/>
      <c r="P903" s="21"/>
      <c r="Q903" s="21"/>
      <c r="R903" s="21"/>
      <c r="S903" s="21"/>
      <c r="T903" s="41" t="str">
        <f>IFERROR(VLOOKUP(D903,BUSCARV!$A$1:$C$5524,2,0),"")</f>
        <v/>
      </c>
      <c r="U903" s="42"/>
      <c r="V903" s="42" t="str">
        <f t="shared" si="3"/>
        <v/>
      </c>
      <c r="W903" s="44" t="str">
        <f t="shared" si="36"/>
        <v/>
      </c>
      <c r="X903" s="44"/>
      <c r="Y903" s="44"/>
      <c r="Z903" s="131"/>
      <c r="AA903" s="131"/>
    </row>
    <row r="904">
      <c r="A904" s="21"/>
      <c r="B904" s="21"/>
      <c r="C904" s="21"/>
      <c r="D904" s="21"/>
      <c r="E904" s="21"/>
      <c r="F904" s="21"/>
      <c r="G904" s="21"/>
      <c r="H904" s="31" t="str">
        <f t="shared" si="29"/>
        <v/>
      </c>
      <c r="I904" s="21"/>
      <c r="J904" s="21"/>
      <c r="K904" s="21"/>
      <c r="L904" s="123"/>
      <c r="M904" s="21"/>
      <c r="N904" s="21"/>
      <c r="O904" s="21"/>
      <c r="P904" s="21"/>
      <c r="Q904" s="21"/>
      <c r="R904" s="21"/>
      <c r="S904" s="21"/>
      <c r="T904" s="41" t="str">
        <f>IFERROR(VLOOKUP(D904,BUSCARV!$A$1:$C$5524,2,0),"")</f>
        <v/>
      </c>
      <c r="U904" s="42"/>
      <c r="V904" s="42" t="str">
        <f t="shared" si="3"/>
        <v/>
      </c>
      <c r="W904" s="44" t="str">
        <f t="shared" si="36"/>
        <v/>
      </c>
      <c r="X904" s="44"/>
      <c r="Y904" s="44"/>
      <c r="Z904" s="131"/>
      <c r="AA904" s="131"/>
    </row>
    <row r="905">
      <c r="A905" s="21"/>
      <c r="B905" s="21"/>
      <c r="C905" s="21"/>
      <c r="D905" s="21"/>
      <c r="E905" s="21"/>
      <c r="F905" s="21"/>
      <c r="G905" s="21"/>
      <c r="H905" s="31" t="str">
        <f t="shared" si="29"/>
        <v/>
      </c>
      <c r="I905" s="21"/>
      <c r="J905" s="21"/>
      <c r="K905" s="21"/>
      <c r="L905" s="123"/>
      <c r="M905" s="21"/>
      <c r="N905" s="21"/>
      <c r="O905" s="21"/>
      <c r="P905" s="21"/>
      <c r="Q905" s="21"/>
      <c r="R905" s="21"/>
      <c r="S905" s="21"/>
      <c r="T905" s="41" t="str">
        <f>IFERROR(VLOOKUP(D905,BUSCARV!$A$1:$C$5524,2,0),"")</f>
        <v/>
      </c>
      <c r="U905" s="42"/>
      <c r="V905" s="42" t="str">
        <f t="shared" si="3"/>
        <v/>
      </c>
      <c r="W905" s="44" t="str">
        <f t="shared" si="36"/>
        <v/>
      </c>
      <c r="X905" s="44"/>
      <c r="Y905" s="44"/>
      <c r="Z905" s="131"/>
      <c r="AA905" s="131"/>
    </row>
    <row r="906">
      <c r="A906" s="21"/>
      <c r="B906" s="21"/>
      <c r="C906" s="21"/>
      <c r="D906" s="21"/>
      <c r="E906" s="21"/>
      <c r="F906" s="21"/>
      <c r="G906" s="21"/>
      <c r="H906" s="31" t="str">
        <f t="shared" si="29"/>
        <v/>
      </c>
      <c r="I906" s="21"/>
      <c r="J906" s="21"/>
      <c r="K906" s="21"/>
      <c r="L906" s="123"/>
      <c r="M906" s="21"/>
      <c r="N906" s="21"/>
      <c r="O906" s="21"/>
      <c r="P906" s="21"/>
      <c r="Q906" s="21"/>
      <c r="R906" s="21"/>
      <c r="S906" s="21"/>
      <c r="T906" s="41" t="str">
        <f>IFERROR(VLOOKUP(D906,BUSCARV!$A$1:$C$5524,2,0),"")</f>
        <v/>
      </c>
      <c r="U906" s="42"/>
      <c r="V906" s="42" t="str">
        <f t="shared" si="3"/>
        <v/>
      </c>
      <c r="W906" s="44" t="str">
        <f t="shared" si="36"/>
        <v/>
      </c>
      <c r="X906" s="44"/>
      <c r="Y906" s="44"/>
      <c r="Z906" s="131"/>
      <c r="AA906" s="131"/>
    </row>
    <row r="907">
      <c r="A907" s="21"/>
      <c r="B907" s="21"/>
      <c r="C907" s="21"/>
      <c r="D907" s="21"/>
      <c r="E907" s="21"/>
      <c r="F907" s="21"/>
      <c r="G907" s="21"/>
      <c r="H907" s="31" t="str">
        <f t="shared" si="29"/>
        <v/>
      </c>
      <c r="I907" s="21"/>
      <c r="J907" s="21"/>
      <c r="K907" s="21"/>
      <c r="L907" s="123"/>
      <c r="M907" s="21"/>
      <c r="N907" s="21"/>
      <c r="O907" s="21"/>
      <c r="P907" s="21"/>
      <c r="Q907" s="21"/>
      <c r="R907" s="21"/>
      <c r="S907" s="21"/>
      <c r="T907" s="41" t="str">
        <f>IFERROR(VLOOKUP(D907,BUSCARV!$A$1:$C$5524,2,0),"")</f>
        <v/>
      </c>
      <c r="U907" s="42"/>
      <c r="V907" s="42" t="str">
        <f t="shared" si="3"/>
        <v/>
      </c>
      <c r="W907" s="44" t="str">
        <f t="shared" si="36"/>
        <v/>
      </c>
      <c r="X907" s="44"/>
      <c r="Y907" s="44"/>
      <c r="Z907" s="131"/>
      <c r="AA907" s="131"/>
    </row>
    <row r="908">
      <c r="A908" s="21"/>
      <c r="B908" s="21"/>
      <c r="C908" s="21"/>
      <c r="D908" s="21"/>
      <c r="E908" s="21"/>
      <c r="F908" s="21"/>
      <c r="G908" s="21"/>
      <c r="H908" s="31" t="str">
        <f t="shared" si="29"/>
        <v/>
      </c>
      <c r="I908" s="21"/>
      <c r="J908" s="21"/>
      <c r="K908" s="21"/>
      <c r="L908" s="123"/>
      <c r="M908" s="21"/>
      <c r="N908" s="21"/>
      <c r="O908" s="21"/>
      <c r="P908" s="21"/>
      <c r="Q908" s="21"/>
      <c r="R908" s="21"/>
      <c r="S908" s="21"/>
      <c r="T908" s="41" t="str">
        <f>IFERROR(VLOOKUP(D908,BUSCARV!$A$1:$C$5524,2,0),"")</f>
        <v/>
      </c>
      <c r="U908" s="42"/>
      <c r="V908" s="42" t="str">
        <f t="shared" si="3"/>
        <v/>
      </c>
      <c r="W908" s="44" t="str">
        <f t="shared" si="36"/>
        <v/>
      </c>
      <c r="X908" s="44"/>
      <c r="Y908" s="44"/>
      <c r="Z908" s="131"/>
      <c r="AA908" s="131"/>
    </row>
    <row r="909">
      <c r="A909" s="21"/>
      <c r="B909" s="21"/>
      <c r="C909" s="21"/>
      <c r="D909" s="21"/>
      <c r="E909" s="21"/>
      <c r="F909" s="21"/>
      <c r="G909" s="21"/>
      <c r="H909" s="31" t="str">
        <f t="shared" si="29"/>
        <v/>
      </c>
      <c r="I909" s="21"/>
      <c r="J909" s="21"/>
      <c r="K909" s="21"/>
      <c r="L909" s="123"/>
      <c r="M909" s="21"/>
      <c r="N909" s="21"/>
      <c r="O909" s="21"/>
      <c r="P909" s="21"/>
      <c r="Q909" s="21"/>
      <c r="R909" s="21"/>
      <c r="S909" s="21"/>
      <c r="T909" s="41" t="str">
        <f>IFERROR(VLOOKUP(D909,BUSCARV!$A$1:$C$5524,2,0),"")</f>
        <v/>
      </c>
      <c r="U909" s="42"/>
      <c r="V909" s="42" t="str">
        <f t="shared" si="3"/>
        <v/>
      </c>
      <c r="W909" s="44" t="str">
        <f t="shared" si="36"/>
        <v/>
      </c>
      <c r="X909" s="44"/>
      <c r="Y909" s="44"/>
      <c r="Z909" s="131"/>
      <c r="AA909" s="131"/>
    </row>
    <row r="910">
      <c r="A910" s="21"/>
      <c r="B910" s="21"/>
      <c r="C910" s="21"/>
      <c r="D910" s="21"/>
      <c r="E910" s="21"/>
      <c r="F910" s="21"/>
      <c r="G910" s="21"/>
      <c r="H910" s="31" t="str">
        <f t="shared" si="29"/>
        <v/>
      </c>
      <c r="I910" s="21"/>
      <c r="J910" s="21"/>
      <c r="K910" s="21"/>
      <c r="L910" s="123"/>
      <c r="M910" s="21"/>
      <c r="N910" s="21"/>
      <c r="O910" s="21"/>
      <c r="P910" s="21"/>
      <c r="Q910" s="21"/>
      <c r="R910" s="21"/>
      <c r="S910" s="21"/>
      <c r="T910" s="41" t="str">
        <f>IFERROR(VLOOKUP(D910,BUSCARV!$A$1:$C$5524,2,0),"")</f>
        <v/>
      </c>
      <c r="U910" s="42"/>
      <c r="V910" s="42" t="str">
        <f t="shared" si="3"/>
        <v/>
      </c>
      <c r="W910" s="44" t="str">
        <f t="shared" si="36"/>
        <v/>
      </c>
      <c r="X910" s="44"/>
      <c r="Y910" s="44"/>
      <c r="Z910" s="131"/>
      <c r="AA910" s="131"/>
    </row>
    <row r="911">
      <c r="A911" s="21"/>
      <c r="B911" s="21"/>
      <c r="C911" s="21"/>
      <c r="D911" s="21"/>
      <c r="E911" s="21"/>
      <c r="F911" s="21"/>
      <c r="G911" s="21"/>
      <c r="H911" s="31" t="str">
        <f t="shared" si="29"/>
        <v/>
      </c>
      <c r="I911" s="21"/>
      <c r="J911" s="21"/>
      <c r="K911" s="21"/>
      <c r="L911" s="123"/>
      <c r="M911" s="21"/>
      <c r="N911" s="21"/>
      <c r="O911" s="21"/>
      <c r="P911" s="21"/>
      <c r="Q911" s="21"/>
      <c r="R911" s="21"/>
      <c r="S911" s="21"/>
      <c r="T911" s="41" t="str">
        <f>IFERROR(VLOOKUP(D911,BUSCARV!$A$1:$C$5524,2,0),"")</f>
        <v/>
      </c>
      <c r="U911" s="42"/>
      <c r="V911" s="42" t="str">
        <f t="shared" si="3"/>
        <v/>
      </c>
      <c r="W911" s="44" t="str">
        <f t="shared" si="36"/>
        <v/>
      </c>
      <c r="X911" s="44"/>
      <c r="Y911" s="44"/>
      <c r="Z911" s="131"/>
      <c r="AA911" s="131"/>
    </row>
    <row r="912">
      <c r="A912" s="21"/>
      <c r="B912" s="21"/>
      <c r="C912" s="21"/>
      <c r="D912" s="21"/>
      <c r="E912" s="21"/>
      <c r="F912" s="21"/>
      <c r="G912" s="21"/>
      <c r="H912" s="31" t="str">
        <f t="shared" si="29"/>
        <v/>
      </c>
      <c r="I912" s="21"/>
      <c r="J912" s="21"/>
      <c r="K912" s="21"/>
      <c r="L912" s="123"/>
      <c r="M912" s="21"/>
      <c r="N912" s="21"/>
      <c r="O912" s="21"/>
      <c r="P912" s="21"/>
      <c r="Q912" s="21"/>
      <c r="R912" s="21"/>
      <c r="S912" s="21"/>
      <c r="T912" s="41" t="str">
        <f>IFERROR(VLOOKUP(D912,BUSCARV!$A$1:$C$5524,2,0),"")</f>
        <v/>
      </c>
      <c r="U912" s="42"/>
      <c r="V912" s="42" t="str">
        <f t="shared" si="3"/>
        <v/>
      </c>
      <c r="W912" s="44" t="str">
        <f t="shared" si="36"/>
        <v/>
      </c>
      <c r="X912" s="44"/>
      <c r="Y912" s="44"/>
      <c r="Z912" s="131"/>
      <c r="AA912" s="131"/>
    </row>
    <row r="913">
      <c r="A913" s="21"/>
      <c r="B913" s="21"/>
      <c r="C913" s="21"/>
      <c r="D913" s="21"/>
      <c r="E913" s="21"/>
      <c r="F913" s="21"/>
      <c r="G913" s="21"/>
      <c r="H913" s="31" t="str">
        <f t="shared" si="29"/>
        <v/>
      </c>
      <c r="I913" s="21"/>
      <c r="J913" s="21"/>
      <c r="K913" s="21"/>
      <c r="L913" s="123"/>
      <c r="M913" s="21"/>
      <c r="N913" s="21"/>
      <c r="O913" s="21"/>
      <c r="P913" s="21"/>
      <c r="Q913" s="21"/>
      <c r="R913" s="21"/>
      <c r="S913" s="21"/>
      <c r="T913" s="41" t="str">
        <f>IFERROR(VLOOKUP(D913,BUSCARV!$A$1:$C$5524,2,0),"")</f>
        <v/>
      </c>
      <c r="U913" s="42"/>
      <c r="V913" s="42" t="str">
        <f t="shared" si="3"/>
        <v/>
      </c>
      <c r="W913" s="44" t="str">
        <f t="shared" si="36"/>
        <v/>
      </c>
      <c r="X913" s="44"/>
      <c r="Y913" s="44"/>
      <c r="Z913" s="131"/>
      <c r="AA913" s="131"/>
    </row>
    <row r="914">
      <c r="A914" s="21"/>
      <c r="B914" s="21"/>
      <c r="C914" s="21"/>
      <c r="D914" s="21"/>
      <c r="E914" s="21"/>
      <c r="F914" s="21"/>
      <c r="G914" s="21"/>
      <c r="H914" s="31" t="str">
        <f t="shared" si="29"/>
        <v/>
      </c>
      <c r="I914" s="21"/>
      <c r="J914" s="21"/>
      <c r="K914" s="21"/>
      <c r="L914" s="123"/>
      <c r="M914" s="21"/>
      <c r="N914" s="21"/>
      <c r="O914" s="21"/>
      <c r="P914" s="21"/>
      <c r="Q914" s="21"/>
      <c r="R914" s="21"/>
      <c r="S914" s="21"/>
      <c r="T914" s="41" t="str">
        <f>IFERROR(VLOOKUP(D914,BUSCARV!$A$1:$C$5524,2,0),"")</f>
        <v/>
      </c>
      <c r="U914" s="42"/>
      <c r="V914" s="42" t="str">
        <f t="shared" si="3"/>
        <v/>
      </c>
      <c r="W914" s="44" t="str">
        <f t="shared" si="36"/>
        <v/>
      </c>
      <c r="X914" s="44"/>
      <c r="Y914" s="44"/>
      <c r="Z914" s="131"/>
      <c r="AA914" s="131"/>
    </row>
    <row r="915">
      <c r="A915" s="21"/>
      <c r="B915" s="21"/>
      <c r="C915" s="21"/>
      <c r="D915" s="21"/>
      <c r="E915" s="21"/>
      <c r="F915" s="21"/>
      <c r="G915" s="21"/>
      <c r="H915" s="31" t="str">
        <f t="shared" si="29"/>
        <v/>
      </c>
      <c r="I915" s="21"/>
      <c r="J915" s="21"/>
      <c r="K915" s="21"/>
      <c r="L915" s="123"/>
      <c r="M915" s="21"/>
      <c r="N915" s="21"/>
      <c r="O915" s="21"/>
      <c r="P915" s="21"/>
      <c r="Q915" s="21"/>
      <c r="R915" s="21"/>
      <c r="S915" s="21"/>
      <c r="T915" s="41" t="str">
        <f>IFERROR(VLOOKUP(D915,BUSCARV!$A$1:$C$5524,2,0),"")</f>
        <v/>
      </c>
      <c r="U915" s="42"/>
      <c r="V915" s="42" t="str">
        <f t="shared" si="3"/>
        <v/>
      </c>
      <c r="W915" s="44" t="str">
        <f t="shared" si="36"/>
        <v/>
      </c>
      <c r="X915" s="44"/>
      <c r="Y915" s="44"/>
      <c r="Z915" s="131"/>
      <c r="AA915" s="131"/>
    </row>
    <row r="916">
      <c r="A916" s="21"/>
      <c r="B916" s="21"/>
      <c r="C916" s="21"/>
      <c r="D916" s="21"/>
      <c r="E916" s="21"/>
      <c r="F916" s="21"/>
      <c r="G916" s="21"/>
      <c r="H916" s="31" t="str">
        <f t="shared" si="29"/>
        <v/>
      </c>
      <c r="I916" s="21"/>
      <c r="J916" s="21"/>
      <c r="K916" s="21"/>
      <c r="L916" s="123"/>
      <c r="M916" s="21"/>
      <c r="N916" s="21"/>
      <c r="O916" s="21"/>
      <c r="P916" s="21"/>
      <c r="Q916" s="21"/>
      <c r="R916" s="21"/>
      <c r="S916" s="21"/>
      <c r="T916" s="41" t="str">
        <f>IFERROR(VLOOKUP(D916,BUSCARV!$A$1:$C$5524,2,0),"")</f>
        <v/>
      </c>
      <c r="U916" s="42"/>
      <c r="V916" s="42" t="str">
        <f t="shared" si="3"/>
        <v/>
      </c>
      <c r="W916" s="44" t="str">
        <f t="shared" si="36"/>
        <v/>
      </c>
      <c r="X916" s="44"/>
      <c r="Y916" s="44"/>
      <c r="Z916" s="131"/>
      <c r="AA916" s="131"/>
    </row>
    <row r="917">
      <c r="A917" s="21"/>
      <c r="B917" s="21"/>
      <c r="C917" s="21"/>
      <c r="D917" s="21"/>
      <c r="E917" s="21"/>
      <c r="F917" s="21"/>
      <c r="G917" s="21"/>
      <c r="H917" s="31" t="str">
        <f t="shared" si="29"/>
        <v/>
      </c>
      <c r="I917" s="21"/>
      <c r="J917" s="21"/>
      <c r="K917" s="21"/>
      <c r="L917" s="123"/>
      <c r="M917" s="21"/>
      <c r="N917" s="21"/>
      <c r="O917" s="21"/>
      <c r="P917" s="21"/>
      <c r="Q917" s="21"/>
      <c r="R917" s="21"/>
      <c r="S917" s="21"/>
      <c r="T917" s="41" t="str">
        <f>IFERROR(VLOOKUP(D917,BUSCARV!$A$1:$C$5524,2,0),"")</f>
        <v/>
      </c>
      <c r="U917" s="42"/>
      <c r="V917" s="42" t="str">
        <f t="shared" si="3"/>
        <v/>
      </c>
      <c r="W917" s="44" t="str">
        <f t="shared" si="36"/>
        <v/>
      </c>
      <c r="X917" s="44"/>
      <c r="Y917" s="44"/>
      <c r="Z917" s="131"/>
      <c r="AA917" s="131"/>
    </row>
    <row r="918">
      <c r="A918" s="21"/>
      <c r="B918" s="21"/>
      <c r="C918" s="21"/>
      <c r="D918" s="21"/>
      <c r="E918" s="21"/>
      <c r="F918" s="21"/>
      <c r="G918" s="21"/>
      <c r="H918" s="31" t="str">
        <f t="shared" si="29"/>
        <v/>
      </c>
      <c r="I918" s="21"/>
      <c r="J918" s="21"/>
      <c r="K918" s="21"/>
      <c r="L918" s="123"/>
      <c r="M918" s="21"/>
      <c r="N918" s="21"/>
      <c r="O918" s="21"/>
      <c r="P918" s="21"/>
      <c r="Q918" s="21"/>
      <c r="R918" s="21"/>
      <c r="S918" s="21"/>
      <c r="T918" s="41" t="str">
        <f>IFERROR(VLOOKUP(D918,BUSCARV!$A$1:$C$5524,2,0),"")</f>
        <v/>
      </c>
      <c r="U918" s="42"/>
      <c r="V918" s="42" t="str">
        <f t="shared" si="3"/>
        <v/>
      </c>
      <c r="W918" s="44" t="str">
        <f t="shared" si="36"/>
        <v/>
      </c>
      <c r="X918" s="44"/>
      <c r="Y918" s="44"/>
      <c r="Z918" s="131"/>
      <c r="AA918" s="131"/>
    </row>
    <row r="919">
      <c r="A919" s="21"/>
      <c r="B919" s="21"/>
      <c r="C919" s="21"/>
      <c r="D919" s="21"/>
      <c r="E919" s="21"/>
      <c r="F919" s="21"/>
      <c r="G919" s="21"/>
      <c r="H919" s="31" t="str">
        <f t="shared" si="29"/>
        <v/>
      </c>
      <c r="I919" s="21"/>
      <c r="J919" s="21"/>
      <c r="K919" s="21"/>
      <c r="L919" s="123"/>
      <c r="M919" s="21"/>
      <c r="N919" s="21"/>
      <c r="O919" s="21"/>
      <c r="P919" s="21"/>
      <c r="Q919" s="21"/>
      <c r="R919" s="21"/>
      <c r="S919" s="21"/>
      <c r="T919" s="41" t="str">
        <f>IFERROR(VLOOKUP(D919,BUSCARV!$A$1:$C$5524,2,0),"")</f>
        <v/>
      </c>
      <c r="U919" s="42"/>
      <c r="V919" s="42" t="str">
        <f t="shared" si="3"/>
        <v/>
      </c>
      <c r="W919" s="44" t="str">
        <f t="shared" si="36"/>
        <v/>
      </c>
      <c r="X919" s="44"/>
      <c r="Y919" s="44"/>
      <c r="Z919" s="131"/>
      <c r="AA919" s="131"/>
    </row>
    <row r="920">
      <c r="A920" s="21"/>
      <c r="B920" s="21"/>
      <c r="C920" s="21"/>
      <c r="D920" s="21"/>
      <c r="E920" s="21"/>
      <c r="F920" s="21"/>
      <c r="G920" s="21"/>
      <c r="H920" s="31" t="str">
        <f t="shared" si="29"/>
        <v/>
      </c>
      <c r="I920" s="21"/>
      <c r="J920" s="21"/>
      <c r="K920" s="21"/>
      <c r="L920" s="123"/>
      <c r="M920" s="21"/>
      <c r="N920" s="21"/>
      <c r="O920" s="21"/>
      <c r="P920" s="21"/>
      <c r="Q920" s="21"/>
      <c r="R920" s="21"/>
      <c r="S920" s="21"/>
      <c r="T920" s="41" t="str">
        <f>IFERROR(VLOOKUP(D920,BUSCARV!$A$1:$C$5524,2,0),"")</f>
        <v/>
      </c>
      <c r="U920" s="42"/>
      <c r="V920" s="42" t="str">
        <f t="shared" si="3"/>
        <v/>
      </c>
      <c r="W920" s="44" t="str">
        <f t="shared" si="36"/>
        <v/>
      </c>
      <c r="X920" s="44"/>
      <c r="Y920" s="44"/>
      <c r="Z920" s="131"/>
      <c r="AA920" s="131"/>
    </row>
    <row r="921">
      <c r="A921" s="21"/>
      <c r="B921" s="21"/>
      <c r="C921" s="21"/>
      <c r="D921" s="21"/>
      <c r="E921" s="21"/>
      <c r="F921" s="21"/>
      <c r="G921" s="21"/>
      <c r="H921" s="31" t="str">
        <f t="shared" si="29"/>
        <v/>
      </c>
      <c r="I921" s="21"/>
      <c r="J921" s="21"/>
      <c r="K921" s="21"/>
      <c r="L921" s="123"/>
      <c r="M921" s="21"/>
      <c r="N921" s="21"/>
      <c r="O921" s="21"/>
      <c r="P921" s="21"/>
      <c r="Q921" s="21"/>
      <c r="R921" s="21"/>
      <c r="S921" s="21"/>
      <c r="T921" s="41" t="str">
        <f>IFERROR(VLOOKUP(D921,BUSCARV!$A$1:$C$5524,2,0),"")</f>
        <v/>
      </c>
      <c r="U921" s="42"/>
      <c r="V921" s="42" t="str">
        <f t="shared" si="3"/>
        <v/>
      </c>
      <c r="W921" s="44" t="str">
        <f t="shared" si="36"/>
        <v/>
      </c>
      <c r="X921" s="44"/>
      <c r="Y921" s="44"/>
      <c r="Z921" s="131"/>
      <c r="AA921" s="131"/>
    </row>
    <row r="922">
      <c r="A922" s="21"/>
      <c r="B922" s="21"/>
      <c r="C922" s="21"/>
      <c r="D922" s="21"/>
      <c r="E922" s="21"/>
      <c r="F922" s="21"/>
      <c r="G922" s="21"/>
      <c r="H922" s="31" t="str">
        <f t="shared" si="29"/>
        <v/>
      </c>
      <c r="I922" s="21"/>
      <c r="J922" s="21"/>
      <c r="K922" s="21"/>
      <c r="L922" s="123"/>
      <c r="M922" s="21"/>
      <c r="N922" s="21"/>
      <c r="O922" s="21"/>
      <c r="P922" s="21"/>
      <c r="Q922" s="21"/>
      <c r="R922" s="21"/>
      <c r="S922" s="21"/>
      <c r="T922" s="41" t="str">
        <f>IFERROR(VLOOKUP(D922,BUSCARV!$A$1:$C$5524,2,0),"")</f>
        <v/>
      </c>
      <c r="U922" s="42"/>
      <c r="V922" s="42" t="str">
        <f t="shared" si="3"/>
        <v/>
      </c>
      <c r="W922" s="44" t="str">
        <f t="shared" si="36"/>
        <v/>
      </c>
      <c r="X922" s="44"/>
      <c r="Y922" s="44"/>
      <c r="Z922" s="131"/>
      <c r="AA922" s="131"/>
    </row>
    <row r="923">
      <c r="A923" s="21"/>
      <c r="B923" s="21"/>
      <c r="C923" s="21"/>
      <c r="D923" s="21"/>
      <c r="E923" s="21"/>
      <c r="F923" s="21"/>
      <c r="G923" s="21"/>
      <c r="H923" s="31" t="str">
        <f t="shared" si="29"/>
        <v/>
      </c>
      <c r="I923" s="21"/>
      <c r="J923" s="21"/>
      <c r="K923" s="21"/>
      <c r="L923" s="123"/>
      <c r="M923" s="21"/>
      <c r="N923" s="21"/>
      <c r="O923" s="21"/>
      <c r="P923" s="21"/>
      <c r="Q923" s="21"/>
      <c r="R923" s="21"/>
      <c r="S923" s="21"/>
      <c r="T923" s="41" t="str">
        <f>IFERROR(VLOOKUP(D923,BUSCARV!$A$1:$C$5524,2,0),"")</f>
        <v/>
      </c>
      <c r="U923" s="42"/>
      <c r="V923" s="42" t="str">
        <f t="shared" si="3"/>
        <v/>
      </c>
      <c r="W923" s="44" t="str">
        <f t="shared" si="36"/>
        <v/>
      </c>
      <c r="X923" s="44"/>
      <c r="Y923" s="44"/>
      <c r="Z923" s="131"/>
      <c r="AA923" s="131"/>
    </row>
    <row r="924">
      <c r="A924" s="21"/>
      <c r="B924" s="21"/>
      <c r="C924" s="21"/>
      <c r="D924" s="21"/>
      <c r="E924" s="21"/>
      <c r="F924" s="21"/>
      <c r="G924" s="21"/>
      <c r="H924" s="31" t="str">
        <f t="shared" si="29"/>
        <v/>
      </c>
      <c r="I924" s="21"/>
      <c r="J924" s="21"/>
      <c r="K924" s="21"/>
      <c r="L924" s="123"/>
      <c r="M924" s="21"/>
      <c r="N924" s="21"/>
      <c r="O924" s="21"/>
      <c r="P924" s="21"/>
      <c r="Q924" s="21"/>
      <c r="R924" s="21"/>
      <c r="S924" s="21"/>
      <c r="T924" s="41" t="str">
        <f>IFERROR(VLOOKUP(D924,BUSCARV!$A$1:$C$5524,2,0),"")</f>
        <v/>
      </c>
      <c r="U924" s="42"/>
      <c r="V924" s="42" t="str">
        <f t="shared" si="3"/>
        <v/>
      </c>
      <c r="W924" s="44" t="str">
        <f t="shared" si="36"/>
        <v/>
      </c>
      <c r="X924" s="44"/>
      <c r="Y924" s="44"/>
      <c r="Z924" s="131"/>
      <c r="AA924" s="131"/>
    </row>
    <row r="925">
      <c r="A925" s="21"/>
      <c r="B925" s="21"/>
      <c r="C925" s="21"/>
      <c r="D925" s="21"/>
      <c r="E925" s="21"/>
      <c r="F925" s="21"/>
      <c r="G925" s="21"/>
      <c r="H925" s="31" t="str">
        <f t="shared" si="29"/>
        <v/>
      </c>
      <c r="I925" s="21"/>
      <c r="J925" s="21"/>
      <c r="K925" s="21"/>
      <c r="L925" s="123"/>
      <c r="M925" s="21"/>
      <c r="N925" s="21"/>
      <c r="O925" s="21"/>
      <c r="P925" s="21"/>
      <c r="Q925" s="21"/>
      <c r="R925" s="21"/>
      <c r="S925" s="21"/>
      <c r="T925" s="41" t="str">
        <f>IFERROR(VLOOKUP(D925,BUSCARV!$A$1:$C$5524,2,0),"")</f>
        <v/>
      </c>
      <c r="U925" s="42"/>
      <c r="V925" s="42" t="str">
        <f t="shared" si="3"/>
        <v/>
      </c>
      <c r="W925" s="44" t="str">
        <f t="shared" si="36"/>
        <v/>
      </c>
      <c r="X925" s="44"/>
      <c r="Y925" s="44"/>
      <c r="Z925" s="131"/>
      <c r="AA925" s="131"/>
    </row>
    <row r="926">
      <c r="A926" s="21"/>
      <c r="B926" s="21"/>
      <c r="C926" s="21"/>
      <c r="D926" s="21"/>
      <c r="E926" s="21"/>
      <c r="F926" s="21"/>
      <c r="G926" s="21"/>
      <c r="H926" s="31" t="str">
        <f t="shared" si="29"/>
        <v/>
      </c>
      <c r="I926" s="21"/>
      <c r="J926" s="21"/>
      <c r="K926" s="21"/>
      <c r="L926" s="123"/>
      <c r="M926" s="21"/>
      <c r="N926" s="21"/>
      <c r="O926" s="21"/>
      <c r="P926" s="21"/>
      <c r="Q926" s="21"/>
      <c r="R926" s="21"/>
      <c r="S926" s="21"/>
      <c r="T926" s="41" t="str">
        <f>IFERROR(VLOOKUP(D926,BUSCARV!$A$1:$C$5524,2,0),"")</f>
        <v/>
      </c>
      <c r="U926" s="42"/>
      <c r="V926" s="42" t="str">
        <f t="shared" si="3"/>
        <v/>
      </c>
      <c r="W926" s="44" t="str">
        <f t="shared" si="36"/>
        <v/>
      </c>
      <c r="X926" s="44"/>
      <c r="Y926" s="44"/>
      <c r="Z926" s="131"/>
      <c r="AA926" s="131"/>
    </row>
    <row r="927">
      <c r="A927" s="21"/>
      <c r="B927" s="21"/>
      <c r="C927" s="21"/>
      <c r="D927" s="21"/>
      <c r="E927" s="21"/>
      <c r="F927" s="21"/>
      <c r="G927" s="21"/>
      <c r="H927" s="31" t="str">
        <f t="shared" si="29"/>
        <v/>
      </c>
      <c r="I927" s="21"/>
      <c r="J927" s="21"/>
      <c r="K927" s="21"/>
      <c r="L927" s="123"/>
      <c r="M927" s="21"/>
      <c r="N927" s="21"/>
      <c r="O927" s="21"/>
      <c r="P927" s="21"/>
      <c r="Q927" s="21"/>
      <c r="R927" s="21"/>
      <c r="S927" s="21"/>
      <c r="T927" s="41" t="str">
        <f>IFERROR(VLOOKUP(D927,BUSCARV!$A$1:$C$5524,2,0),"")</f>
        <v/>
      </c>
      <c r="U927" s="42"/>
      <c r="V927" s="42" t="str">
        <f t="shared" si="3"/>
        <v/>
      </c>
      <c r="W927" s="44" t="str">
        <f t="shared" si="36"/>
        <v/>
      </c>
      <c r="X927" s="44"/>
      <c r="Y927" s="44"/>
      <c r="Z927" s="131"/>
      <c r="AA927" s="131"/>
    </row>
    <row r="928">
      <c r="A928" s="21"/>
      <c r="B928" s="21"/>
      <c r="C928" s="21"/>
      <c r="D928" s="21"/>
      <c r="E928" s="21"/>
      <c r="F928" s="21"/>
      <c r="G928" s="21"/>
      <c r="H928" s="31" t="str">
        <f t="shared" si="29"/>
        <v/>
      </c>
      <c r="I928" s="21"/>
      <c r="J928" s="21"/>
      <c r="K928" s="21"/>
      <c r="L928" s="123"/>
      <c r="M928" s="21"/>
      <c r="N928" s="21"/>
      <c r="O928" s="21"/>
      <c r="P928" s="21"/>
      <c r="Q928" s="21"/>
      <c r="R928" s="21"/>
      <c r="S928" s="21"/>
      <c r="T928" s="41" t="str">
        <f>IFERROR(VLOOKUP(D928,BUSCARV!$A$1:$C$5524,2,0),"")</f>
        <v/>
      </c>
      <c r="U928" s="42"/>
      <c r="V928" s="42" t="str">
        <f t="shared" si="3"/>
        <v/>
      </c>
      <c r="W928" s="44" t="str">
        <f t="shared" si="36"/>
        <v/>
      </c>
      <c r="X928" s="44"/>
      <c r="Y928" s="44"/>
      <c r="Z928" s="131"/>
      <c r="AA928" s="131"/>
    </row>
    <row r="929">
      <c r="A929" s="21"/>
      <c r="B929" s="21"/>
      <c r="C929" s="21"/>
      <c r="D929" s="21"/>
      <c r="E929" s="21"/>
      <c r="F929" s="21"/>
      <c r="G929" s="21"/>
      <c r="H929" s="31" t="str">
        <f t="shared" si="29"/>
        <v/>
      </c>
      <c r="I929" s="21"/>
      <c r="J929" s="21"/>
      <c r="K929" s="21"/>
      <c r="L929" s="123"/>
      <c r="M929" s="21"/>
      <c r="N929" s="21"/>
      <c r="O929" s="21"/>
      <c r="P929" s="21"/>
      <c r="Q929" s="21"/>
      <c r="R929" s="21"/>
      <c r="S929" s="21"/>
      <c r="T929" s="41" t="str">
        <f>IFERROR(VLOOKUP(D929,BUSCARV!$A$1:$C$5524,2,0),"")</f>
        <v/>
      </c>
      <c r="U929" s="42"/>
      <c r="V929" s="42" t="str">
        <f t="shared" si="3"/>
        <v/>
      </c>
      <c r="W929" s="44" t="str">
        <f t="shared" si="36"/>
        <v/>
      </c>
      <c r="X929" s="44"/>
      <c r="Y929" s="44"/>
      <c r="Z929" s="131"/>
      <c r="AA929" s="131"/>
    </row>
    <row r="930">
      <c r="A930" s="21"/>
      <c r="B930" s="21"/>
      <c r="C930" s="21"/>
      <c r="D930" s="21"/>
      <c r="E930" s="21"/>
      <c r="F930" s="21"/>
      <c r="G930" s="21"/>
      <c r="H930" s="31" t="str">
        <f t="shared" si="29"/>
        <v/>
      </c>
      <c r="I930" s="21"/>
      <c r="J930" s="21"/>
      <c r="K930" s="21"/>
      <c r="L930" s="123"/>
      <c r="M930" s="21"/>
      <c r="N930" s="21"/>
      <c r="O930" s="21"/>
      <c r="P930" s="21"/>
      <c r="Q930" s="21"/>
      <c r="R930" s="21"/>
      <c r="S930" s="21"/>
      <c r="T930" s="41" t="str">
        <f>IFERROR(VLOOKUP(D930,BUSCARV!$A$1:$C$5524,2,0),"")</f>
        <v/>
      </c>
      <c r="U930" s="42"/>
      <c r="V930" s="42" t="str">
        <f t="shared" si="3"/>
        <v/>
      </c>
      <c r="W930" s="44" t="str">
        <f t="shared" si="36"/>
        <v/>
      </c>
      <c r="X930" s="44"/>
      <c r="Y930" s="44"/>
      <c r="Z930" s="131"/>
      <c r="AA930" s="131"/>
    </row>
    <row r="931">
      <c r="A931" s="21"/>
      <c r="B931" s="21"/>
      <c r="C931" s="21"/>
      <c r="D931" s="21"/>
      <c r="E931" s="21"/>
      <c r="F931" s="21"/>
      <c r="G931" s="21"/>
      <c r="H931" s="31" t="str">
        <f t="shared" si="29"/>
        <v/>
      </c>
      <c r="I931" s="21"/>
      <c r="J931" s="21"/>
      <c r="K931" s="21"/>
      <c r="L931" s="123"/>
      <c r="M931" s="21"/>
      <c r="N931" s="21"/>
      <c r="O931" s="21"/>
      <c r="P931" s="21"/>
      <c r="Q931" s="21"/>
      <c r="R931" s="21"/>
      <c r="S931" s="21"/>
      <c r="T931" s="41" t="str">
        <f>IFERROR(VLOOKUP(D931,BUSCARV!$A$1:$C$5524,2,0),"")</f>
        <v/>
      </c>
      <c r="U931" s="42"/>
      <c r="V931" s="42" t="str">
        <f t="shared" si="3"/>
        <v/>
      </c>
      <c r="W931" s="44" t="str">
        <f t="shared" si="36"/>
        <v/>
      </c>
      <c r="X931" s="44"/>
      <c r="Y931" s="44"/>
      <c r="Z931" s="131"/>
      <c r="AA931" s="131"/>
    </row>
    <row r="932">
      <c r="A932" s="21"/>
      <c r="B932" s="21"/>
      <c r="C932" s="21"/>
      <c r="D932" s="21"/>
      <c r="E932" s="21"/>
      <c r="F932" s="21"/>
      <c r="G932" s="21"/>
      <c r="H932" s="31" t="str">
        <f t="shared" si="29"/>
        <v/>
      </c>
      <c r="I932" s="21"/>
      <c r="J932" s="21"/>
      <c r="K932" s="21"/>
      <c r="L932" s="123"/>
      <c r="M932" s="21"/>
      <c r="N932" s="21"/>
      <c r="O932" s="21"/>
      <c r="P932" s="21"/>
      <c r="Q932" s="21"/>
      <c r="R932" s="21"/>
      <c r="S932" s="21"/>
      <c r="T932" s="41" t="str">
        <f>IFERROR(VLOOKUP(D932,BUSCARV!$A$1:$C$5524,2,0),"")</f>
        <v/>
      </c>
      <c r="U932" s="42"/>
      <c r="V932" s="42" t="str">
        <f t="shared" si="3"/>
        <v/>
      </c>
      <c r="W932" s="44" t="str">
        <f t="shared" si="36"/>
        <v/>
      </c>
      <c r="X932" s="44"/>
      <c r="Y932" s="44"/>
      <c r="Z932" s="131"/>
      <c r="AA932" s="131"/>
    </row>
    <row r="933">
      <c r="A933" s="21"/>
      <c r="B933" s="21"/>
      <c r="C933" s="21"/>
      <c r="D933" s="21"/>
      <c r="E933" s="21"/>
      <c r="F933" s="21"/>
      <c r="G933" s="21"/>
      <c r="H933" s="31" t="str">
        <f t="shared" si="29"/>
        <v/>
      </c>
      <c r="I933" s="21"/>
      <c r="J933" s="21"/>
      <c r="K933" s="21"/>
      <c r="L933" s="123"/>
      <c r="M933" s="21"/>
      <c r="N933" s="21"/>
      <c r="O933" s="21"/>
      <c r="P933" s="21"/>
      <c r="Q933" s="21"/>
      <c r="R933" s="21"/>
      <c r="S933" s="21"/>
      <c r="T933" s="41" t="str">
        <f>IFERROR(VLOOKUP(D933,BUSCARV!$A$1:$C$5524,2,0),"")</f>
        <v/>
      </c>
      <c r="U933" s="42"/>
      <c r="V933" s="42" t="str">
        <f t="shared" si="3"/>
        <v/>
      </c>
      <c r="W933" s="44" t="str">
        <f t="shared" si="36"/>
        <v/>
      </c>
      <c r="X933" s="44"/>
      <c r="Y933" s="44"/>
      <c r="Z933" s="131"/>
      <c r="AA933" s="131"/>
    </row>
    <row r="934">
      <c r="A934" s="21"/>
      <c r="B934" s="21"/>
      <c r="C934" s="21"/>
      <c r="D934" s="21"/>
      <c r="E934" s="21"/>
      <c r="F934" s="21"/>
      <c r="G934" s="21"/>
      <c r="H934" s="31" t="str">
        <f t="shared" si="29"/>
        <v/>
      </c>
      <c r="I934" s="21"/>
      <c r="J934" s="21"/>
      <c r="K934" s="21"/>
      <c r="L934" s="123"/>
      <c r="M934" s="21"/>
      <c r="N934" s="21"/>
      <c r="O934" s="21"/>
      <c r="P934" s="21"/>
      <c r="Q934" s="21"/>
      <c r="R934" s="21"/>
      <c r="S934" s="21"/>
      <c r="T934" s="41" t="str">
        <f>IFERROR(VLOOKUP(D934,BUSCARV!$A$1:$C$5524,2,0),"")</f>
        <v/>
      </c>
      <c r="U934" s="42"/>
      <c r="V934" s="42" t="str">
        <f t="shared" si="3"/>
        <v/>
      </c>
      <c r="W934" s="44" t="str">
        <f t="shared" si="36"/>
        <v/>
      </c>
      <c r="X934" s="44"/>
      <c r="Y934" s="44"/>
      <c r="Z934" s="131"/>
      <c r="AA934" s="131"/>
    </row>
    <row r="935">
      <c r="A935" s="21"/>
      <c r="B935" s="21"/>
      <c r="C935" s="21"/>
      <c r="D935" s="21"/>
      <c r="E935" s="21"/>
      <c r="F935" s="21"/>
      <c r="G935" s="21"/>
      <c r="H935" s="31" t="str">
        <f t="shared" si="29"/>
        <v/>
      </c>
      <c r="I935" s="21"/>
      <c r="J935" s="21"/>
      <c r="K935" s="21"/>
      <c r="L935" s="123"/>
      <c r="M935" s="21"/>
      <c r="N935" s="21"/>
      <c r="O935" s="21"/>
      <c r="P935" s="21"/>
      <c r="Q935" s="21"/>
      <c r="R935" s="21"/>
      <c r="S935" s="21"/>
      <c r="T935" s="41" t="str">
        <f>IFERROR(VLOOKUP(D935,BUSCARV!$A$1:$C$5524,2,0),"")</f>
        <v/>
      </c>
      <c r="U935" s="42"/>
      <c r="V935" s="42" t="str">
        <f t="shared" si="3"/>
        <v/>
      </c>
      <c r="W935" s="44" t="str">
        <f t="shared" si="36"/>
        <v/>
      </c>
      <c r="X935" s="44"/>
      <c r="Y935" s="44"/>
      <c r="Z935" s="131"/>
      <c r="AA935" s="131"/>
    </row>
    <row r="936">
      <c r="A936" s="21"/>
      <c r="B936" s="21"/>
      <c r="C936" s="21"/>
      <c r="D936" s="21"/>
      <c r="E936" s="21"/>
      <c r="F936" s="21"/>
      <c r="G936" s="21"/>
      <c r="H936" s="31" t="str">
        <f t="shared" si="29"/>
        <v/>
      </c>
      <c r="I936" s="21"/>
      <c r="J936" s="21"/>
      <c r="K936" s="21"/>
      <c r="L936" s="123"/>
      <c r="M936" s="21"/>
      <c r="N936" s="21"/>
      <c r="O936" s="21"/>
      <c r="P936" s="21"/>
      <c r="Q936" s="21"/>
      <c r="R936" s="21"/>
      <c r="S936" s="21"/>
      <c r="T936" s="41" t="str">
        <f>IFERROR(VLOOKUP(D936,BUSCARV!$A$1:$C$5524,2,0),"")</f>
        <v/>
      </c>
      <c r="U936" s="42"/>
      <c r="V936" s="42" t="str">
        <f t="shared" si="3"/>
        <v/>
      </c>
      <c r="W936" s="44" t="str">
        <f t="shared" si="36"/>
        <v/>
      </c>
      <c r="X936" s="44"/>
      <c r="Y936" s="44"/>
      <c r="Z936" s="131"/>
      <c r="AA936" s="131"/>
    </row>
    <row r="937">
      <c r="A937" s="21"/>
      <c r="B937" s="21"/>
      <c r="C937" s="21"/>
      <c r="D937" s="21"/>
      <c r="E937" s="21"/>
      <c r="F937" s="21"/>
      <c r="G937" s="21"/>
      <c r="H937" s="31" t="str">
        <f t="shared" si="29"/>
        <v/>
      </c>
      <c r="I937" s="21"/>
      <c r="J937" s="21"/>
      <c r="K937" s="21"/>
      <c r="L937" s="123"/>
      <c r="M937" s="21"/>
      <c r="N937" s="21"/>
      <c r="O937" s="21"/>
      <c r="P937" s="21"/>
      <c r="Q937" s="21"/>
      <c r="R937" s="21"/>
      <c r="S937" s="21"/>
      <c r="T937" s="41" t="str">
        <f>IFERROR(VLOOKUP(D937,BUSCARV!$A$1:$C$5524,2,0),"")</f>
        <v/>
      </c>
      <c r="U937" s="42"/>
      <c r="V937" s="42" t="str">
        <f t="shared" si="3"/>
        <v/>
      </c>
      <c r="W937" s="44" t="str">
        <f t="shared" si="36"/>
        <v/>
      </c>
      <c r="X937" s="44"/>
      <c r="Y937" s="44"/>
      <c r="Z937" s="131"/>
      <c r="AA937" s="131"/>
    </row>
    <row r="938">
      <c r="A938" s="21"/>
      <c r="B938" s="21"/>
      <c r="C938" s="21"/>
      <c r="D938" s="21"/>
      <c r="E938" s="21"/>
      <c r="F938" s="21"/>
      <c r="G938" s="21"/>
      <c r="H938" s="31" t="str">
        <f t="shared" si="29"/>
        <v/>
      </c>
      <c r="I938" s="21"/>
      <c r="J938" s="21"/>
      <c r="K938" s="21"/>
      <c r="L938" s="123"/>
      <c r="M938" s="21"/>
      <c r="N938" s="21"/>
      <c r="O938" s="21"/>
      <c r="P938" s="21"/>
      <c r="Q938" s="21"/>
      <c r="R938" s="21"/>
      <c r="S938" s="21"/>
      <c r="T938" s="41" t="str">
        <f>IFERROR(VLOOKUP(D938,BUSCARV!$A$1:$C$5524,2,0),"")</f>
        <v/>
      </c>
      <c r="U938" s="42"/>
      <c r="V938" s="42" t="str">
        <f t="shared" si="3"/>
        <v/>
      </c>
      <c r="W938" s="44" t="str">
        <f t="shared" si="36"/>
        <v/>
      </c>
      <c r="X938" s="44"/>
      <c r="Y938" s="44"/>
      <c r="Z938" s="131"/>
      <c r="AA938" s="131"/>
    </row>
    <row r="939">
      <c r="A939" s="21"/>
      <c r="B939" s="21"/>
      <c r="C939" s="21"/>
      <c r="D939" s="21"/>
      <c r="E939" s="21"/>
      <c r="F939" s="21"/>
      <c r="G939" s="21"/>
      <c r="H939" s="31" t="str">
        <f t="shared" si="29"/>
        <v/>
      </c>
      <c r="I939" s="21"/>
      <c r="J939" s="21"/>
      <c r="K939" s="21"/>
      <c r="L939" s="123"/>
      <c r="M939" s="21"/>
      <c r="N939" s="21"/>
      <c r="O939" s="21"/>
      <c r="P939" s="21"/>
      <c r="Q939" s="21"/>
      <c r="R939" s="21"/>
      <c r="S939" s="21"/>
      <c r="T939" s="41" t="str">
        <f>IFERROR(VLOOKUP(D939,BUSCARV!$A$1:$C$5524,2,0),"")</f>
        <v/>
      </c>
      <c r="U939" s="42"/>
      <c r="V939" s="42" t="str">
        <f t="shared" si="3"/>
        <v/>
      </c>
      <c r="W939" s="44" t="str">
        <f t="shared" si="36"/>
        <v/>
      </c>
      <c r="X939" s="44"/>
      <c r="Y939" s="44"/>
      <c r="Z939" s="131"/>
      <c r="AA939" s="131"/>
    </row>
    <row r="940">
      <c r="A940" s="21"/>
      <c r="B940" s="21"/>
      <c r="C940" s="21"/>
      <c r="D940" s="21"/>
      <c r="E940" s="21"/>
      <c r="F940" s="21"/>
      <c r="G940" s="21"/>
      <c r="H940" s="31" t="str">
        <f t="shared" si="29"/>
        <v/>
      </c>
      <c r="I940" s="21"/>
      <c r="J940" s="21"/>
      <c r="K940" s="21"/>
      <c r="L940" s="123"/>
      <c r="M940" s="21"/>
      <c r="N940" s="21"/>
      <c r="O940" s="21"/>
      <c r="P940" s="21"/>
      <c r="Q940" s="21"/>
      <c r="R940" s="21"/>
      <c r="S940" s="21"/>
      <c r="T940" s="41" t="str">
        <f>IFERROR(VLOOKUP(D940,BUSCARV!$A$1:$C$5524,2,0),"")</f>
        <v/>
      </c>
      <c r="U940" s="42"/>
      <c r="V940" s="42" t="str">
        <f t="shared" si="3"/>
        <v/>
      </c>
      <c r="W940" s="44" t="str">
        <f t="shared" si="36"/>
        <v/>
      </c>
      <c r="X940" s="44"/>
      <c r="Y940" s="44"/>
      <c r="Z940" s="131"/>
      <c r="AA940" s="131"/>
    </row>
    <row r="941">
      <c r="A941" s="21"/>
      <c r="B941" s="21"/>
      <c r="C941" s="21"/>
      <c r="D941" s="21"/>
      <c r="E941" s="21"/>
      <c r="F941" s="21"/>
      <c r="G941" s="21"/>
      <c r="H941" s="31" t="str">
        <f t="shared" si="29"/>
        <v/>
      </c>
      <c r="I941" s="21"/>
      <c r="J941" s="21"/>
      <c r="K941" s="21"/>
      <c r="L941" s="123"/>
      <c r="M941" s="21"/>
      <c r="N941" s="21"/>
      <c r="O941" s="21"/>
      <c r="P941" s="21"/>
      <c r="Q941" s="21"/>
      <c r="R941" s="21"/>
      <c r="S941" s="21"/>
      <c r="T941" s="41" t="str">
        <f>IFERROR(VLOOKUP(D941,BUSCARV!$A$1:$C$5524,2,0),"")</f>
        <v/>
      </c>
      <c r="U941" s="42"/>
      <c r="V941" s="42" t="str">
        <f t="shared" si="3"/>
        <v/>
      </c>
      <c r="W941" s="44" t="str">
        <f t="shared" si="36"/>
        <v/>
      </c>
      <c r="X941" s="44"/>
      <c r="Y941" s="44"/>
      <c r="Z941" s="131"/>
      <c r="AA941" s="131"/>
    </row>
    <row r="942">
      <c r="A942" s="21"/>
      <c r="B942" s="21"/>
      <c r="C942" s="21"/>
      <c r="D942" s="21"/>
      <c r="E942" s="21"/>
      <c r="F942" s="21"/>
      <c r="G942" s="21"/>
      <c r="H942" s="31" t="str">
        <f t="shared" si="29"/>
        <v/>
      </c>
      <c r="I942" s="21"/>
      <c r="J942" s="21"/>
      <c r="K942" s="21"/>
      <c r="L942" s="123"/>
      <c r="M942" s="21"/>
      <c r="N942" s="21"/>
      <c r="O942" s="21"/>
      <c r="P942" s="21"/>
      <c r="Q942" s="21"/>
      <c r="R942" s="21"/>
      <c r="S942" s="21"/>
      <c r="T942" s="41" t="str">
        <f>IFERROR(VLOOKUP(D942,BUSCARV!$A$1:$C$5524,2,0),"")</f>
        <v/>
      </c>
      <c r="U942" s="42"/>
      <c r="V942" s="42" t="str">
        <f t="shared" si="3"/>
        <v/>
      </c>
      <c r="W942" s="44" t="str">
        <f t="shared" si="36"/>
        <v/>
      </c>
      <c r="X942" s="44"/>
      <c r="Y942" s="44"/>
      <c r="Z942" s="131"/>
      <c r="AA942" s="131"/>
    </row>
    <row r="943">
      <c r="A943" s="21"/>
      <c r="B943" s="21"/>
      <c r="C943" s="21"/>
      <c r="D943" s="21"/>
      <c r="E943" s="21"/>
      <c r="F943" s="21"/>
      <c r="G943" s="21"/>
      <c r="H943" s="31" t="str">
        <f t="shared" si="29"/>
        <v/>
      </c>
      <c r="I943" s="21"/>
      <c r="J943" s="21"/>
      <c r="K943" s="21"/>
      <c r="L943" s="123"/>
      <c r="M943" s="21"/>
      <c r="N943" s="21"/>
      <c r="O943" s="21"/>
      <c r="P943" s="21"/>
      <c r="Q943" s="21"/>
      <c r="R943" s="21"/>
      <c r="S943" s="21"/>
      <c r="T943" s="41" t="str">
        <f>IFERROR(VLOOKUP(D943,BUSCARV!$A$1:$C$5524,2,0),"")</f>
        <v/>
      </c>
      <c r="U943" s="42"/>
      <c r="V943" s="42" t="str">
        <f t="shared" si="3"/>
        <v/>
      </c>
      <c r="W943" s="44" t="str">
        <f t="shared" si="36"/>
        <v/>
      </c>
      <c r="X943" s="44"/>
      <c r="Y943" s="44"/>
      <c r="Z943" s="131"/>
      <c r="AA943" s="131"/>
    </row>
    <row r="944">
      <c r="A944" s="21"/>
      <c r="B944" s="21"/>
      <c r="C944" s="21"/>
      <c r="D944" s="21"/>
      <c r="E944" s="21"/>
      <c r="F944" s="21"/>
      <c r="G944" s="21"/>
      <c r="H944" s="31" t="str">
        <f t="shared" si="29"/>
        <v/>
      </c>
      <c r="I944" s="21"/>
      <c r="J944" s="21"/>
      <c r="K944" s="21"/>
      <c r="L944" s="123"/>
      <c r="M944" s="21"/>
      <c r="N944" s="21"/>
      <c r="O944" s="21"/>
      <c r="P944" s="21"/>
      <c r="Q944" s="21"/>
      <c r="R944" s="21"/>
      <c r="S944" s="21"/>
      <c r="T944" s="41" t="str">
        <f>IFERROR(VLOOKUP(D944,BUSCARV!$A$1:$C$5524,2,0),"")</f>
        <v/>
      </c>
      <c r="U944" s="42"/>
      <c r="V944" s="42" t="str">
        <f t="shared" si="3"/>
        <v/>
      </c>
      <c r="W944" s="44" t="str">
        <f t="shared" si="36"/>
        <v/>
      </c>
      <c r="X944" s="44"/>
      <c r="Y944" s="44"/>
      <c r="Z944" s="131"/>
      <c r="AA944" s="131"/>
    </row>
    <row r="945">
      <c r="A945" s="21"/>
      <c r="B945" s="21"/>
      <c r="C945" s="21"/>
      <c r="D945" s="21"/>
      <c r="E945" s="21"/>
      <c r="F945" s="21"/>
      <c r="G945" s="21"/>
      <c r="H945" s="31" t="str">
        <f t="shared" si="29"/>
        <v/>
      </c>
      <c r="I945" s="21"/>
      <c r="J945" s="21"/>
      <c r="K945" s="21"/>
      <c r="L945" s="123"/>
      <c r="M945" s="21"/>
      <c r="N945" s="21"/>
      <c r="O945" s="21"/>
      <c r="P945" s="21"/>
      <c r="Q945" s="21"/>
      <c r="R945" s="21"/>
      <c r="S945" s="21"/>
      <c r="T945" s="41" t="str">
        <f>IFERROR(VLOOKUP(D945,BUSCARV!$A$1:$C$5524,2,0),"")</f>
        <v/>
      </c>
      <c r="U945" s="42"/>
      <c r="V945" s="42" t="str">
        <f t="shared" si="3"/>
        <v/>
      </c>
      <c r="W945" s="44" t="str">
        <f t="shared" si="36"/>
        <v/>
      </c>
      <c r="X945" s="44"/>
      <c r="Y945" s="44"/>
      <c r="Z945" s="131"/>
      <c r="AA945" s="131"/>
    </row>
    <row r="946">
      <c r="A946" s="21"/>
      <c r="B946" s="21"/>
      <c r="C946" s="21"/>
      <c r="D946" s="21"/>
      <c r="E946" s="21"/>
      <c r="F946" s="21"/>
      <c r="G946" s="21"/>
      <c r="H946" s="31" t="str">
        <f t="shared" si="29"/>
        <v/>
      </c>
      <c r="I946" s="21"/>
      <c r="J946" s="21"/>
      <c r="K946" s="21"/>
      <c r="L946" s="123"/>
      <c r="M946" s="21"/>
      <c r="N946" s="21"/>
      <c r="O946" s="21"/>
      <c r="P946" s="21"/>
      <c r="Q946" s="21"/>
      <c r="R946" s="21"/>
      <c r="S946" s="21"/>
      <c r="T946" s="41" t="str">
        <f>IFERROR(VLOOKUP(D946,BUSCARV!$A$1:$C$5524,2,0),"")</f>
        <v/>
      </c>
      <c r="U946" s="42"/>
      <c r="V946" s="42" t="str">
        <f t="shared" si="3"/>
        <v/>
      </c>
      <c r="W946" s="44" t="str">
        <f t="shared" si="36"/>
        <v/>
      </c>
      <c r="X946" s="44"/>
      <c r="Y946" s="44"/>
      <c r="Z946" s="131"/>
      <c r="AA946" s="131"/>
    </row>
    <row r="947">
      <c r="A947" s="21"/>
      <c r="B947" s="21"/>
      <c r="C947" s="21"/>
      <c r="D947" s="21"/>
      <c r="E947" s="21"/>
      <c r="F947" s="21"/>
      <c r="G947" s="21"/>
      <c r="H947" s="31" t="str">
        <f t="shared" si="29"/>
        <v/>
      </c>
      <c r="I947" s="21"/>
      <c r="J947" s="21"/>
      <c r="K947" s="21"/>
      <c r="L947" s="123"/>
      <c r="M947" s="21"/>
      <c r="N947" s="21"/>
      <c r="O947" s="21"/>
      <c r="P947" s="21"/>
      <c r="Q947" s="21"/>
      <c r="R947" s="21"/>
      <c r="S947" s="21"/>
      <c r="T947" s="41" t="str">
        <f>IFERROR(VLOOKUP(D947,BUSCARV!$A$1:$C$5524,2,0),"")</f>
        <v/>
      </c>
      <c r="U947" s="42"/>
      <c r="V947" s="42" t="str">
        <f t="shared" si="3"/>
        <v/>
      </c>
      <c r="W947" s="44" t="str">
        <f t="shared" si="36"/>
        <v/>
      </c>
      <c r="X947" s="44"/>
      <c r="Y947" s="44"/>
      <c r="Z947" s="131"/>
      <c r="AA947" s="131"/>
    </row>
    <row r="948">
      <c r="A948" s="21"/>
      <c r="B948" s="21"/>
      <c r="C948" s="21"/>
      <c r="D948" s="21"/>
      <c r="E948" s="21"/>
      <c r="F948" s="21"/>
      <c r="G948" s="21"/>
      <c r="H948" s="31" t="str">
        <f t="shared" si="29"/>
        <v/>
      </c>
      <c r="I948" s="21"/>
      <c r="J948" s="21"/>
      <c r="K948" s="21"/>
      <c r="L948" s="123"/>
      <c r="M948" s="21"/>
      <c r="N948" s="21"/>
      <c r="O948" s="21"/>
      <c r="P948" s="21"/>
      <c r="Q948" s="21"/>
      <c r="R948" s="21"/>
      <c r="S948" s="21"/>
      <c r="T948" s="41" t="str">
        <f>IFERROR(VLOOKUP(D948,BUSCARV!$A$1:$C$5524,2,0),"")</f>
        <v/>
      </c>
      <c r="U948" s="42"/>
      <c r="V948" s="42" t="str">
        <f t="shared" si="3"/>
        <v/>
      </c>
      <c r="W948" s="44" t="str">
        <f t="shared" si="36"/>
        <v/>
      </c>
      <c r="X948" s="44"/>
      <c r="Y948" s="44"/>
      <c r="Z948" s="131"/>
      <c r="AA948" s="131"/>
    </row>
    <row r="949">
      <c r="A949" s="21"/>
      <c r="B949" s="21"/>
      <c r="C949" s="21"/>
      <c r="D949" s="21"/>
      <c r="E949" s="21"/>
      <c r="F949" s="21"/>
      <c r="G949" s="21"/>
      <c r="H949" s="31" t="str">
        <f t="shared" si="29"/>
        <v/>
      </c>
      <c r="I949" s="21"/>
      <c r="J949" s="21"/>
      <c r="K949" s="21"/>
      <c r="L949" s="123"/>
      <c r="M949" s="21"/>
      <c r="N949" s="21"/>
      <c r="O949" s="21"/>
      <c r="P949" s="21"/>
      <c r="Q949" s="21"/>
      <c r="R949" s="21"/>
      <c r="S949" s="21"/>
      <c r="T949" s="41" t="str">
        <f>IFERROR(VLOOKUP(D949,BUSCARV!$A$1:$C$5524,2,0),"")</f>
        <v/>
      </c>
      <c r="U949" s="42"/>
      <c r="V949" s="42" t="str">
        <f t="shared" si="3"/>
        <v/>
      </c>
      <c r="W949" s="44" t="str">
        <f t="shared" si="36"/>
        <v/>
      </c>
      <c r="X949" s="44"/>
      <c r="Y949" s="44"/>
      <c r="Z949" s="131"/>
      <c r="AA949" s="131"/>
    </row>
    <row r="950">
      <c r="A950" s="21"/>
      <c r="B950" s="21"/>
      <c r="C950" s="21"/>
      <c r="D950" s="21"/>
      <c r="E950" s="21"/>
      <c r="F950" s="21"/>
      <c r="G950" s="21"/>
      <c r="H950" s="31" t="str">
        <f t="shared" si="29"/>
        <v/>
      </c>
      <c r="I950" s="21"/>
      <c r="J950" s="21"/>
      <c r="K950" s="21"/>
      <c r="L950" s="123"/>
      <c r="M950" s="21"/>
      <c r="N950" s="21"/>
      <c r="O950" s="21"/>
      <c r="P950" s="21"/>
      <c r="Q950" s="21"/>
      <c r="R950" s="21"/>
      <c r="S950" s="21"/>
      <c r="T950" s="41" t="str">
        <f>IFERROR(VLOOKUP(D950,BUSCARV!$A$1:$C$5524,2,0),"")</f>
        <v/>
      </c>
      <c r="U950" s="42"/>
      <c r="V950" s="42" t="str">
        <f t="shared" si="3"/>
        <v/>
      </c>
      <c r="W950" s="44" t="str">
        <f t="shared" si="36"/>
        <v/>
      </c>
      <c r="X950" s="44"/>
      <c r="Y950" s="44"/>
      <c r="Z950" s="131"/>
      <c r="AA950" s="131"/>
    </row>
    <row r="951">
      <c r="A951" s="21"/>
      <c r="B951" s="21"/>
      <c r="C951" s="21"/>
      <c r="D951" s="21"/>
      <c r="E951" s="21"/>
      <c r="F951" s="21"/>
      <c r="G951" s="21"/>
      <c r="H951" s="31" t="str">
        <f t="shared" si="29"/>
        <v/>
      </c>
      <c r="I951" s="21"/>
      <c r="J951" s="21"/>
      <c r="K951" s="21"/>
      <c r="L951" s="123"/>
      <c r="M951" s="21"/>
      <c r="N951" s="21"/>
      <c r="O951" s="21"/>
      <c r="P951" s="21"/>
      <c r="Q951" s="21"/>
      <c r="R951" s="21"/>
      <c r="S951" s="21"/>
      <c r="T951" s="41" t="str">
        <f>IFERROR(VLOOKUP(D951,BUSCARV!$A$1:$C$5524,2,0),"")</f>
        <v/>
      </c>
      <c r="U951" s="42"/>
      <c r="V951" s="42" t="str">
        <f t="shared" si="3"/>
        <v/>
      </c>
      <c r="W951" s="44" t="str">
        <f t="shared" si="36"/>
        <v/>
      </c>
      <c r="X951" s="44"/>
      <c r="Y951" s="44"/>
      <c r="Z951" s="131"/>
      <c r="AA951" s="131"/>
    </row>
    <row r="952">
      <c r="A952" s="21"/>
      <c r="B952" s="21"/>
      <c r="C952" s="21"/>
      <c r="D952" s="21"/>
      <c r="E952" s="21"/>
      <c r="F952" s="21"/>
      <c r="G952" s="21"/>
      <c r="H952" s="31" t="str">
        <f t="shared" si="29"/>
        <v/>
      </c>
      <c r="I952" s="21"/>
      <c r="J952" s="21"/>
      <c r="K952" s="21"/>
      <c r="L952" s="123"/>
      <c r="M952" s="21"/>
      <c r="N952" s="21"/>
      <c r="O952" s="21"/>
      <c r="P952" s="21"/>
      <c r="Q952" s="21"/>
      <c r="R952" s="21"/>
      <c r="S952" s="21"/>
      <c r="T952" s="41" t="str">
        <f>IFERROR(VLOOKUP(D952,BUSCARV!$A$1:$C$5524,2,0),"")</f>
        <v/>
      </c>
      <c r="U952" s="42"/>
      <c r="V952" s="42" t="str">
        <f t="shared" si="3"/>
        <v/>
      </c>
      <c r="W952" s="44" t="str">
        <f t="shared" si="36"/>
        <v/>
      </c>
      <c r="X952" s="44"/>
      <c r="Y952" s="44"/>
      <c r="Z952" s="131"/>
      <c r="AA952" s="131"/>
    </row>
    <row r="953">
      <c r="A953" s="21"/>
      <c r="B953" s="21"/>
      <c r="C953" s="21"/>
      <c r="D953" s="21"/>
      <c r="E953" s="21"/>
      <c r="F953" s="21"/>
      <c r="G953" s="21"/>
      <c r="H953" s="31" t="str">
        <f t="shared" si="29"/>
        <v/>
      </c>
      <c r="I953" s="21"/>
      <c r="J953" s="21"/>
      <c r="K953" s="21"/>
      <c r="L953" s="123"/>
      <c r="M953" s="21"/>
      <c r="N953" s="21"/>
      <c r="O953" s="21"/>
      <c r="P953" s="21"/>
      <c r="Q953" s="21"/>
      <c r="R953" s="21"/>
      <c r="S953" s="21"/>
      <c r="T953" s="41" t="str">
        <f>IFERROR(VLOOKUP(D953,BUSCARV!$A$1:$C$5524,2,0),"")</f>
        <v/>
      </c>
      <c r="U953" s="42"/>
      <c r="V953" s="42" t="str">
        <f t="shared" si="3"/>
        <v/>
      </c>
      <c r="W953" s="44" t="str">
        <f t="shared" si="36"/>
        <v/>
      </c>
      <c r="X953" s="44"/>
      <c r="Y953" s="44"/>
      <c r="Z953" s="131"/>
      <c r="AA953" s="131"/>
    </row>
    <row r="954">
      <c r="A954" s="21"/>
      <c r="B954" s="21"/>
      <c r="C954" s="21"/>
      <c r="D954" s="21"/>
      <c r="E954" s="21"/>
      <c r="F954" s="21"/>
      <c r="G954" s="21"/>
      <c r="H954" s="31" t="str">
        <f t="shared" si="29"/>
        <v/>
      </c>
      <c r="I954" s="21"/>
      <c r="J954" s="21"/>
      <c r="K954" s="21"/>
      <c r="L954" s="123"/>
      <c r="M954" s="21"/>
      <c r="N954" s="21"/>
      <c r="O954" s="21"/>
      <c r="P954" s="21"/>
      <c r="Q954" s="21"/>
      <c r="R954" s="21"/>
      <c r="S954" s="21"/>
      <c r="T954" s="41" t="str">
        <f>IFERROR(VLOOKUP(D954,BUSCARV!$A$1:$C$5524,2,0),"")</f>
        <v/>
      </c>
      <c r="U954" s="42"/>
      <c r="V954" s="42" t="str">
        <f t="shared" si="3"/>
        <v/>
      </c>
      <c r="W954" s="44" t="str">
        <f t="shared" si="36"/>
        <v/>
      </c>
      <c r="X954" s="44"/>
      <c r="Y954" s="44"/>
      <c r="Z954" s="131"/>
      <c r="AA954" s="131"/>
    </row>
    <row r="955">
      <c r="A955" s="21"/>
      <c r="B955" s="21"/>
      <c r="C955" s="21"/>
      <c r="D955" s="21"/>
      <c r="E955" s="21"/>
      <c r="F955" s="21"/>
      <c r="G955" s="21"/>
      <c r="H955" s="31" t="str">
        <f t="shared" si="29"/>
        <v/>
      </c>
      <c r="I955" s="21"/>
      <c r="J955" s="21"/>
      <c r="K955" s="21"/>
      <c r="L955" s="123"/>
      <c r="M955" s="21"/>
      <c r="N955" s="21"/>
      <c r="O955" s="21"/>
      <c r="P955" s="21"/>
      <c r="Q955" s="21"/>
      <c r="R955" s="21"/>
      <c r="S955" s="21"/>
      <c r="T955" s="41" t="str">
        <f>IFERROR(VLOOKUP(D955,BUSCARV!$A$1:$C$5524,2,0),"")</f>
        <v/>
      </c>
      <c r="U955" s="42"/>
      <c r="V955" s="42" t="str">
        <f t="shared" si="3"/>
        <v/>
      </c>
      <c r="W955" s="44" t="str">
        <f t="shared" si="36"/>
        <v/>
      </c>
      <c r="X955" s="44"/>
      <c r="Y955" s="44"/>
      <c r="Z955" s="131"/>
      <c r="AA955" s="131"/>
    </row>
    <row r="956">
      <c r="A956" s="21"/>
      <c r="B956" s="21"/>
      <c r="C956" s="21"/>
      <c r="D956" s="21"/>
      <c r="E956" s="21"/>
      <c r="F956" s="21"/>
      <c r="G956" s="21"/>
      <c r="H956" s="31" t="str">
        <f t="shared" si="29"/>
        <v/>
      </c>
      <c r="I956" s="21"/>
      <c r="J956" s="21"/>
      <c r="K956" s="21"/>
      <c r="L956" s="123"/>
      <c r="M956" s="21"/>
      <c r="N956" s="21"/>
      <c r="O956" s="21"/>
      <c r="P956" s="21"/>
      <c r="Q956" s="21"/>
      <c r="R956" s="21"/>
      <c r="S956" s="21"/>
      <c r="T956" s="41" t="str">
        <f>IFERROR(VLOOKUP(D956,BUSCARV!$A$1:$C$5524,2,0),"")</f>
        <v/>
      </c>
      <c r="U956" s="42"/>
      <c r="V956" s="42" t="str">
        <f t="shared" si="3"/>
        <v/>
      </c>
      <c r="W956" s="44" t="str">
        <f t="shared" si="36"/>
        <v/>
      </c>
      <c r="X956" s="44"/>
      <c r="Y956" s="44"/>
      <c r="Z956" s="131"/>
      <c r="AA956" s="131"/>
    </row>
    <row r="957">
      <c r="A957" s="21"/>
      <c r="B957" s="21"/>
      <c r="C957" s="21"/>
      <c r="D957" s="21"/>
      <c r="E957" s="21"/>
      <c r="F957" s="21"/>
      <c r="G957" s="21"/>
      <c r="H957" s="31" t="str">
        <f t="shared" si="29"/>
        <v/>
      </c>
      <c r="I957" s="21"/>
      <c r="J957" s="21"/>
      <c r="K957" s="21"/>
      <c r="L957" s="123"/>
      <c r="M957" s="21"/>
      <c r="N957" s="21"/>
      <c r="O957" s="21"/>
      <c r="P957" s="21"/>
      <c r="Q957" s="21"/>
      <c r="R957" s="21"/>
      <c r="S957" s="21"/>
      <c r="T957" s="41" t="str">
        <f>IFERROR(VLOOKUP(D957,BUSCARV!$A$1:$C$5524,2,0),"")</f>
        <v/>
      </c>
      <c r="U957" s="42"/>
      <c r="V957" s="42" t="str">
        <f t="shared" si="3"/>
        <v/>
      </c>
      <c r="W957" s="44" t="str">
        <f t="shared" si="36"/>
        <v/>
      </c>
      <c r="X957" s="44"/>
      <c r="Y957" s="44"/>
      <c r="Z957" s="131"/>
      <c r="AA957" s="131"/>
    </row>
    <row r="958">
      <c r="A958" s="21"/>
      <c r="B958" s="21"/>
      <c r="C958" s="21"/>
      <c r="D958" s="21"/>
      <c r="E958" s="21"/>
      <c r="F958" s="21"/>
      <c r="G958" s="21"/>
      <c r="H958" s="31" t="str">
        <f t="shared" si="29"/>
        <v/>
      </c>
      <c r="I958" s="21"/>
      <c r="J958" s="21"/>
      <c r="K958" s="21"/>
      <c r="L958" s="123"/>
      <c r="M958" s="21"/>
      <c r="N958" s="21"/>
      <c r="O958" s="21"/>
      <c r="P958" s="21"/>
      <c r="Q958" s="21"/>
      <c r="R958" s="21"/>
      <c r="S958" s="21"/>
      <c r="T958" s="41" t="str">
        <f>IFERROR(VLOOKUP(D958,BUSCARV!$A$1:$C$5524,2,0),"")</f>
        <v/>
      </c>
      <c r="U958" s="42"/>
      <c r="V958" s="42" t="str">
        <f t="shared" si="3"/>
        <v/>
      </c>
      <c r="W958" s="44" t="str">
        <f t="shared" si="36"/>
        <v/>
      </c>
      <c r="X958" s="44"/>
      <c r="Y958" s="44"/>
      <c r="Z958" s="131"/>
      <c r="AA958" s="131"/>
    </row>
    <row r="959">
      <c r="A959" s="21"/>
      <c r="B959" s="21"/>
      <c r="C959" s="21"/>
      <c r="D959" s="21"/>
      <c r="E959" s="21"/>
      <c r="F959" s="21"/>
      <c r="G959" s="21"/>
      <c r="H959" s="31" t="str">
        <f t="shared" si="29"/>
        <v/>
      </c>
      <c r="I959" s="21"/>
      <c r="J959" s="21"/>
      <c r="K959" s="21"/>
      <c r="L959" s="123"/>
      <c r="M959" s="21"/>
      <c r="N959" s="21"/>
      <c r="O959" s="21"/>
      <c r="P959" s="21"/>
      <c r="Q959" s="21"/>
      <c r="R959" s="21"/>
      <c r="S959" s="21"/>
      <c r="T959" s="41" t="str">
        <f>IFERROR(VLOOKUP(D959,BUSCARV!$A$1:$C$5524,2,0),"")</f>
        <v/>
      </c>
      <c r="U959" s="42"/>
      <c r="V959" s="42" t="str">
        <f t="shared" si="3"/>
        <v/>
      </c>
      <c r="W959" s="44" t="str">
        <f t="shared" si="36"/>
        <v/>
      </c>
      <c r="X959" s="44"/>
      <c r="Y959" s="44"/>
      <c r="Z959" s="131"/>
      <c r="AA959" s="131"/>
    </row>
    <row r="960">
      <c r="A960" s="21"/>
      <c r="B960" s="21"/>
      <c r="C960" s="21"/>
      <c r="D960" s="21"/>
      <c r="E960" s="21"/>
      <c r="F960" s="21"/>
      <c r="G960" s="21"/>
      <c r="H960" s="31" t="str">
        <f t="shared" si="29"/>
        <v/>
      </c>
      <c r="I960" s="21"/>
      <c r="J960" s="21"/>
      <c r="K960" s="21"/>
      <c r="L960" s="123"/>
      <c r="M960" s="21"/>
      <c r="N960" s="21"/>
      <c r="O960" s="21"/>
      <c r="P960" s="21"/>
      <c r="Q960" s="21"/>
      <c r="R960" s="21"/>
      <c r="S960" s="21"/>
      <c r="T960" s="41" t="str">
        <f>IFERROR(VLOOKUP(D960,BUSCARV!$A$1:$C$5524,2,0),"")</f>
        <v/>
      </c>
      <c r="U960" s="42"/>
      <c r="V960" s="42" t="str">
        <f t="shared" si="3"/>
        <v/>
      </c>
      <c r="W960" s="44" t="str">
        <f t="shared" si="36"/>
        <v/>
      </c>
      <c r="X960" s="44"/>
      <c r="Y960" s="44"/>
      <c r="Z960" s="131"/>
      <c r="AA960" s="131"/>
    </row>
    <row r="961">
      <c r="A961" s="21"/>
      <c r="B961" s="21"/>
      <c r="C961" s="21"/>
      <c r="D961" s="21"/>
      <c r="E961" s="21"/>
      <c r="F961" s="21"/>
      <c r="G961" s="21"/>
      <c r="H961" s="31" t="str">
        <f t="shared" si="29"/>
        <v/>
      </c>
      <c r="I961" s="21"/>
      <c r="J961" s="21"/>
      <c r="K961" s="21"/>
      <c r="L961" s="123"/>
      <c r="M961" s="21"/>
      <c r="N961" s="21"/>
      <c r="O961" s="21"/>
      <c r="P961" s="21"/>
      <c r="Q961" s="21"/>
      <c r="R961" s="21"/>
      <c r="S961" s="21"/>
      <c r="T961" s="41" t="str">
        <f>IFERROR(VLOOKUP(D961,BUSCARV!$A$1:$C$5524,2,0),"")</f>
        <v/>
      </c>
      <c r="U961" s="42"/>
      <c r="V961" s="42" t="str">
        <f t="shared" si="3"/>
        <v/>
      </c>
      <c r="W961" s="44" t="str">
        <f t="shared" si="36"/>
        <v/>
      </c>
      <c r="X961" s="44"/>
      <c r="Y961" s="44"/>
      <c r="Z961" s="131"/>
      <c r="AA961" s="131"/>
    </row>
    <row r="962">
      <c r="A962" s="21"/>
      <c r="B962" s="21"/>
      <c r="C962" s="21"/>
      <c r="D962" s="21"/>
      <c r="E962" s="21"/>
      <c r="F962" s="21"/>
      <c r="G962" s="21"/>
      <c r="H962" s="31" t="str">
        <f t="shared" si="29"/>
        <v/>
      </c>
      <c r="I962" s="21"/>
      <c r="J962" s="21"/>
      <c r="K962" s="21"/>
      <c r="L962" s="123"/>
      <c r="M962" s="21"/>
      <c r="N962" s="21"/>
      <c r="O962" s="21"/>
      <c r="P962" s="21"/>
      <c r="Q962" s="21"/>
      <c r="R962" s="21"/>
      <c r="S962" s="21"/>
      <c r="T962" s="41" t="str">
        <f>IFERROR(VLOOKUP(D962,BUSCARV!$A$1:$C$5524,2,0),"")</f>
        <v/>
      </c>
      <c r="U962" s="42"/>
      <c r="V962" s="42" t="str">
        <f t="shared" si="3"/>
        <v/>
      </c>
      <c r="W962" s="44" t="str">
        <f t="shared" si="36"/>
        <v/>
      </c>
      <c r="X962" s="44"/>
      <c r="Y962" s="44"/>
      <c r="Z962" s="131"/>
      <c r="AA962" s="131"/>
    </row>
    <row r="963">
      <c r="A963" s="21"/>
      <c r="B963" s="21"/>
      <c r="C963" s="21"/>
      <c r="D963" s="21"/>
      <c r="E963" s="21"/>
      <c r="F963" s="21"/>
      <c r="G963" s="21"/>
      <c r="H963" s="31" t="str">
        <f t="shared" si="29"/>
        <v/>
      </c>
      <c r="I963" s="21"/>
      <c r="J963" s="21"/>
      <c r="K963" s="21"/>
      <c r="L963" s="123"/>
      <c r="M963" s="21"/>
      <c r="N963" s="21"/>
      <c r="O963" s="21"/>
      <c r="P963" s="21"/>
      <c r="Q963" s="21"/>
      <c r="R963" s="21"/>
      <c r="S963" s="21"/>
      <c r="T963" s="41" t="str">
        <f>IFERROR(VLOOKUP(D963,BUSCARV!$A$1:$C$5524,2,0),"")</f>
        <v/>
      </c>
      <c r="U963" s="42"/>
      <c r="V963" s="42" t="str">
        <f t="shared" si="3"/>
        <v/>
      </c>
      <c r="W963" s="44" t="str">
        <f t="shared" si="36"/>
        <v/>
      </c>
      <c r="X963" s="44"/>
      <c r="Y963" s="44"/>
      <c r="Z963" s="131"/>
      <c r="AA963" s="131"/>
    </row>
    <row r="964">
      <c r="A964" s="21"/>
      <c r="B964" s="21"/>
      <c r="C964" s="21"/>
      <c r="D964" s="21"/>
      <c r="E964" s="21"/>
      <c r="F964" s="21"/>
      <c r="G964" s="21"/>
      <c r="H964" s="31" t="str">
        <f t="shared" si="29"/>
        <v/>
      </c>
      <c r="I964" s="21"/>
      <c r="J964" s="21"/>
      <c r="K964" s="21"/>
      <c r="L964" s="123"/>
      <c r="M964" s="21"/>
      <c r="N964" s="21"/>
      <c r="O964" s="21"/>
      <c r="P964" s="21"/>
      <c r="Q964" s="21"/>
      <c r="R964" s="21"/>
      <c r="S964" s="21"/>
      <c r="T964" s="41" t="str">
        <f>IFERROR(VLOOKUP(D964,BUSCARV!$A$1:$C$5524,2,0),"")</f>
        <v/>
      </c>
      <c r="U964" s="42"/>
      <c r="V964" s="42" t="str">
        <f t="shared" si="3"/>
        <v/>
      </c>
      <c r="W964" s="44" t="str">
        <f t="shared" si="36"/>
        <v/>
      </c>
      <c r="X964" s="44"/>
      <c r="Y964" s="44"/>
      <c r="Z964" s="131"/>
      <c r="AA964" s="131"/>
    </row>
    <row r="965">
      <c r="A965" s="21"/>
      <c r="B965" s="21"/>
      <c r="C965" s="21"/>
      <c r="D965" s="21"/>
      <c r="E965" s="21"/>
      <c r="F965" s="21"/>
      <c r="G965" s="21"/>
      <c r="H965" s="31" t="str">
        <f t="shared" si="29"/>
        <v/>
      </c>
      <c r="I965" s="21"/>
      <c r="J965" s="21"/>
      <c r="K965" s="21"/>
      <c r="L965" s="123"/>
      <c r="M965" s="21"/>
      <c r="N965" s="21"/>
      <c r="O965" s="21"/>
      <c r="P965" s="21"/>
      <c r="Q965" s="21"/>
      <c r="R965" s="21"/>
      <c r="S965" s="21"/>
      <c r="T965" s="41" t="str">
        <f>IFERROR(VLOOKUP(D965,BUSCARV!$A$1:$C$5524,2,0),"")</f>
        <v/>
      </c>
      <c r="U965" s="42"/>
      <c r="V965" s="42" t="str">
        <f t="shared" si="3"/>
        <v/>
      </c>
      <c r="W965" s="44" t="str">
        <f t="shared" si="36"/>
        <v/>
      </c>
      <c r="X965" s="44"/>
      <c r="Y965" s="44"/>
      <c r="Z965" s="131"/>
      <c r="AA965" s="131"/>
    </row>
    <row r="966">
      <c r="A966" s="21"/>
      <c r="B966" s="21"/>
      <c r="C966" s="21"/>
      <c r="D966" s="21"/>
      <c r="E966" s="21"/>
      <c r="F966" s="21"/>
      <c r="G966" s="21"/>
      <c r="H966" s="31" t="str">
        <f t="shared" si="29"/>
        <v/>
      </c>
      <c r="I966" s="21"/>
      <c r="J966" s="21"/>
      <c r="K966" s="21"/>
      <c r="L966" s="123"/>
      <c r="M966" s="21"/>
      <c r="N966" s="21"/>
      <c r="O966" s="21"/>
      <c r="P966" s="21"/>
      <c r="Q966" s="21"/>
      <c r="R966" s="21"/>
      <c r="S966" s="21"/>
      <c r="T966" s="41" t="str">
        <f>IFERROR(VLOOKUP(D966,BUSCARV!$A$1:$C$5524,2,0),"")</f>
        <v/>
      </c>
      <c r="U966" s="42"/>
      <c r="V966" s="42" t="str">
        <f t="shared" si="3"/>
        <v/>
      </c>
      <c r="W966" s="44" t="str">
        <f t="shared" si="36"/>
        <v/>
      </c>
      <c r="X966" s="44"/>
      <c r="Y966" s="44"/>
      <c r="Z966" s="131"/>
      <c r="AA966" s="131"/>
    </row>
    <row r="967">
      <c r="A967" s="21"/>
      <c r="B967" s="21"/>
      <c r="C967" s="21"/>
      <c r="D967" s="21"/>
      <c r="E967" s="21"/>
      <c r="F967" s="21"/>
      <c r="G967" s="21"/>
      <c r="H967" s="31" t="str">
        <f t="shared" si="29"/>
        <v/>
      </c>
      <c r="I967" s="21"/>
      <c r="J967" s="21"/>
      <c r="K967" s="21"/>
      <c r="L967" s="123"/>
      <c r="M967" s="21"/>
      <c r="N967" s="21"/>
      <c r="O967" s="21"/>
      <c r="P967" s="21"/>
      <c r="Q967" s="21"/>
      <c r="R967" s="21"/>
      <c r="S967" s="21"/>
      <c r="T967" s="41" t="str">
        <f>IFERROR(VLOOKUP(D967,BUSCARV!$A$1:$C$5524,2,0),"")</f>
        <v/>
      </c>
      <c r="U967" s="42"/>
      <c r="V967" s="42" t="str">
        <f t="shared" si="3"/>
        <v/>
      </c>
      <c r="W967" s="44" t="str">
        <f t="shared" si="36"/>
        <v/>
      </c>
      <c r="X967" s="44"/>
      <c r="Y967" s="44"/>
      <c r="Z967" s="131"/>
      <c r="AA967" s="131"/>
    </row>
    <row r="968">
      <c r="A968" s="21"/>
      <c r="B968" s="21"/>
      <c r="C968" s="21"/>
      <c r="D968" s="21"/>
      <c r="E968" s="21"/>
      <c r="F968" s="21"/>
      <c r="G968" s="21"/>
      <c r="H968" s="31" t="str">
        <f t="shared" si="29"/>
        <v/>
      </c>
      <c r="I968" s="21"/>
      <c r="J968" s="21"/>
      <c r="K968" s="21"/>
      <c r="L968" s="123"/>
      <c r="M968" s="21"/>
      <c r="N968" s="21"/>
      <c r="O968" s="21"/>
      <c r="P968" s="21"/>
      <c r="Q968" s="21"/>
      <c r="R968" s="21"/>
      <c r="S968" s="21"/>
      <c r="T968" s="41" t="str">
        <f>IFERROR(VLOOKUP(D968,BUSCARV!$A$1:$C$5524,2,0),"")</f>
        <v/>
      </c>
      <c r="U968" s="42"/>
      <c r="V968" s="42" t="str">
        <f t="shared" si="3"/>
        <v/>
      </c>
      <c r="W968" s="44" t="str">
        <f t="shared" si="36"/>
        <v/>
      </c>
      <c r="X968" s="44"/>
      <c r="Y968" s="44"/>
      <c r="Z968" s="131"/>
      <c r="AA968" s="131"/>
    </row>
    <row r="969">
      <c r="A969" s="21"/>
      <c r="B969" s="21"/>
      <c r="C969" s="21"/>
      <c r="D969" s="21"/>
      <c r="E969" s="21"/>
      <c r="F969" s="21"/>
      <c r="G969" s="21"/>
      <c r="H969" s="31" t="str">
        <f t="shared" si="29"/>
        <v/>
      </c>
      <c r="I969" s="21"/>
      <c r="J969" s="21"/>
      <c r="K969" s="21"/>
      <c r="L969" s="123"/>
      <c r="M969" s="21"/>
      <c r="N969" s="21"/>
      <c r="O969" s="21"/>
      <c r="P969" s="21"/>
      <c r="Q969" s="21"/>
      <c r="R969" s="21"/>
      <c r="S969" s="21"/>
      <c r="T969" s="41" t="str">
        <f>IFERROR(VLOOKUP(D969,BUSCARV!$A$1:$C$5524,2,0),"")</f>
        <v/>
      </c>
      <c r="U969" s="42"/>
      <c r="V969" s="42" t="str">
        <f t="shared" si="3"/>
        <v/>
      </c>
      <c r="W969" s="44" t="str">
        <f t="shared" si="36"/>
        <v/>
      </c>
      <c r="X969" s="44"/>
      <c r="Y969" s="44"/>
      <c r="Z969" s="131"/>
      <c r="AA969" s="131"/>
    </row>
    <row r="970">
      <c r="A970" s="21"/>
      <c r="B970" s="21"/>
      <c r="C970" s="21"/>
      <c r="D970" s="21"/>
      <c r="E970" s="21"/>
      <c r="F970" s="21"/>
      <c r="G970" s="21"/>
      <c r="H970" s="31" t="str">
        <f t="shared" si="29"/>
        <v/>
      </c>
      <c r="I970" s="21"/>
      <c r="J970" s="21"/>
      <c r="K970" s="21"/>
      <c r="L970" s="123"/>
      <c r="M970" s="21"/>
      <c r="N970" s="21"/>
      <c r="O970" s="21"/>
      <c r="P970" s="21"/>
      <c r="Q970" s="21"/>
      <c r="R970" s="21"/>
      <c r="S970" s="21"/>
      <c r="T970" s="41" t="str">
        <f>IFERROR(VLOOKUP(D970,BUSCARV!$A$1:$C$5524,2,0),"")</f>
        <v/>
      </c>
      <c r="U970" s="42"/>
      <c r="V970" s="42" t="str">
        <f t="shared" si="3"/>
        <v/>
      </c>
      <c r="W970" s="44" t="str">
        <f t="shared" si="36"/>
        <v/>
      </c>
      <c r="X970" s="44"/>
      <c r="Y970" s="44"/>
      <c r="Z970" s="131"/>
      <c r="AA970" s="131"/>
    </row>
    <row r="971">
      <c r="A971" s="21"/>
      <c r="B971" s="21"/>
      <c r="C971" s="21"/>
      <c r="D971" s="21"/>
      <c r="E971" s="21"/>
      <c r="F971" s="21"/>
      <c r="G971" s="21"/>
      <c r="H971" s="31" t="str">
        <f t="shared" si="29"/>
        <v/>
      </c>
      <c r="I971" s="21"/>
      <c r="J971" s="21"/>
      <c r="K971" s="21"/>
      <c r="L971" s="123"/>
      <c r="M971" s="21"/>
      <c r="N971" s="21"/>
      <c r="O971" s="21"/>
      <c r="P971" s="21"/>
      <c r="Q971" s="21"/>
      <c r="R971" s="21"/>
      <c r="S971" s="21"/>
      <c r="T971" s="41" t="str">
        <f>IFERROR(VLOOKUP(D971,BUSCARV!$A$1:$C$5524,2,0),"")</f>
        <v/>
      </c>
      <c r="U971" s="42"/>
      <c r="V971" s="42" t="str">
        <f t="shared" si="3"/>
        <v/>
      </c>
      <c r="W971" s="44" t="str">
        <f t="shared" si="36"/>
        <v/>
      </c>
      <c r="X971" s="44"/>
      <c r="Y971" s="44"/>
      <c r="Z971" s="131"/>
      <c r="AA971" s="131"/>
    </row>
    <row r="972">
      <c r="A972" s="21"/>
      <c r="B972" s="21"/>
      <c r="C972" s="21"/>
      <c r="D972" s="21"/>
      <c r="E972" s="21"/>
      <c r="F972" s="21"/>
      <c r="G972" s="21"/>
      <c r="H972" s="31" t="str">
        <f t="shared" si="29"/>
        <v/>
      </c>
      <c r="I972" s="21"/>
      <c r="J972" s="21"/>
      <c r="K972" s="21"/>
      <c r="L972" s="123"/>
      <c r="M972" s="21"/>
      <c r="N972" s="21"/>
      <c r="O972" s="21"/>
      <c r="P972" s="21"/>
      <c r="Q972" s="21"/>
      <c r="R972" s="21"/>
      <c r="S972" s="21"/>
      <c r="T972" s="41" t="str">
        <f>IFERROR(VLOOKUP(D972,BUSCARV!$A$1:$C$5524,2,0),"")</f>
        <v/>
      </c>
      <c r="U972" s="42"/>
      <c r="V972" s="42" t="str">
        <f t="shared" si="3"/>
        <v/>
      </c>
      <c r="W972" s="44" t="str">
        <f t="shared" si="36"/>
        <v/>
      </c>
      <c r="X972" s="44"/>
      <c r="Y972" s="44"/>
      <c r="Z972" s="131"/>
      <c r="AA972" s="131"/>
    </row>
    <row r="973">
      <c r="A973" s="21"/>
      <c r="B973" s="21"/>
      <c r="C973" s="21"/>
      <c r="D973" s="21"/>
      <c r="E973" s="21"/>
      <c r="F973" s="21"/>
      <c r="G973" s="21"/>
      <c r="H973" s="31" t="str">
        <f t="shared" si="29"/>
        <v/>
      </c>
      <c r="I973" s="21"/>
      <c r="J973" s="21"/>
      <c r="K973" s="21"/>
      <c r="L973" s="123"/>
      <c r="M973" s="21"/>
      <c r="N973" s="21"/>
      <c r="O973" s="21"/>
      <c r="P973" s="21"/>
      <c r="Q973" s="21"/>
      <c r="R973" s="21"/>
      <c r="S973" s="21"/>
      <c r="T973" s="41" t="str">
        <f>IFERROR(VLOOKUP(D973,BUSCARV!$A$1:$C$5524,2,0),"")</f>
        <v/>
      </c>
      <c r="U973" s="42"/>
      <c r="V973" s="42" t="str">
        <f t="shared" si="3"/>
        <v/>
      </c>
      <c r="W973" s="44" t="str">
        <f t="shared" si="36"/>
        <v/>
      </c>
      <c r="X973" s="44"/>
      <c r="Y973" s="44"/>
      <c r="Z973" s="131"/>
      <c r="AA973" s="131"/>
    </row>
    <row r="974">
      <c r="A974" s="21"/>
      <c r="B974" s="21"/>
      <c r="C974" s="21"/>
      <c r="D974" s="21"/>
      <c r="E974" s="21"/>
      <c r="F974" s="21"/>
      <c r="G974" s="21"/>
      <c r="H974" s="31" t="str">
        <f t="shared" si="29"/>
        <v/>
      </c>
      <c r="I974" s="21"/>
      <c r="J974" s="21"/>
      <c r="K974" s="21"/>
      <c r="L974" s="123"/>
      <c r="M974" s="21"/>
      <c r="N974" s="21"/>
      <c r="O974" s="21"/>
      <c r="P974" s="21"/>
      <c r="Q974" s="21"/>
      <c r="R974" s="21"/>
      <c r="S974" s="21"/>
      <c r="T974" s="41" t="str">
        <f>IFERROR(VLOOKUP(D974,BUSCARV!$A$1:$C$5524,2,0),"")</f>
        <v/>
      </c>
      <c r="U974" s="42"/>
      <c r="V974" s="42" t="str">
        <f t="shared" si="3"/>
        <v/>
      </c>
      <c r="W974" s="44" t="str">
        <f t="shared" si="36"/>
        <v/>
      </c>
      <c r="X974" s="44"/>
      <c r="Y974" s="44"/>
      <c r="Z974" s="131"/>
      <c r="AA974" s="131"/>
    </row>
    <row r="975">
      <c r="A975" s="21"/>
      <c r="B975" s="21"/>
      <c r="C975" s="21"/>
      <c r="D975" s="21"/>
      <c r="E975" s="21"/>
      <c r="F975" s="21"/>
      <c r="G975" s="21"/>
      <c r="H975" s="31" t="str">
        <f t="shared" si="29"/>
        <v/>
      </c>
      <c r="I975" s="21"/>
      <c r="J975" s="21"/>
      <c r="K975" s="21"/>
      <c r="L975" s="123"/>
      <c r="M975" s="21"/>
      <c r="N975" s="21"/>
      <c r="O975" s="21"/>
      <c r="P975" s="21"/>
      <c r="Q975" s="21"/>
      <c r="R975" s="21"/>
      <c r="S975" s="21"/>
      <c r="T975" s="41" t="str">
        <f>IFERROR(VLOOKUP(D975,BUSCARV!$A$1:$C$5524,2,0),"")</f>
        <v/>
      </c>
      <c r="U975" s="42"/>
      <c r="V975" s="42" t="str">
        <f t="shared" si="3"/>
        <v/>
      </c>
      <c r="W975" s="44" t="str">
        <f t="shared" si="36"/>
        <v/>
      </c>
      <c r="X975" s="44"/>
      <c r="Y975" s="44"/>
      <c r="Z975" s="131"/>
      <c r="AA975" s="131"/>
    </row>
    <row r="976">
      <c r="A976" s="21"/>
      <c r="B976" s="21"/>
      <c r="C976" s="21"/>
      <c r="D976" s="21"/>
      <c r="E976" s="21"/>
      <c r="F976" s="21"/>
      <c r="G976" s="21"/>
      <c r="H976" s="31" t="str">
        <f t="shared" si="29"/>
        <v/>
      </c>
      <c r="I976" s="21"/>
      <c r="J976" s="21"/>
      <c r="K976" s="21"/>
      <c r="L976" s="123"/>
      <c r="M976" s="21"/>
      <c r="N976" s="21"/>
      <c r="O976" s="21"/>
      <c r="P976" s="21"/>
      <c r="Q976" s="21"/>
      <c r="R976" s="21"/>
      <c r="S976" s="21"/>
      <c r="T976" s="41" t="str">
        <f>IFERROR(VLOOKUP(D976,BUSCARV!$A$1:$C$5524,2,0),"")</f>
        <v/>
      </c>
      <c r="U976" s="42"/>
      <c r="V976" s="42" t="str">
        <f t="shared" si="3"/>
        <v/>
      </c>
      <c r="W976" s="44" t="str">
        <f t="shared" si="36"/>
        <v/>
      </c>
      <c r="X976" s="44"/>
      <c r="Y976" s="44"/>
      <c r="Z976" s="131"/>
      <c r="AA976" s="131"/>
    </row>
    <row r="977">
      <c r="A977" s="21"/>
      <c r="B977" s="21"/>
      <c r="C977" s="21"/>
      <c r="D977" s="21"/>
      <c r="E977" s="21"/>
      <c r="F977" s="21"/>
      <c r="G977" s="21"/>
      <c r="H977" s="31" t="str">
        <f t="shared" si="29"/>
        <v/>
      </c>
      <c r="I977" s="21"/>
      <c r="J977" s="21"/>
      <c r="K977" s="21"/>
      <c r="L977" s="123"/>
      <c r="M977" s="21"/>
      <c r="N977" s="21"/>
      <c r="O977" s="21"/>
      <c r="P977" s="21"/>
      <c r="Q977" s="21"/>
      <c r="R977" s="21"/>
      <c r="S977" s="21"/>
      <c r="T977" s="41" t="str">
        <f>IFERROR(VLOOKUP(D977,BUSCARV!$A$1:$C$5524,2,0),"")</f>
        <v/>
      </c>
      <c r="U977" s="42"/>
      <c r="V977" s="42" t="str">
        <f t="shared" si="3"/>
        <v/>
      </c>
      <c r="W977" s="44" t="str">
        <f t="shared" si="36"/>
        <v/>
      </c>
      <c r="X977" s="44"/>
      <c r="Y977" s="44"/>
      <c r="Z977" s="131"/>
      <c r="AA977" s="131"/>
    </row>
    <row r="978">
      <c r="A978" s="21"/>
      <c r="B978" s="21"/>
      <c r="C978" s="21"/>
      <c r="D978" s="21"/>
      <c r="E978" s="21"/>
      <c r="F978" s="21"/>
      <c r="G978" s="21"/>
      <c r="H978" s="31" t="str">
        <f t="shared" si="29"/>
        <v/>
      </c>
      <c r="I978" s="21"/>
      <c r="J978" s="21"/>
      <c r="K978" s="21"/>
      <c r="L978" s="123"/>
      <c r="M978" s="21"/>
      <c r="N978" s="21"/>
      <c r="O978" s="21"/>
      <c r="P978" s="21"/>
      <c r="Q978" s="21"/>
      <c r="R978" s="21"/>
      <c r="S978" s="21"/>
      <c r="T978" s="41" t="str">
        <f>IFERROR(VLOOKUP(D978,BUSCARV!$A$1:$C$5524,2,0),"")</f>
        <v/>
      </c>
      <c r="U978" s="42"/>
      <c r="V978" s="42" t="str">
        <f t="shared" si="3"/>
        <v/>
      </c>
      <c r="W978" s="44" t="str">
        <f t="shared" si="36"/>
        <v/>
      </c>
      <c r="X978" s="44"/>
      <c r="Y978" s="44"/>
      <c r="Z978" s="131"/>
      <c r="AA978" s="131"/>
    </row>
    <row r="979">
      <c r="A979" s="21"/>
      <c r="B979" s="21"/>
      <c r="C979" s="21"/>
      <c r="D979" s="21"/>
      <c r="E979" s="21"/>
      <c r="F979" s="21"/>
      <c r="G979" s="21"/>
      <c r="H979" s="31" t="str">
        <f t="shared" si="29"/>
        <v/>
      </c>
      <c r="I979" s="21"/>
      <c r="J979" s="21"/>
      <c r="K979" s="21"/>
      <c r="L979" s="123"/>
      <c r="M979" s="21"/>
      <c r="N979" s="21"/>
      <c r="O979" s="21"/>
      <c r="P979" s="21"/>
      <c r="Q979" s="21"/>
      <c r="R979" s="21"/>
      <c r="S979" s="21"/>
      <c r="T979" s="41" t="str">
        <f>IFERROR(VLOOKUP(D979,BUSCARV!$A$1:$C$5524,2,0),"")</f>
        <v/>
      </c>
      <c r="U979" s="42"/>
      <c r="V979" s="42" t="str">
        <f t="shared" si="3"/>
        <v/>
      </c>
      <c r="W979" s="44" t="str">
        <f t="shared" si="36"/>
        <v/>
      </c>
      <c r="X979" s="44"/>
      <c r="Y979" s="44"/>
      <c r="Z979" s="131"/>
      <c r="AA979" s="131"/>
    </row>
    <row r="980">
      <c r="C980" s="79"/>
      <c r="F980" s="79"/>
      <c r="G980" s="79"/>
      <c r="H980" s="31" t="str">
        <f t="shared" si="29"/>
        <v/>
      </c>
      <c r="T980" s="41" t="str">
        <f>IFERROR(VLOOKUP(D980,BUSCARV!$A$1:$C$5524,2,0),"")</f>
        <v/>
      </c>
      <c r="U980" s="42"/>
      <c r="V980" s="42" t="str">
        <f t="shared" si="3"/>
        <v/>
      </c>
      <c r="W980" s="44" t="str">
        <f t="shared" si="36"/>
        <v/>
      </c>
      <c r="X980" s="44"/>
      <c r="Y980" s="44"/>
      <c r="Z980" s="131"/>
      <c r="AA980" s="131"/>
    </row>
    <row r="981">
      <c r="C981" s="79"/>
      <c r="F981" s="79"/>
      <c r="G981" s="79"/>
      <c r="H981" s="31" t="str">
        <f t="shared" si="29"/>
        <v/>
      </c>
      <c r="T981" s="41" t="str">
        <f>IFERROR(VLOOKUP(D981,BUSCARV!$A$1:$C$5524,2,0),"")</f>
        <v/>
      </c>
      <c r="U981" s="42"/>
      <c r="V981" s="42" t="str">
        <f t="shared" si="3"/>
        <v/>
      </c>
      <c r="W981" s="44" t="str">
        <f t="shared" si="36"/>
        <v/>
      </c>
      <c r="X981" s="44"/>
      <c r="Y981" s="44"/>
      <c r="Z981" s="131"/>
      <c r="AA981" s="131"/>
    </row>
    <row r="982">
      <c r="C982" s="79"/>
      <c r="F982" s="79"/>
      <c r="G982" s="79"/>
      <c r="H982" s="31" t="str">
        <f t="shared" si="29"/>
        <v/>
      </c>
      <c r="T982" s="41" t="str">
        <f>IFERROR(VLOOKUP(D982,BUSCARV!$A$1:$C$5524,2,0),"")</f>
        <v/>
      </c>
      <c r="U982" s="42"/>
      <c r="V982" s="42" t="str">
        <f t="shared" si="3"/>
        <v/>
      </c>
      <c r="W982" s="44" t="str">
        <f t="shared" si="36"/>
        <v/>
      </c>
      <c r="X982" s="44"/>
      <c r="Y982" s="44"/>
      <c r="Z982" s="131"/>
      <c r="AA982" s="131"/>
    </row>
    <row r="983">
      <c r="C983" s="79"/>
      <c r="F983" s="79"/>
      <c r="G983" s="79"/>
      <c r="H983" s="31" t="str">
        <f t="shared" si="29"/>
        <v/>
      </c>
      <c r="T983" s="41" t="str">
        <f>IFERROR(VLOOKUP(D983,BUSCARV!$A$1:$C$5524,2,0),"")</f>
        <v/>
      </c>
      <c r="U983" s="42"/>
      <c r="V983" s="42" t="str">
        <f t="shared" si="3"/>
        <v/>
      </c>
      <c r="W983" s="44" t="str">
        <f t="shared" si="36"/>
        <v/>
      </c>
      <c r="X983" s="44"/>
      <c r="Y983" s="44"/>
      <c r="Z983" s="131"/>
      <c r="AA983" s="131"/>
    </row>
    <row r="984">
      <c r="C984" s="79"/>
      <c r="F984" s="79"/>
      <c r="G984" s="79"/>
      <c r="H984" s="31" t="str">
        <f t="shared" si="29"/>
        <v/>
      </c>
      <c r="T984" s="41" t="str">
        <f>IFERROR(VLOOKUP(D984,BUSCARV!$A$1:$C$5524,2,0),"")</f>
        <v/>
      </c>
      <c r="U984" s="42"/>
      <c r="V984" s="42" t="str">
        <f t="shared" si="3"/>
        <v/>
      </c>
      <c r="W984" s="44" t="str">
        <f t="shared" si="36"/>
        <v/>
      </c>
      <c r="X984" s="44"/>
      <c r="Y984" s="44"/>
      <c r="Z984" s="131"/>
      <c r="AA984" s="131"/>
    </row>
    <row r="985">
      <c r="C985" s="79"/>
      <c r="F985" s="79"/>
      <c r="G985" s="79"/>
      <c r="H985" s="31" t="str">
        <f t="shared" si="29"/>
        <v/>
      </c>
      <c r="T985" s="41" t="str">
        <f>IFERROR(VLOOKUP(D985,BUSCARV!$A$1:$C$5524,2,0),"")</f>
        <v/>
      </c>
      <c r="U985" s="42"/>
      <c r="V985" s="42" t="str">
        <f t="shared" si="3"/>
        <v/>
      </c>
      <c r="W985" s="44" t="str">
        <f t="shared" si="36"/>
        <v/>
      </c>
      <c r="X985" s="44"/>
      <c r="Y985" s="44"/>
      <c r="Z985" s="131"/>
      <c r="AA985" s="131"/>
    </row>
    <row r="986">
      <c r="C986" s="79"/>
      <c r="F986" s="79"/>
      <c r="G986" s="79"/>
      <c r="H986" s="31" t="str">
        <f t="shared" si="29"/>
        <v/>
      </c>
      <c r="T986" s="41" t="str">
        <f>IFERROR(VLOOKUP(D986,BUSCARV!$A$1:$C$5524,2,0),"")</f>
        <v/>
      </c>
      <c r="U986" s="42"/>
      <c r="V986" s="42" t="str">
        <f t="shared" si="3"/>
        <v/>
      </c>
      <c r="W986" s="44" t="str">
        <f t="shared" si="36"/>
        <v/>
      </c>
      <c r="X986" s="44"/>
      <c r="Y986" s="44"/>
      <c r="Z986" s="131"/>
      <c r="AA986" s="131"/>
    </row>
    <row r="987">
      <c r="C987" s="79"/>
      <c r="F987" s="79"/>
      <c r="G987" s="79"/>
      <c r="H987" s="31" t="str">
        <f t="shared" si="29"/>
        <v/>
      </c>
      <c r="T987" s="41" t="str">
        <f>IFERROR(VLOOKUP(D987,BUSCARV!$A$1:$C$5524,2,0),"")</f>
        <v/>
      </c>
      <c r="U987" s="42"/>
      <c r="V987" s="42" t="str">
        <f t="shared" si="3"/>
        <v/>
      </c>
      <c r="W987" s="44" t="str">
        <f t="shared" si="36"/>
        <v/>
      </c>
      <c r="X987" s="44"/>
      <c r="Y987" s="44"/>
      <c r="Z987" s="131"/>
      <c r="AA987" s="131"/>
    </row>
    <row r="988">
      <c r="C988" s="79"/>
      <c r="F988" s="79"/>
      <c r="G988" s="79"/>
      <c r="H988" s="31" t="str">
        <f t="shared" si="29"/>
        <v/>
      </c>
      <c r="T988" s="41" t="str">
        <f>IFERROR(VLOOKUP(D988,BUSCARV!$A$1:$C$5524,2,0),"")</f>
        <v/>
      </c>
      <c r="U988" s="42"/>
      <c r="V988" s="42" t="str">
        <f t="shared" si="3"/>
        <v/>
      </c>
      <c r="W988" s="44" t="str">
        <f t="shared" si="36"/>
        <v/>
      </c>
      <c r="X988" s="44"/>
      <c r="Y988" s="44"/>
      <c r="Z988" s="131"/>
      <c r="AA988" s="131"/>
    </row>
    <row r="989">
      <c r="C989" s="79"/>
      <c r="F989" s="79"/>
      <c r="G989" s="79"/>
      <c r="H989" s="31" t="str">
        <f t="shared" si="29"/>
        <v/>
      </c>
      <c r="T989" s="41" t="str">
        <f>IFERROR(VLOOKUP(D989,BUSCARV!$A$1:$C$5524,2,0),"")</f>
        <v/>
      </c>
      <c r="U989" s="42"/>
      <c r="V989" s="42" t="str">
        <f t="shared" si="3"/>
        <v/>
      </c>
      <c r="W989" s="44" t="str">
        <f t="shared" si="36"/>
        <v/>
      </c>
      <c r="X989" s="44"/>
      <c r="Y989" s="44"/>
      <c r="Z989" s="131"/>
      <c r="AA989" s="131"/>
    </row>
    <row r="990">
      <c r="C990" s="79"/>
      <c r="F990" s="79"/>
      <c r="G990" s="79"/>
      <c r="H990" s="31" t="str">
        <f t="shared" si="29"/>
        <v/>
      </c>
      <c r="T990" s="41" t="str">
        <f>IFERROR(VLOOKUP(D990,BUSCARV!$A$1:$C$5524,2,0),"")</f>
        <v/>
      </c>
      <c r="U990" s="42"/>
      <c r="V990" s="42" t="str">
        <f t="shared" si="3"/>
        <v/>
      </c>
      <c r="W990" s="44" t="str">
        <f t="shared" si="36"/>
        <v/>
      </c>
      <c r="X990" s="44"/>
      <c r="Y990" s="44"/>
      <c r="Z990" s="131"/>
      <c r="AA990" s="131"/>
    </row>
    <row r="991">
      <c r="C991" s="79"/>
      <c r="F991" s="79"/>
      <c r="G991" s="79"/>
      <c r="H991" s="31" t="str">
        <f t="shared" si="29"/>
        <v/>
      </c>
      <c r="T991" s="41" t="str">
        <f>IFERROR(VLOOKUP(D991,BUSCARV!$A$1:$C$5524,2,0),"")</f>
        <v/>
      </c>
      <c r="U991" s="42"/>
      <c r="V991" s="42" t="str">
        <f t="shared" si="3"/>
        <v/>
      </c>
      <c r="W991" s="44" t="str">
        <f t="shared" si="36"/>
        <v/>
      </c>
      <c r="X991" s="44"/>
      <c r="Y991" s="44"/>
      <c r="Z991" s="131"/>
      <c r="AA991" s="131"/>
    </row>
  </sheetData>
  <autoFilter ref="$A$1:$Z$991"/>
  <conditionalFormatting sqref="P1:P991">
    <cfRule type="cellIs" dxfId="0" priority="1" operator="between">
      <formula>TODAY()-25</formula>
      <formula>TODAY()-30</formula>
    </cfRule>
  </conditionalFormatting>
  <conditionalFormatting sqref="P1:P991">
    <cfRule type="cellIs" dxfId="1" priority="2" operator="lessThan">
      <formula>TODAY()-30</formula>
    </cfRule>
  </conditionalFormatting>
  <dataValidations>
    <dataValidation type="list" allowBlank="1" showErrorMessage="1" sqref="G2:G991">
      <formula1>Subcategoria</formula1>
    </dataValidation>
    <dataValidation type="list" allowBlank="1" showErrorMessage="1" sqref="F2:F991">
      <formula1>'Categorías'!$B$2:$B$9</formula1>
    </dataValidation>
    <dataValidation type="list" allowBlank="1" sqref="C2:C991">
      <formula1>Tipo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5.88"/>
    <col customWidth="1" min="3" max="3" width="11.88"/>
    <col customWidth="1" min="4" max="4" width="12.63"/>
    <col customWidth="1" min="5" max="5" width="58.63"/>
    <col customWidth="1" min="6" max="6" width="38.5"/>
    <col customWidth="1" min="7" max="7" width="11.88"/>
    <col customWidth="1" min="8" max="8" width="12.13"/>
    <col customWidth="1" min="9" max="9" width="21.63"/>
    <col customWidth="1" min="10" max="10" width="10.63"/>
    <col customWidth="1" min="11" max="11" width="12.63"/>
    <col customWidth="1" min="12" max="12" width="9.0"/>
    <col customWidth="1" min="13" max="13" width="12.63"/>
    <col customWidth="1" min="14" max="14" width="9.0"/>
    <col customWidth="1" min="15" max="15" width="12.63"/>
    <col customWidth="1" min="16" max="16" width="9.0"/>
    <col customWidth="1" min="17" max="17" width="12.63"/>
    <col customWidth="1" min="18" max="18" width="12.88"/>
    <col customWidth="1" min="19" max="19" width="12.0"/>
    <col customWidth="1" min="20" max="20" width="24.25"/>
    <col customWidth="1" min="21" max="21" width="12.0"/>
    <col customWidth="1" min="22" max="22" width="18.88"/>
    <col customWidth="1" min="23" max="23" width="15.0"/>
    <col customWidth="1" min="24" max="24" width="12.0"/>
    <col customWidth="1" min="25" max="25" width="13.13"/>
    <col customWidth="1" min="26" max="26" width="20.38"/>
    <col customWidth="1" min="27" max="27" width="18.88"/>
    <col customWidth="1" min="28" max="28" width="32.5"/>
    <col customWidth="1" min="29" max="29" width="23.25"/>
    <col customWidth="1" min="30" max="30" width="18.0"/>
    <col customWidth="1" min="31" max="31" width="14.0"/>
  </cols>
  <sheetData>
    <row r="1">
      <c r="A1" s="9">
        <f>IF(E1="","", IF('Global Precios'!B2="",0,'Global Precios'!B2))</f>
        <v>0</v>
      </c>
      <c r="B1" s="14" t="str">
        <f>IF('Global Precios'!B2="","",'Global Precios'!B2)</f>
        <v/>
      </c>
      <c r="C1" s="18">
        <f>IF('Global Precios'!A2="","",'Global Precios'!A2)</f>
        <v>1</v>
      </c>
      <c r="D1" s="18"/>
      <c r="E1" s="25" t="str">
        <f>IF('Global Precios'!D2="","",'Global Precios'!D2)</f>
        <v>Castración Gata</v>
      </c>
      <c r="F1" s="18"/>
      <c r="G1" s="25">
        <f>IFERROR(VLOOKUP(C1,'BuscarV Stock'!$A$2:$C$478,3,0),"AAA")</f>
        <v>0</v>
      </c>
      <c r="H1" s="25">
        <f t="shared" ref="H1:H988" si="1">IF(E1="","",0.21)</f>
        <v>0.21</v>
      </c>
      <c r="I1" s="30">
        <f>IF('Global Precios'!H2="","",'Global Precios'!H2)</f>
        <v>68163.63636</v>
      </c>
      <c r="J1" s="18" t="str">
        <f>IF('Global Precios'!K2="","",'Global Precios'!K2)</f>
        <v/>
      </c>
      <c r="K1" s="30">
        <f>IF('Global Precios'!Z2="Desactivado",0,IF('Global Precios'!L2="","",'Global Precios'!L2))</f>
        <v>82000</v>
      </c>
      <c r="L1" s="18"/>
      <c r="M1" s="18"/>
      <c r="N1" s="18"/>
      <c r="O1" s="18"/>
      <c r="P1" s="18"/>
      <c r="Q1" s="18"/>
      <c r="R1" s="18" t="str">
        <f>IF('Global Precios'!F2="","",'Global Precios'!F2)</f>
        <v>Clinica</v>
      </c>
      <c r="S1" s="18"/>
      <c r="T1" s="18" t="str">
        <f>IF('Global Precios'!E2="","",'Global Precios'!E2)</f>
        <v>Arlekyn</v>
      </c>
      <c r="U1" s="18"/>
      <c r="V1" s="18">
        <f t="shared" ref="V1:V988" si="2">IF(K1="","",0)</f>
        <v>0</v>
      </c>
      <c r="W1" s="18"/>
      <c r="X1" s="18"/>
      <c r="Y1" s="18"/>
      <c r="Z1" s="18"/>
      <c r="AA1" s="18"/>
      <c r="AB1" s="18">
        <f t="shared" ref="AB1:AB988" si="3">IF(K1="","",1)</f>
        <v>1</v>
      </c>
      <c r="AC1" s="18">
        <f t="shared" ref="AC1:AC988" si="4">IF(K1="","",1)</f>
        <v>1</v>
      </c>
      <c r="AD1" s="18">
        <f t="shared" ref="AD1:AD988" si="5">IF(K1="","",1)</f>
        <v>1</v>
      </c>
      <c r="AE1" s="18">
        <f t="shared" ref="AE1:AE988" si="6">AD1</f>
        <v>1</v>
      </c>
    </row>
    <row r="2">
      <c r="A2" s="9">
        <f>IF(E2="","", IF('Global Precios'!B3="",0,'Global Precios'!B3))</f>
        <v>0</v>
      </c>
      <c r="B2" s="14" t="str">
        <f>IF('Global Precios'!B3="","",'Global Precios'!B3)</f>
        <v/>
      </c>
      <c r="C2" s="18">
        <f>IF('Global Precios'!A3="","",'Global Precios'!A3)</f>
        <v>2</v>
      </c>
      <c r="D2" s="18"/>
      <c r="E2" s="25" t="str">
        <f>IF('Global Precios'!D3="","",'Global Precios'!D3)</f>
        <v>Castración perra hasta 10 kg</v>
      </c>
      <c r="F2" s="18"/>
      <c r="G2" s="25">
        <f>IFERROR(VLOOKUP(C2,'BuscarV Stock'!$A$2:$C$478,3,0),"AAA")</f>
        <v>0</v>
      </c>
      <c r="H2" s="25">
        <f t="shared" si="1"/>
        <v>0.21</v>
      </c>
      <c r="I2" s="30">
        <f>IF('Global Precios'!H3="","",'Global Precios'!H3)</f>
        <v>83251.23967</v>
      </c>
      <c r="J2" s="18" t="str">
        <f>IF('Global Precios'!K3="","",'Global Precios'!K3)</f>
        <v/>
      </c>
      <c r="K2" s="30">
        <f>IF('Global Precios'!Z3="Desactivado",0,IF('Global Precios'!L3="","",'Global Precios'!L3))</f>
        <v>101000</v>
      </c>
      <c r="L2" s="18"/>
      <c r="M2" s="18"/>
      <c r="N2" s="18"/>
      <c r="O2" s="18"/>
      <c r="P2" s="18"/>
      <c r="Q2" s="18"/>
      <c r="R2" s="18" t="str">
        <f>IF('Global Precios'!F3="","",'Global Precios'!F3)</f>
        <v>Clinica</v>
      </c>
      <c r="S2" s="18"/>
      <c r="T2" s="18" t="str">
        <f>IF('Global Precios'!E3="","",'Global Precios'!E3)</f>
        <v>Arlekyn</v>
      </c>
      <c r="U2" s="18"/>
      <c r="V2" s="18">
        <f t="shared" si="2"/>
        <v>0</v>
      </c>
      <c r="W2" s="18"/>
      <c r="X2" s="18"/>
      <c r="Y2" s="18"/>
      <c r="Z2" s="18"/>
      <c r="AA2" s="18"/>
      <c r="AB2" s="18">
        <f t="shared" si="3"/>
        <v>1</v>
      </c>
      <c r="AC2" s="18">
        <f t="shared" si="4"/>
        <v>1</v>
      </c>
      <c r="AD2" s="18">
        <f t="shared" si="5"/>
        <v>1</v>
      </c>
      <c r="AE2" s="18">
        <f t="shared" si="6"/>
        <v>1</v>
      </c>
    </row>
    <row r="3">
      <c r="A3" s="9">
        <f>IF(E3="","", IF('Global Precios'!B4="",0,'Global Precios'!B4))</f>
        <v>0</v>
      </c>
      <c r="B3" s="14" t="str">
        <f>IF('Global Precios'!B4="","",'Global Precios'!B4)</f>
        <v/>
      </c>
      <c r="C3" s="18">
        <f>IF('Global Precios'!A4="","",'Global Precios'!A4)</f>
        <v>3</v>
      </c>
      <c r="D3" s="18"/>
      <c r="E3" s="25" t="str">
        <f>IF('Global Precios'!D4="","",'Global Precios'!D4)</f>
        <v>Castración perra hasta 20 kg</v>
      </c>
      <c r="F3" s="18"/>
      <c r="G3" s="25">
        <f>IFERROR(VLOOKUP(C3,'BuscarV Stock'!$A$2:$C$478,3,0),"AAA")</f>
        <v>0</v>
      </c>
      <c r="H3" s="25">
        <f t="shared" si="1"/>
        <v>0.21</v>
      </c>
      <c r="I3" s="30">
        <f>IF('Global Precios'!H4="","",'Global Precios'!H4)</f>
        <v>85819.83471</v>
      </c>
      <c r="J3" s="18" t="str">
        <f>IF('Global Precios'!K4="","",'Global Precios'!K4)</f>
        <v/>
      </c>
      <c r="K3" s="30">
        <f>IF('Global Precios'!Z4="Desactivado",0,IF('Global Precios'!L4="","",'Global Precios'!L4))</f>
        <v>104000</v>
      </c>
      <c r="L3" s="18"/>
      <c r="M3" s="18"/>
      <c r="N3" s="18"/>
      <c r="O3" s="18"/>
      <c r="P3" s="18"/>
      <c r="Q3" s="18"/>
      <c r="R3" s="18" t="str">
        <f>IF('Global Precios'!F4="","",'Global Precios'!F4)</f>
        <v>Clinica</v>
      </c>
      <c r="S3" s="18"/>
      <c r="T3" s="18" t="str">
        <f>IF('Global Precios'!E4="","",'Global Precios'!E4)</f>
        <v>Arlekyn</v>
      </c>
      <c r="U3" s="18"/>
      <c r="V3" s="18">
        <f t="shared" si="2"/>
        <v>0</v>
      </c>
      <c r="W3" s="18"/>
      <c r="X3" s="18"/>
      <c r="Y3" s="18"/>
      <c r="Z3" s="18"/>
      <c r="AA3" s="18"/>
      <c r="AB3" s="18">
        <f t="shared" si="3"/>
        <v>1</v>
      </c>
      <c r="AC3" s="18">
        <f t="shared" si="4"/>
        <v>1</v>
      </c>
      <c r="AD3" s="18">
        <f t="shared" si="5"/>
        <v>1</v>
      </c>
      <c r="AE3" s="18">
        <f t="shared" si="6"/>
        <v>1</v>
      </c>
    </row>
    <row r="4">
      <c r="A4" s="9">
        <f>IF(E4="","", IF('Global Precios'!B5="",0,'Global Precios'!B5))</f>
        <v>0</v>
      </c>
      <c r="B4" s="14" t="str">
        <f>IF('Global Precios'!B5="","",'Global Precios'!B5)</f>
        <v/>
      </c>
      <c r="C4" s="18">
        <f>IF('Global Precios'!A5="","",'Global Precios'!A5)</f>
        <v>4</v>
      </c>
      <c r="D4" s="18"/>
      <c r="E4" s="25" t="str">
        <f>IF('Global Precios'!D5="","",'Global Precios'!D5)</f>
        <v>Castración perra hasta 30 kg</v>
      </c>
      <c r="F4" s="18"/>
      <c r="G4" s="25">
        <f>IFERROR(VLOOKUP(C4,'BuscarV Stock'!$A$2:$C$478,3,0),"AAA")</f>
        <v>0</v>
      </c>
      <c r="H4" s="25">
        <f t="shared" si="1"/>
        <v>0.21</v>
      </c>
      <c r="I4" s="30">
        <f>IF('Global Precios'!H5="","",'Global Precios'!H5)</f>
        <v>90454.54545</v>
      </c>
      <c r="J4" s="18" t="str">
        <f>IF('Global Precios'!K5="","",'Global Precios'!K5)</f>
        <v/>
      </c>
      <c r="K4" s="30">
        <f>IF('Global Precios'!Z5="Desactivado",0,IF('Global Precios'!L5="","",'Global Precios'!L5))</f>
        <v>109000</v>
      </c>
      <c r="L4" s="18"/>
      <c r="M4" s="18"/>
      <c r="N4" s="18"/>
      <c r="O4" s="18"/>
      <c r="P4" s="18"/>
      <c r="Q4" s="18"/>
      <c r="R4" s="18" t="str">
        <f>IF('Global Precios'!F5="","",'Global Precios'!F5)</f>
        <v>Clinica</v>
      </c>
      <c r="S4" s="18"/>
      <c r="T4" s="18" t="str">
        <f>IF('Global Precios'!E5="","",'Global Precios'!E5)</f>
        <v>Arlekyn</v>
      </c>
      <c r="U4" s="18"/>
      <c r="V4" s="18">
        <f t="shared" si="2"/>
        <v>0</v>
      </c>
      <c r="W4" s="18"/>
      <c r="X4" s="18"/>
      <c r="Y4" s="18"/>
      <c r="Z4" s="18"/>
      <c r="AA4" s="18"/>
      <c r="AB4" s="18">
        <f t="shared" si="3"/>
        <v>1</v>
      </c>
      <c r="AC4" s="18">
        <f t="shared" si="4"/>
        <v>1</v>
      </c>
      <c r="AD4" s="18">
        <f t="shared" si="5"/>
        <v>1</v>
      </c>
      <c r="AE4" s="18">
        <f t="shared" si="6"/>
        <v>1</v>
      </c>
    </row>
    <row r="5">
      <c r="A5" s="9">
        <f>IF(E5="","", IF('Global Precios'!B6="",0,'Global Precios'!B6))</f>
        <v>0</v>
      </c>
      <c r="B5" s="14" t="str">
        <f>IF('Global Precios'!B6="","",'Global Precios'!B6)</f>
        <v/>
      </c>
      <c r="C5" s="18">
        <f>IF('Global Precios'!A6="","",'Global Precios'!A6)</f>
        <v>5</v>
      </c>
      <c r="D5" s="18"/>
      <c r="E5" s="25" t="str">
        <f>IF('Global Precios'!D6="","",'Global Precios'!D6)</f>
        <v>Castración perra hasta 40 kg</v>
      </c>
      <c r="F5" s="18"/>
      <c r="G5" s="25">
        <f>IFERROR(VLOOKUP(C5,'BuscarV Stock'!$A$2:$C$478,3,0),"AAA")</f>
        <v>0</v>
      </c>
      <c r="H5" s="25">
        <f t="shared" si="1"/>
        <v>0.21</v>
      </c>
      <c r="I5" s="30">
        <f>IF('Global Precios'!H6="","",'Global Precios'!H6)</f>
        <v>97890.08264</v>
      </c>
      <c r="J5" s="18" t="str">
        <f>IF('Global Precios'!K6="","",'Global Precios'!K6)</f>
        <v/>
      </c>
      <c r="K5" s="30">
        <f>IF('Global Precios'!Z6="Desactivado",0,IF('Global Precios'!L6="","",'Global Precios'!L6))</f>
        <v>118000</v>
      </c>
      <c r="L5" s="18"/>
      <c r="M5" s="18"/>
      <c r="N5" s="18"/>
      <c r="O5" s="18"/>
      <c r="P5" s="18"/>
      <c r="Q5" s="18"/>
      <c r="R5" s="18" t="str">
        <f>IF('Global Precios'!F6="","",'Global Precios'!F6)</f>
        <v>Clinica</v>
      </c>
      <c r="S5" s="18"/>
      <c r="T5" s="18" t="str">
        <f>IF('Global Precios'!E6="","",'Global Precios'!E6)</f>
        <v>Arlekyn</v>
      </c>
      <c r="U5" s="18"/>
      <c r="V5" s="18">
        <f t="shared" si="2"/>
        <v>0</v>
      </c>
      <c r="W5" s="18"/>
      <c r="X5" s="18"/>
      <c r="Y5" s="18"/>
      <c r="Z5" s="18"/>
      <c r="AA5" s="18"/>
      <c r="AB5" s="18">
        <f t="shared" si="3"/>
        <v>1</v>
      </c>
      <c r="AC5" s="18">
        <f t="shared" si="4"/>
        <v>1</v>
      </c>
      <c r="AD5" s="18">
        <f t="shared" si="5"/>
        <v>1</v>
      </c>
      <c r="AE5" s="18">
        <f t="shared" si="6"/>
        <v>1</v>
      </c>
    </row>
    <row r="6">
      <c r="A6" s="9">
        <f>IF(E6="","", IF('Global Precios'!B7="",0,'Global Precios'!B7))</f>
        <v>0</v>
      </c>
      <c r="B6" s="14" t="str">
        <f>IF('Global Precios'!B7="","",'Global Precios'!B7)</f>
        <v/>
      </c>
      <c r="C6" s="18">
        <f>IF('Global Precios'!A7="","",'Global Precios'!A7)</f>
        <v>6</v>
      </c>
      <c r="D6" s="18"/>
      <c r="E6" s="25" t="str">
        <f>IF('Global Precios'!D7="","",'Global Precios'!D7)</f>
        <v>Castración perra hasta 50 kg</v>
      </c>
      <c r="F6" s="18"/>
      <c r="G6" s="25">
        <f>IFERROR(VLOOKUP(C6,'BuscarV Stock'!$A$2:$C$478,3,0),"AAA")</f>
        <v>0</v>
      </c>
      <c r="H6" s="25">
        <f t="shared" si="1"/>
        <v>0.21</v>
      </c>
      <c r="I6" s="30">
        <f>IF('Global Precios'!H7="","",'Global Precios'!H7)</f>
        <v>105325.6198</v>
      </c>
      <c r="J6" s="18" t="str">
        <f>IF('Global Precios'!K7="","",'Global Precios'!K7)</f>
        <v/>
      </c>
      <c r="K6" s="30">
        <f>IF('Global Precios'!Z7="Desactivado",0,IF('Global Precios'!L7="","",'Global Precios'!L7))</f>
        <v>127000</v>
      </c>
      <c r="L6" s="18"/>
      <c r="M6" s="18"/>
      <c r="N6" s="18"/>
      <c r="O6" s="18"/>
      <c r="P6" s="18"/>
      <c r="Q6" s="18"/>
      <c r="R6" s="18" t="str">
        <f>IF('Global Precios'!F7="","",'Global Precios'!F7)</f>
        <v>Clinica</v>
      </c>
      <c r="S6" s="18"/>
      <c r="T6" s="18" t="str">
        <f>IF('Global Precios'!E7="","",'Global Precios'!E7)</f>
        <v>Arlekyn</v>
      </c>
      <c r="U6" s="18"/>
      <c r="V6" s="18">
        <f t="shared" si="2"/>
        <v>0</v>
      </c>
      <c r="W6" s="18"/>
      <c r="X6" s="18"/>
      <c r="Y6" s="18"/>
      <c r="Z6" s="18"/>
      <c r="AA6" s="18"/>
      <c r="AB6" s="18">
        <f t="shared" si="3"/>
        <v>1</v>
      </c>
      <c r="AC6" s="18">
        <f t="shared" si="4"/>
        <v>1</v>
      </c>
      <c r="AD6" s="18">
        <f t="shared" si="5"/>
        <v>1</v>
      </c>
      <c r="AE6" s="18">
        <f t="shared" si="6"/>
        <v>1</v>
      </c>
    </row>
    <row r="7">
      <c r="A7" s="9">
        <f>IF(E7="","", IF('Global Precios'!B8="",0,'Global Precios'!B8))</f>
        <v>0</v>
      </c>
      <c r="B7" s="14" t="str">
        <f>IF('Global Precios'!B8="","",'Global Precios'!B8)</f>
        <v/>
      </c>
      <c r="C7" s="18">
        <f>IF('Global Precios'!A8="","",'Global Precios'!A8)</f>
        <v>7</v>
      </c>
      <c r="D7" s="18"/>
      <c r="E7" s="25" t="str">
        <f>IF('Global Precios'!D8="","",'Global Precios'!D8)</f>
        <v>Castración perra hasta 60 kg</v>
      </c>
      <c r="F7" s="18"/>
      <c r="G7" s="25">
        <f>IFERROR(VLOOKUP(C7,'BuscarV Stock'!$A$2:$C$478,3,0),"AAA")</f>
        <v>0</v>
      </c>
      <c r="H7" s="25">
        <f t="shared" si="1"/>
        <v>0.21</v>
      </c>
      <c r="I7" s="30">
        <f>IF('Global Precios'!H8="","",'Global Precios'!H8)</f>
        <v>114000.8264</v>
      </c>
      <c r="J7" s="18" t="str">
        <f>IF('Global Precios'!K8="","",'Global Precios'!K8)</f>
        <v/>
      </c>
      <c r="K7" s="30">
        <f>IF('Global Precios'!Z8="Desactivado",0,IF('Global Precios'!L8="","",'Global Precios'!L8))</f>
        <v>138000</v>
      </c>
      <c r="L7" s="18"/>
      <c r="M7" s="18"/>
      <c r="N7" s="18"/>
      <c r="O7" s="18"/>
      <c r="P7" s="18"/>
      <c r="Q7" s="18"/>
      <c r="R7" s="18" t="str">
        <f>IF('Global Precios'!F8="","",'Global Precios'!F8)</f>
        <v>Clinica</v>
      </c>
      <c r="S7" s="18"/>
      <c r="T7" s="18" t="str">
        <f>IF('Global Precios'!E8="","",'Global Precios'!E8)</f>
        <v>Arlekyn</v>
      </c>
      <c r="U7" s="18"/>
      <c r="V7" s="18">
        <f t="shared" si="2"/>
        <v>0</v>
      </c>
      <c r="W7" s="18"/>
      <c r="X7" s="18"/>
      <c r="Y7" s="18"/>
      <c r="Z7" s="18"/>
      <c r="AA7" s="18"/>
      <c r="AB7" s="18">
        <f t="shared" si="3"/>
        <v>1</v>
      </c>
      <c r="AC7" s="18">
        <f t="shared" si="4"/>
        <v>1</v>
      </c>
      <c r="AD7" s="18">
        <f t="shared" si="5"/>
        <v>1</v>
      </c>
      <c r="AE7" s="18">
        <f t="shared" si="6"/>
        <v>1</v>
      </c>
    </row>
    <row r="8">
      <c r="A8" s="9">
        <f>IF(E8="","", IF('Global Precios'!B9="",0,'Global Precios'!B9))</f>
        <v>0</v>
      </c>
      <c r="B8" s="14" t="str">
        <f>IF('Global Precios'!B9="","",'Global Precios'!B9)</f>
        <v/>
      </c>
      <c r="C8" s="18">
        <f>IF('Global Precios'!A9="","",'Global Precios'!A9)</f>
        <v>8</v>
      </c>
      <c r="D8" s="18"/>
      <c r="E8" s="25" t="str">
        <f>IF('Global Precios'!D9="","",'Global Precios'!D9)</f>
        <v>Corte de colitas camadas hasta 3 cachorros</v>
      </c>
      <c r="F8" s="18"/>
      <c r="G8" s="25">
        <f>IFERROR(VLOOKUP(C8,'BuscarV Stock'!$A$2:$C$478,3,0),"AAA")</f>
        <v>0</v>
      </c>
      <c r="H8" s="25">
        <f t="shared" si="1"/>
        <v>0.21</v>
      </c>
      <c r="I8" s="30">
        <f>IF('Global Precios'!H9="","",'Global Precios'!H9)</f>
        <v>14871.07438</v>
      </c>
      <c r="J8" s="18" t="str">
        <f>IF('Global Precios'!K9="","",'Global Precios'!K9)</f>
        <v/>
      </c>
      <c r="K8" s="30">
        <f>IF('Global Precios'!Z9="Desactivado",0,IF('Global Precios'!L9="","",'Global Precios'!L9))</f>
        <v>0</v>
      </c>
      <c r="L8" s="18"/>
      <c r="M8" s="18"/>
      <c r="N8" s="18"/>
      <c r="O8" s="18"/>
      <c r="P8" s="18"/>
      <c r="Q8" s="18"/>
      <c r="R8" s="18" t="str">
        <f>IF('Global Precios'!F9="","",'Global Precios'!F9)</f>
        <v>Clinica</v>
      </c>
      <c r="S8" s="18"/>
      <c r="T8" s="18" t="str">
        <f>IF('Global Precios'!E9="","",'Global Precios'!E9)</f>
        <v>Arlekyn</v>
      </c>
      <c r="U8" s="18"/>
      <c r="V8" s="18">
        <f t="shared" si="2"/>
        <v>0</v>
      </c>
      <c r="W8" s="18"/>
      <c r="X8" s="18"/>
      <c r="Y8" s="18"/>
      <c r="Z8" s="18"/>
      <c r="AA8" s="18"/>
      <c r="AB8" s="18">
        <f t="shared" si="3"/>
        <v>1</v>
      </c>
      <c r="AC8" s="18">
        <f t="shared" si="4"/>
        <v>1</v>
      </c>
      <c r="AD8" s="18">
        <f t="shared" si="5"/>
        <v>1</v>
      </c>
      <c r="AE8" s="18">
        <f t="shared" si="6"/>
        <v>1</v>
      </c>
    </row>
    <row r="9">
      <c r="A9" s="9">
        <f>IF(E9="","", IF('Global Precios'!B10="",0,'Global Precios'!B10))</f>
        <v>0</v>
      </c>
      <c r="B9" s="14" t="str">
        <f>IF('Global Precios'!B10="","",'Global Precios'!B10)</f>
        <v/>
      </c>
      <c r="C9" s="18">
        <f>IF('Global Precios'!A10="","",'Global Precios'!A10)</f>
        <v>9</v>
      </c>
      <c r="D9" s="18"/>
      <c r="E9" s="25" t="str">
        <f>IF('Global Precios'!D10="","",'Global Precios'!D10)</f>
        <v>Corte de colitas camadas hasta 4 cachorros</v>
      </c>
      <c r="F9" s="18"/>
      <c r="G9" s="25">
        <f>IFERROR(VLOOKUP(C9,'BuscarV Stock'!$A$2:$C$478,3,0),"AAA")</f>
        <v>0</v>
      </c>
      <c r="H9" s="25">
        <f t="shared" si="1"/>
        <v>0.21</v>
      </c>
      <c r="I9" s="30">
        <f>IF('Global Precios'!H10="","",'Global Precios'!H10)</f>
        <v>12143.80165</v>
      </c>
      <c r="J9" s="18" t="str">
        <f>IF('Global Precios'!K10="","",'Global Precios'!K10)</f>
        <v/>
      </c>
      <c r="K9" s="30">
        <f>IF('Global Precios'!Z10="Desactivado",0,IF('Global Precios'!L10="","",'Global Precios'!L10))</f>
        <v>0</v>
      </c>
      <c r="L9" s="18"/>
      <c r="M9" s="18"/>
      <c r="N9" s="18"/>
      <c r="O9" s="18"/>
      <c r="P9" s="18"/>
      <c r="Q9" s="18"/>
      <c r="R9" s="18" t="str">
        <f>IF('Global Precios'!F10="","",'Global Precios'!F10)</f>
        <v>Clinica</v>
      </c>
      <c r="S9" s="18"/>
      <c r="T9" s="18" t="str">
        <f>IF('Global Precios'!E10="","",'Global Precios'!E10)</f>
        <v>Arlekyn</v>
      </c>
      <c r="U9" s="18"/>
      <c r="V9" s="18">
        <f t="shared" si="2"/>
        <v>0</v>
      </c>
      <c r="W9" s="18"/>
      <c r="X9" s="18"/>
      <c r="Y9" s="18"/>
      <c r="Z9" s="18"/>
      <c r="AA9" s="18"/>
      <c r="AB9" s="18">
        <f t="shared" si="3"/>
        <v>1</v>
      </c>
      <c r="AC9" s="18">
        <f t="shared" si="4"/>
        <v>1</v>
      </c>
      <c r="AD9" s="18">
        <f t="shared" si="5"/>
        <v>1</v>
      </c>
      <c r="AE9" s="18">
        <f t="shared" si="6"/>
        <v>1</v>
      </c>
    </row>
    <row r="10">
      <c r="A10" s="9">
        <f>IF(E10="","", IF('Global Precios'!B11="",0,'Global Precios'!B11))</f>
        <v>0</v>
      </c>
      <c r="B10" s="14" t="str">
        <f>IF('Global Precios'!B11="","",'Global Precios'!B11)</f>
        <v/>
      </c>
      <c r="C10" s="18">
        <f>IF('Global Precios'!A11="","",'Global Precios'!A11)</f>
        <v>10</v>
      </c>
      <c r="D10" s="18"/>
      <c r="E10" s="25" t="str">
        <f>IF('Global Precios'!D11="","",'Global Precios'!D11)</f>
        <v>Eutanasia hasta 10 kg</v>
      </c>
      <c r="F10" s="18"/>
      <c r="G10" s="25">
        <f>IFERROR(VLOOKUP(C10,'BuscarV Stock'!$A$2:$C$478,3,0),"AAA")</f>
        <v>0</v>
      </c>
      <c r="H10" s="25">
        <f t="shared" si="1"/>
        <v>0.21</v>
      </c>
      <c r="I10" s="30">
        <f>IF('Global Precios'!H11="","",'Global Precios'!H11)</f>
        <v>50544.6281</v>
      </c>
      <c r="J10" s="18" t="str">
        <f>IF('Global Precios'!K11="","",'Global Precios'!K11)</f>
        <v/>
      </c>
      <c r="K10" s="30">
        <f>IF('Global Precios'!Z11="Desactivado",0,IF('Global Precios'!L11="","",'Global Precios'!L11))</f>
        <v>61000</v>
      </c>
      <c r="L10" s="18"/>
      <c r="M10" s="18"/>
      <c r="N10" s="18"/>
      <c r="O10" s="18"/>
      <c r="P10" s="18"/>
      <c r="Q10" s="18"/>
      <c r="R10" s="18" t="str">
        <f>IF('Global Precios'!F11="","",'Global Precios'!F11)</f>
        <v>Clinica</v>
      </c>
      <c r="S10" s="18"/>
      <c r="T10" s="18" t="str">
        <f>IF('Global Precios'!E11="","",'Global Precios'!E11)</f>
        <v>Arlekyn</v>
      </c>
      <c r="U10" s="18"/>
      <c r="V10" s="18">
        <f t="shared" si="2"/>
        <v>0</v>
      </c>
      <c r="W10" s="18"/>
      <c r="X10" s="18"/>
      <c r="Y10" s="18"/>
      <c r="Z10" s="18"/>
      <c r="AA10" s="18"/>
      <c r="AB10" s="18">
        <f t="shared" si="3"/>
        <v>1</v>
      </c>
      <c r="AC10" s="18">
        <f t="shared" si="4"/>
        <v>1</v>
      </c>
      <c r="AD10" s="18">
        <f t="shared" si="5"/>
        <v>1</v>
      </c>
      <c r="AE10" s="18">
        <f t="shared" si="6"/>
        <v>1</v>
      </c>
    </row>
    <row r="11">
      <c r="A11" s="9">
        <f>IF(E11="","", IF('Global Precios'!B12="",0,'Global Precios'!B12))</f>
        <v>0</v>
      </c>
      <c r="B11" s="14" t="str">
        <f>IF('Global Precios'!B12="","",'Global Precios'!B12)</f>
        <v/>
      </c>
      <c r="C11" s="18">
        <f>IF('Global Precios'!A12="","",'Global Precios'!A12)</f>
        <v>11</v>
      </c>
      <c r="D11" s="18"/>
      <c r="E11" s="25" t="str">
        <f>IF('Global Precios'!D12="","",'Global Precios'!D12)</f>
        <v>Eutanasia hasta 20 kg</v>
      </c>
      <c r="F11" s="18"/>
      <c r="G11" s="25">
        <f>IFERROR(VLOOKUP(C11,'BuscarV Stock'!$A$2:$C$478,3,0),"AAA")</f>
        <v>0</v>
      </c>
      <c r="H11" s="25">
        <f t="shared" si="1"/>
        <v>0.21</v>
      </c>
      <c r="I11" s="30">
        <f>IF('Global Precios'!H12="","",'Global Precios'!H12)</f>
        <v>60022.31405</v>
      </c>
      <c r="J11" s="18" t="str">
        <f>IF('Global Precios'!K12="","",'Global Precios'!K12)</f>
        <v/>
      </c>
      <c r="K11" s="30">
        <f>IF('Global Precios'!Z12="Desactivado",0,IF('Global Precios'!L12="","",'Global Precios'!L12))</f>
        <v>73000</v>
      </c>
      <c r="L11" s="18"/>
      <c r="M11" s="18"/>
      <c r="N11" s="18"/>
      <c r="O11" s="18"/>
      <c r="P11" s="18"/>
      <c r="Q11" s="18"/>
      <c r="R11" s="18" t="str">
        <f>IF('Global Precios'!F12="","",'Global Precios'!F12)</f>
        <v>Clinica</v>
      </c>
      <c r="S11" s="18"/>
      <c r="T11" s="18" t="str">
        <f>IF('Global Precios'!E12="","",'Global Precios'!E12)</f>
        <v>Arlekyn</v>
      </c>
      <c r="U11" s="18"/>
      <c r="V11" s="18">
        <f t="shared" si="2"/>
        <v>0</v>
      </c>
      <c r="W11" s="18"/>
      <c r="X11" s="18"/>
      <c r="Y11" s="18"/>
      <c r="Z11" s="18"/>
      <c r="AA11" s="18"/>
      <c r="AB11" s="18">
        <f t="shared" si="3"/>
        <v>1</v>
      </c>
      <c r="AC11" s="18">
        <f t="shared" si="4"/>
        <v>1</v>
      </c>
      <c r="AD11" s="18">
        <f t="shared" si="5"/>
        <v>1</v>
      </c>
      <c r="AE11" s="18">
        <f t="shared" si="6"/>
        <v>1</v>
      </c>
    </row>
    <row r="12">
      <c r="A12" s="9">
        <f>IF(E12="","", IF('Global Precios'!B13="",0,'Global Precios'!B13))</f>
        <v>0</v>
      </c>
      <c r="B12" s="14" t="str">
        <f>IF('Global Precios'!B13="","",'Global Precios'!B13)</f>
        <v/>
      </c>
      <c r="C12" s="18">
        <f>IF('Global Precios'!A13="","",'Global Precios'!A13)</f>
        <v>12</v>
      </c>
      <c r="D12" s="18"/>
      <c r="E12" s="25" t="str">
        <f>IF('Global Precios'!D13="","",'Global Precios'!D13)</f>
        <v>Eutanasia hasta 30 kg</v>
      </c>
      <c r="F12" s="18"/>
      <c r="G12" s="25">
        <f>IFERROR(VLOOKUP(C12,'BuscarV Stock'!$A$2:$C$478,3,0),"AAA")</f>
        <v>0</v>
      </c>
      <c r="H12" s="25">
        <f t="shared" si="1"/>
        <v>0.21</v>
      </c>
      <c r="I12" s="30">
        <f>IF('Global Precios'!H13="","",'Global Precios'!H13)</f>
        <v>71605.78512</v>
      </c>
      <c r="J12" s="18" t="str">
        <f>IF('Global Precios'!K13="","",'Global Precios'!K13)</f>
        <v/>
      </c>
      <c r="K12" s="30">
        <f>IF('Global Precios'!Z13="Desactivado",0,IF('Global Precios'!L13="","",'Global Precios'!L13))</f>
        <v>87000</v>
      </c>
      <c r="L12" s="18"/>
      <c r="M12" s="18"/>
      <c r="N12" s="18"/>
      <c r="O12" s="18"/>
      <c r="P12" s="18"/>
      <c r="Q12" s="18"/>
      <c r="R12" s="18" t="str">
        <f>IF('Global Precios'!F13="","",'Global Precios'!F13)</f>
        <v>Clinica</v>
      </c>
      <c r="S12" s="18"/>
      <c r="T12" s="18" t="str">
        <f>IF('Global Precios'!E13="","",'Global Precios'!E13)</f>
        <v>Arlekyn</v>
      </c>
      <c r="U12" s="18"/>
      <c r="V12" s="18">
        <f t="shared" si="2"/>
        <v>0</v>
      </c>
      <c r="W12" s="18"/>
      <c r="X12" s="18"/>
      <c r="Y12" s="18"/>
      <c r="Z12" s="18"/>
      <c r="AA12" s="18"/>
      <c r="AB12" s="18">
        <f t="shared" si="3"/>
        <v>1</v>
      </c>
      <c r="AC12" s="18">
        <f t="shared" si="4"/>
        <v>1</v>
      </c>
      <c r="AD12" s="18">
        <f t="shared" si="5"/>
        <v>1</v>
      </c>
      <c r="AE12" s="18">
        <f t="shared" si="6"/>
        <v>1</v>
      </c>
    </row>
    <row r="13">
      <c r="A13" s="9">
        <f>IF(E13="","", IF('Global Precios'!B14="",0,'Global Precios'!B14))</f>
        <v>0</v>
      </c>
      <c r="B13" s="14" t="str">
        <f>IF('Global Precios'!B14="","",'Global Precios'!B14)</f>
        <v/>
      </c>
      <c r="C13" s="18">
        <f>IF('Global Precios'!A14="","",'Global Precios'!A14)</f>
        <v>13</v>
      </c>
      <c r="D13" s="18"/>
      <c r="E13" s="25" t="str">
        <f>IF('Global Precios'!D14="","",'Global Precios'!D14)</f>
        <v>Eutanasia hasta 40 kg</v>
      </c>
      <c r="F13" s="18"/>
      <c r="G13" s="25">
        <f>IFERROR(VLOOKUP(C13,'BuscarV Stock'!$A$2:$C$478,3,0),"AAA")</f>
        <v>0</v>
      </c>
      <c r="H13" s="25">
        <f t="shared" si="1"/>
        <v>0.21</v>
      </c>
      <c r="I13" s="30">
        <f>IF('Global Precios'!H14="","",'Global Precios'!H14)</f>
        <v>82136.36364</v>
      </c>
      <c r="J13" s="18" t="str">
        <f>IF('Global Precios'!K14="","",'Global Precios'!K14)</f>
        <v/>
      </c>
      <c r="K13" s="30">
        <f>IF('Global Precios'!Z14="Desactivado",0,IF('Global Precios'!L14="","",'Global Precios'!L14))</f>
        <v>99000</v>
      </c>
      <c r="L13" s="18"/>
      <c r="M13" s="18"/>
      <c r="N13" s="18"/>
      <c r="O13" s="18"/>
      <c r="P13" s="18"/>
      <c r="Q13" s="18"/>
      <c r="R13" s="18" t="str">
        <f>IF('Global Precios'!F14="","",'Global Precios'!F14)</f>
        <v>Clinica</v>
      </c>
      <c r="S13" s="18"/>
      <c r="T13" s="18" t="str">
        <f>IF('Global Precios'!E14="","",'Global Precios'!E14)</f>
        <v>Arlekyn</v>
      </c>
      <c r="U13" s="18"/>
      <c r="V13" s="18">
        <f t="shared" si="2"/>
        <v>0</v>
      </c>
      <c r="W13" s="18"/>
      <c r="X13" s="18"/>
      <c r="Y13" s="18"/>
      <c r="Z13" s="18"/>
      <c r="AA13" s="18"/>
      <c r="AB13" s="18">
        <f t="shared" si="3"/>
        <v>1</v>
      </c>
      <c r="AC13" s="18">
        <f t="shared" si="4"/>
        <v>1</v>
      </c>
      <c r="AD13" s="18">
        <f t="shared" si="5"/>
        <v>1</v>
      </c>
      <c r="AE13" s="18">
        <f t="shared" si="6"/>
        <v>1</v>
      </c>
    </row>
    <row r="14">
      <c r="A14" s="9">
        <f>IF(E14="","", IF('Global Precios'!B15="",0,'Global Precios'!B15))</f>
        <v>0</v>
      </c>
      <c r="B14" s="14" t="str">
        <f>IF('Global Precios'!B15="","",'Global Precios'!B15)</f>
        <v/>
      </c>
      <c r="C14" s="18">
        <f>IF('Global Precios'!A15="","",'Global Precios'!A15)</f>
        <v>14</v>
      </c>
      <c r="D14" s="18"/>
      <c r="E14" s="25" t="str">
        <f>IF('Global Precios'!D15="","",'Global Precios'!D15)</f>
        <v>Eutanasia hasta 50 kg</v>
      </c>
      <c r="F14" s="18"/>
      <c r="G14" s="25">
        <f>IFERROR(VLOOKUP(C14,'BuscarV Stock'!$A$2:$C$478,3,0),"AAA")</f>
        <v>0</v>
      </c>
      <c r="H14" s="25">
        <f t="shared" si="1"/>
        <v>0.21</v>
      </c>
      <c r="I14" s="30">
        <f>IF('Global Precios'!H15="","",'Global Precios'!H15)</f>
        <v>90454.54545</v>
      </c>
      <c r="J14" s="18" t="str">
        <f>IF('Global Precios'!K15="","",'Global Precios'!K15)</f>
        <v/>
      </c>
      <c r="K14" s="30">
        <f>IF('Global Precios'!Z15="Desactivado",0,IF('Global Precios'!L15="","",'Global Precios'!L15))</f>
        <v>109000</v>
      </c>
      <c r="L14" s="18"/>
      <c r="M14" s="18"/>
      <c r="N14" s="18"/>
      <c r="O14" s="18"/>
      <c r="P14" s="18"/>
      <c r="Q14" s="18"/>
      <c r="R14" s="18" t="str">
        <f>IF('Global Precios'!F15="","",'Global Precios'!F15)</f>
        <v>Clinica</v>
      </c>
      <c r="S14" s="18"/>
      <c r="T14" s="18" t="str">
        <f>IF('Global Precios'!E15="","",'Global Precios'!E15)</f>
        <v>Arlekyn</v>
      </c>
      <c r="U14" s="18"/>
      <c r="V14" s="18">
        <f t="shared" si="2"/>
        <v>0</v>
      </c>
      <c r="W14" s="18"/>
      <c r="X14" s="18"/>
      <c r="Y14" s="18"/>
      <c r="Z14" s="18"/>
      <c r="AA14" s="18"/>
      <c r="AB14" s="18">
        <f t="shared" si="3"/>
        <v>1</v>
      </c>
      <c r="AC14" s="18">
        <f t="shared" si="4"/>
        <v>1</v>
      </c>
      <c r="AD14" s="18">
        <f t="shared" si="5"/>
        <v>1</v>
      </c>
      <c r="AE14" s="18">
        <f t="shared" si="6"/>
        <v>1</v>
      </c>
    </row>
    <row r="15">
      <c r="A15" s="9">
        <f>IF(E15="","", IF('Global Precios'!B16="",0,'Global Precios'!B16))</f>
        <v>0</v>
      </c>
      <c r="B15" s="14" t="str">
        <f>IF('Global Precios'!B16="","",'Global Precios'!B16)</f>
        <v/>
      </c>
      <c r="C15" s="18">
        <f>IF('Global Precios'!A16="","",'Global Precios'!A16)</f>
        <v>15</v>
      </c>
      <c r="D15" s="18"/>
      <c r="E15" s="25" t="str">
        <f>IF('Global Precios'!D16="","",'Global Precios'!D16)</f>
        <v>consulta + Internación medio día PROMEDIO</v>
      </c>
      <c r="F15" s="18"/>
      <c r="G15" s="25">
        <f>IFERROR(VLOOKUP(C15,'BuscarV Stock'!$A$2:$C$478,3,0),"AAA")</f>
        <v>0</v>
      </c>
      <c r="H15" s="25">
        <f t="shared" si="1"/>
        <v>0.21</v>
      </c>
      <c r="I15" s="30">
        <f>IF('Global Precios'!H16="","",'Global Precios'!H16)</f>
        <v>29740.49587</v>
      </c>
      <c r="J15" s="18" t="str">
        <f>IF('Global Precios'!K16="","",'Global Precios'!K16)</f>
        <v/>
      </c>
      <c r="K15" s="30">
        <f>IF('Global Precios'!Z16="Desactivado",0,IF('Global Precios'!L16="","",'Global Precios'!L16))</f>
        <v>0</v>
      </c>
      <c r="L15" s="18"/>
      <c r="M15" s="18"/>
      <c r="N15" s="18"/>
      <c r="O15" s="18"/>
      <c r="P15" s="18"/>
      <c r="Q15" s="18"/>
      <c r="R15" s="18" t="str">
        <f>IF('Global Precios'!F16="","",'Global Precios'!F16)</f>
        <v>Clinica</v>
      </c>
      <c r="S15" s="18"/>
      <c r="T15" s="18" t="str">
        <f>IF('Global Precios'!E16="","",'Global Precios'!E16)</f>
        <v>Arlekyn</v>
      </c>
      <c r="U15" s="18"/>
      <c r="V15" s="18">
        <f t="shared" si="2"/>
        <v>0</v>
      </c>
      <c r="W15" s="18"/>
      <c r="X15" s="18"/>
      <c r="Y15" s="18"/>
      <c r="Z15" s="18"/>
      <c r="AA15" s="18"/>
      <c r="AB15" s="18">
        <f t="shared" si="3"/>
        <v>1</v>
      </c>
      <c r="AC15" s="18">
        <f t="shared" si="4"/>
        <v>1</v>
      </c>
      <c r="AD15" s="18">
        <f t="shared" si="5"/>
        <v>1</v>
      </c>
      <c r="AE15" s="18">
        <f t="shared" si="6"/>
        <v>1</v>
      </c>
    </row>
    <row r="16">
      <c r="A16" s="9">
        <f>IF(E16="","", IF('Global Precios'!B17="",0,'Global Precios'!B17))</f>
        <v>0</v>
      </c>
      <c r="B16" s="14" t="str">
        <f>IF('Global Precios'!B17="","",'Global Precios'!B17)</f>
        <v/>
      </c>
      <c r="C16" s="18">
        <f>IF('Global Precios'!A17="","",'Global Precios'!A17)</f>
        <v>16</v>
      </c>
      <c r="D16" s="18"/>
      <c r="E16" s="25" t="str">
        <f>IF('Global Precios'!D17="","",'Global Precios'!D17)</f>
        <v>Medio día sin consulta PROMEDIO</v>
      </c>
      <c r="F16" s="18"/>
      <c r="G16" s="25">
        <f>IFERROR(VLOOKUP(C16,'BuscarV Stock'!$A$2:$C$478,3,0),"AAA")</f>
        <v>0</v>
      </c>
      <c r="H16" s="25">
        <f t="shared" si="1"/>
        <v>0.21</v>
      </c>
      <c r="I16" s="30">
        <f>IF('Global Precios'!H17="","",'Global Precios'!H17)</f>
        <v>18587.60331</v>
      </c>
      <c r="J16" s="18" t="str">
        <f>IF('Global Precios'!K17="","",'Global Precios'!K17)</f>
        <v/>
      </c>
      <c r="K16" s="30">
        <f>IF('Global Precios'!Z17="Desactivado",0,IF('Global Precios'!L17="","",'Global Precios'!L17))</f>
        <v>22000</v>
      </c>
      <c r="L16" s="18"/>
      <c r="M16" s="18"/>
      <c r="N16" s="18"/>
      <c r="O16" s="18"/>
      <c r="P16" s="18"/>
      <c r="Q16" s="18"/>
      <c r="R16" s="18" t="str">
        <f>IF('Global Precios'!F17="","",'Global Precios'!F17)</f>
        <v>Clinica</v>
      </c>
      <c r="S16" s="18"/>
      <c r="T16" s="18" t="str">
        <f>IF('Global Precios'!E17="","",'Global Precios'!E17)</f>
        <v>Arlekyn</v>
      </c>
      <c r="U16" s="18"/>
      <c r="V16" s="18">
        <f t="shared" si="2"/>
        <v>0</v>
      </c>
      <c r="W16" s="18"/>
      <c r="X16" s="18"/>
      <c r="Y16" s="18"/>
      <c r="Z16" s="18"/>
      <c r="AA16" s="18"/>
      <c r="AB16" s="18">
        <f t="shared" si="3"/>
        <v>1</v>
      </c>
      <c r="AC16" s="18">
        <f t="shared" si="4"/>
        <v>1</v>
      </c>
      <c r="AD16" s="18">
        <f t="shared" si="5"/>
        <v>1</v>
      </c>
      <c r="AE16" s="18">
        <f t="shared" si="6"/>
        <v>1</v>
      </c>
    </row>
    <row r="17">
      <c r="A17" s="9">
        <f>IF(E17="","", IF('Global Precios'!B18="",0,'Global Precios'!B18))</f>
        <v>0</v>
      </c>
      <c r="B17" s="14" t="str">
        <f>IF('Global Precios'!B18="","",'Global Precios'!B18)</f>
        <v/>
      </c>
      <c r="C17" s="18">
        <f>IF('Global Precios'!A18="","",'Global Precios'!A18)</f>
        <v>17</v>
      </c>
      <c r="D17" s="18"/>
      <c r="E17" s="25" t="str">
        <f>IF('Global Precios'!D18="","",'Global Precios'!D18)</f>
        <v>Consulta + día completo PROMEDIO</v>
      </c>
      <c r="F17" s="18"/>
      <c r="G17" s="25">
        <f>IFERROR(VLOOKUP(C17,'BuscarV Stock'!$A$2:$C$478,3,0),"AAA")</f>
        <v>0</v>
      </c>
      <c r="H17" s="25">
        <f t="shared" si="1"/>
        <v>0.21</v>
      </c>
      <c r="I17" s="30">
        <f>IF('Global Precios'!H18="","",'Global Precios'!H18)</f>
        <v>40890.08264</v>
      </c>
      <c r="J17" s="18" t="str">
        <f>IF('Global Precios'!K18="","",'Global Precios'!K18)</f>
        <v/>
      </c>
      <c r="K17" s="30">
        <f>IF('Global Precios'!Z18="Desactivado",0,IF('Global Precios'!L18="","",'Global Precios'!L18))</f>
        <v>49000</v>
      </c>
      <c r="L17" s="18"/>
      <c r="M17" s="18"/>
      <c r="N17" s="18"/>
      <c r="O17" s="18"/>
      <c r="P17" s="18"/>
      <c r="Q17" s="18"/>
      <c r="R17" s="18" t="str">
        <f>IF('Global Precios'!F18="","",'Global Precios'!F18)</f>
        <v>Clinica</v>
      </c>
      <c r="S17" s="18"/>
      <c r="T17" s="18" t="str">
        <f>IF('Global Precios'!E18="","",'Global Precios'!E18)</f>
        <v>Arlekyn</v>
      </c>
      <c r="U17" s="18"/>
      <c r="V17" s="18">
        <f t="shared" si="2"/>
        <v>0</v>
      </c>
      <c r="W17" s="18"/>
      <c r="X17" s="18"/>
      <c r="Y17" s="18"/>
      <c r="Z17" s="18"/>
      <c r="AA17" s="18"/>
      <c r="AB17" s="18">
        <f t="shared" si="3"/>
        <v>1</v>
      </c>
      <c r="AC17" s="18">
        <f t="shared" si="4"/>
        <v>1</v>
      </c>
      <c r="AD17" s="18">
        <f t="shared" si="5"/>
        <v>1</v>
      </c>
      <c r="AE17" s="18">
        <f t="shared" si="6"/>
        <v>1</v>
      </c>
    </row>
    <row r="18">
      <c r="A18" s="9">
        <f>IF(E18="","", IF('Global Precios'!B19="",0,'Global Precios'!B19))</f>
        <v>0</v>
      </c>
      <c r="B18" s="14" t="str">
        <f>IF('Global Precios'!B19="","",'Global Precios'!B19)</f>
        <v/>
      </c>
      <c r="C18" s="18">
        <f>IF('Global Precios'!A19="","",'Global Precios'!A19)</f>
        <v>18</v>
      </c>
      <c r="D18" s="18"/>
      <c r="E18" s="25" t="str">
        <f>IF('Global Precios'!D19="","",'Global Precios'!D19)</f>
        <v>Día completo sin consulta PROMEDIO</v>
      </c>
      <c r="F18" s="18"/>
      <c r="G18" s="25">
        <f>IFERROR(VLOOKUP(C18,'BuscarV Stock'!$A$2:$C$478,3,0),"AAA")</f>
        <v>0</v>
      </c>
      <c r="H18" s="25">
        <f t="shared" si="1"/>
        <v>0.21</v>
      </c>
      <c r="I18" s="30">
        <f>IF('Global Precios'!H19="","",'Global Precios'!H19)</f>
        <v>32214.87603</v>
      </c>
      <c r="J18" s="18" t="str">
        <f>IF('Global Precios'!K19="","",'Global Precios'!K19)</f>
        <v/>
      </c>
      <c r="K18" s="30">
        <f>IF('Global Precios'!Z19="Desactivado",0,IF('Global Precios'!L19="","",'Global Precios'!L19))</f>
        <v>39000</v>
      </c>
      <c r="L18" s="18"/>
      <c r="M18" s="18"/>
      <c r="N18" s="18"/>
      <c r="O18" s="18"/>
      <c r="P18" s="18"/>
      <c r="Q18" s="18"/>
      <c r="R18" s="18" t="str">
        <f>IF('Global Precios'!F19="","",'Global Precios'!F19)</f>
        <v>Clinica</v>
      </c>
      <c r="S18" s="18"/>
      <c r="T18" s="18" t="str">
        <f>IF('Global Precios'!E19="","",'Global Precios'!E19)</f>
        <v>Arlekyn</v>
      </c>
      <c r="U18" s="18"/>
      <c r="V18" s="18">
        <f t="shared" si="2"/>
        <v>0</v>
      </c>
      <c r="W18" s="18"/>
      <c r="X18" s="18"/>
      <c r="Y18" s="18"/>
      <c r="Z18" s="18"/>
      <c r="AA18" s="18"/>
      <c r="AB18" s="18">
        <f t="shared" si="3"/>
        <v>1</v>
      </c>
      <c r="AC18" s="18">
        <f t="shared" si="4"/>
        <v>1</v>
      </c>
      <c r="AD18" s="18">
        <f t="shared" si="5"/>
        <v>1</v>
      </c>
      <c r="AE18" s="18">
        <f t="shared" si="6"/>
        <v>1</v>
      </c>
    </row>
    <row r="19">
      <c r="A19" s="9">
        <f>IF(E19="","", IF('Global Precios'!B20="",0,'Global Precios'!B20))</f>
        <v>0</v>
      </c>
      <c r="B19" s="14" t="str">
        <f>IF('Global Precios'!B20="","",'Global Precios'!B20)</f>
        <v/>
      </c>
      <c r="C19" s="18">
        <f>IF('Global Precios'!A20="","",'Global Precios'!A20)</f>
        <v>19</v>
      </c>
      <c r="D19" s="18"/>
      <c r="E19" s="25" t="str">
        <f>IF('Global Precios'!D20="","",'Global Precios'!D20)</f>
        <v>Corte de uñas</v>
      </c>
      <c r="F19" s="18"/>
      <c r="G19" s="25">
        <f>IFERROR(VLOOKUP(C19,'BuscarV Stock'!$A$2:$C$478,3,0),"AAA")</f>
        <v>0</v>
      </c>
      <c r="H19" s="25">
        <f t="shared" si="1"/>
        <v>0.21</v>
      </c>
      <c r="I19" s="30">
        <f>IF('Global Precios'!H20="","",'Global Precios'!H20)</f>
        <v>5003.305785</v>
      </c>
      <c r="J19" s="18" t="str">
        <f>IF('Global Precios'!K20="","",'Global Precios'!K20)</f>
        <v/>
      </c>
      <c r="K19" s="30">
        <f>IF('Global Precios'!Z20="Desactivado",0,IF('Global Precios'!L20="","",'Global Precios'!L20))</f>
        <v>6000</v>
      </c>
      <c r="L19" s="18"/>
      <c r="M19" s="18"/>
      <c r="N19" s="18"/>
      <c r="O19" s="18"/>
      <c r="P19" s="18"/>
      <c r="Q19" s="18"/>
      <c r="R19" s="18" t="str">
        <f>IF('Global Precios'!F20="","",'Global Precios'!F20)</f>
        <v>Clinica</v>
      </c>
      <c r="S19" s="18"/>
      <c r="T19" s="18" t="str">
        <f>IF('Global Precios'!E20="","",'Global Precios'!E20)</f>
        <v>Arlekyn</v>
      </c>
      <c r="U19" s="18"/>
      <c r="V19" s="18">
        <f t="shared" si="2"/>
        <v>0</v>
      </c>
      <c r="W19" s="18"/>
      <c r="X19" s="18"/>
      <c r="Y19" s="18"/>
      <c r="Z19" s="18"/>
      <c r="AA19" s="18"/>
      <c r="AB19" s="18">
        <f t="shared" si="3"/>
        <v>1</v>
      </c>
      <c r="AC19" s="18">
        <f t="shared" si="4"/>
        <v>1</v>
      </c>
      <c r="AD19" s="18">
        <f t="shared" si="5"/>
        <v>1</v>
      </c>
      <c r="AE19" s="18">
        <f t="shared" si="6"/>
        <v>1</v>
      </c>
    </row>
    <row r="20">
      <c r="A20" s="9">
        <f>IF(E20="","", IF('Global Precios'!B21="",0,'Global Precios'!B21))</f>
        <v>0</v>
      </c>
      <c r="B20" s="14" t="str">
        <f>IF('Global Precios'!B21="","",'Global Precios'!B21)</f>
        <v/>
      </c>
      <c r="C20" s="18">
        <f>IF('Global Precios'!A21="","",'Global Precios'!A21)</f>
        <v>20</v>
      </c>
      <c r="D20" s="18"/>
      <c r="E20" s="25" t="str">
        <f>IF('Global Precios'!D21="","",'Global Precios'!D21)</f>
        <v>Consulta clinica</v>
      </c>
      <c r="F20" s="18"/>
      <c r="G20" s="25">
        <f>IFERROR(VLOOKUP(C20,'BuscarV Stock'!$A$2:$C$478,3,0),"AAA")</f>
        <v>0</v>
      </c>
      <c r="H20" s="25">
        <f t="shared" si="1"/>
        <v>0.21</v>
      </c>
      <c r="I20" s="30">
        <f>IF('Global Precios'!H21="","",'Global Precios'!H21)</f>
        <v>12143.80165</v>
      </c>
      <c r="J20" s="18" t="str">
        <f>IF('Global Precios'!K21="","",'Global Precios'!K21)</f>
        <v/>
      </c>
      <c r="K20" s="30">
        <f>IF('Global Precios'!Z21="Desactivado",0,IF('Global Precios'!L21="","",'Global Precios'!L21))</f>
        <v>15000</v>
      </c>
      <c r="L20" s="18"/>
      <c r="M20" s="18"/>
      <c r="N20" s="18"/>
      <c r="O20" s="18"/>
      <c r="P20" s="18"/>
      <c r="Q20" s="18"/>
      <c r="R20" s="18" t="str">
        <f>IF('Global Precios'!F21="","",'Global Precios'!F21)</f>
        <v>Clinica</v>
      </c>
      <c r="S20" s="18"/>
      <c r="T20" s="18" t="str">
        <f>IF('Global Precios'!E21="","",'Global Precios'!E21)</f>
        <v>Arlekyn</v>
      </c>
      <c r="U20" s="18"/>
      <c r="V20" s="18">
        <f t="shared" si="2"/>
        <v>0</v>
      </c>
      <c r="W20" s="18"/>
      <c r="X20" s="18"/>
      <c r="Y20" s="18"/>
      <c r="Z20" s="18"/>
      <c r="AA20" s="18"/>
      <c r="AB20" s="18">
        <f t="shared" si="3"/>
        <v>1</v>
      </c>
      <c r="AC20" s="18">
        <f t="shared" si="4"/>
        <v>1</v>
      </c>
      <c r="AD20" s="18">
        <f t="shared" si="5"/>
        <v>1</v>
      </c>
      <c r="AE20" s="18">
        <f t="shared" si="6"/>
        <v>1</v>
      </c>
    </row>
    <row r="21">
      <c r="A21" s="9">
        <f>IF(E21="","", IF('Global Precios'!B22="",0,'Global Precios'!B22))</f>
        <v>12393470</v>
      </c>
      <c r="B21" s="14">
        <f>IF('Global Precios'!B22="","",'Global Precios'!B22)</f>
        <v>12393470</v>
      </c>
      <c r="C21" s="18">
        <f>IF('Global Precios'!A22="","",'Global Precios'!A22)</f>
        <v>21</v>
      </c>
      <c r="D21" s="18"/>
      <c r="E21" s="25" t="str">
        <f>IF('Global Precios'!D22="","",'Global Precios'!D22)</f>
        <v>EXCELLENT PUPPY(r.medianas y grandes) Present:15kg</v>
      </c>
      <c r="F21" s="18"/>
      <c r="G21" s="25">
        <f>IFERROR(VLOOKUP(C21,'BuscarV Stock'!$A$2:$C$478,3,0),"AAA")</f>
        <v>1</v>
      </c>
      <c r="H21" s="25">
        <f t="shared" si="1"/>
        <v>0.21</v>
      </c>
      <c r="I21" s="30">
        <f>IF('Global Precios'!H22="","",'Global Precios'!H22)</f>
        <v>49917.35537</v>
      </c>
      <c r="J21" s="82">
        <f>IF('Global Precios'!K22="","",'Global Precios'!K22)</f>
        <v>0.33</v>
      </c>
      <c r="K21" s="30">
        <f>IF('Global Precios'!Z22="Desactivado",0,IF('Global Precios'!L22="","",'Global Precios'!L22))</f>
        <v>0</v>
      </c>
      <c r="L21" s="18"/>
      <c r="M21" s="18"/>
      <c r="N21" s="18"/>
      <c r="O21" s="18"/>
      <c r="P21" s="18"/>
      <c r="Q21" s="18"/>
      <c r="R21" s="18" t="str">
        <f>IF('Global Precios'!F22="","",'Global Precios'!F22)</f>
        <v>Alimentos</v>
      </c>
      <c r="S21" s="18"/>
      <c r="T21" s="18" t="str">
        <f>IF('Global Precios'!E22="","",'Global Precios'!E22)</f>
        <v>Excellent</v>
      </c>
      <c r="U21" s="18"/>
      <c r="V21" s="18">
        <f t="shared" si="2"/>
        <v>0</v>
      </c>
      <c r="W21" s="18"/>
      <c r="X21" s="18"/>
      <c r="Y21" s="18"/>
      <c r="Z21" s="18"/>
      <c r="AA21" s="18"/>
      <c r="AB21" s="18">
        <f t="shared" si="3"/>
        <v>1</v>
      </c>
      <c r="AC21" s="18">
        <f t="shared" si="4"/>
        <v>1</v>
      </c>
      <c r="AD21" s="18">
        <f t="shared" si="5"/>
        <v>1</v>
      </c>
      <c r="AE21" s="18">
        <f t="shared" si="6"/>
        <v>1</v>
      </c>
    </row>
    <row r="22">
      <c r="A22" s="9">
        <f>IF(E22="","", IF('Global Precios'!B23="",0,'Global Precios'!B23))</f>
        <v>12393468</v>
      </c>
      <c r="B22" s="14">
        <f>IF('Global Precios'!B23="","",'Global Precios'!B23)</f>
        <v>12393468</v>
      </c>
      <c r="C22" s="18">
        <f>IF('Global Precios'!A23="","",'Global Precios'!A23)</f>
        <v>22</v>
      </c>
      <c r="D22" s="18"/>
      <c r="E22" s="25" t="str">
        <f>IF('Global Precios'!D23="","",'Global Precios'!D23)</f>
        <v>EXCELLENT ADULT.(r. medianas y grandes) Pres:15kg</v>
      </c>
      <c r="F22" s="18"/>
      <c r="G22" s="25">
        <f>IFERROR(VLOOKUP(C22,'BuscarV Stock'!$A$2:$C$478,3,0),"AAA")</f>
        <v>2</v>
      </c>
      <c r="H22" s="25">
        <f t="shared" si="1"/>
        <v>0.21</v>
      </c>
      <c r="I22" s="30">
        <f>IF('Global Precios'!H23="","",'Global Precios'!H23)</f>
        <v>17839.66942</v>
      </c>
      <c r="J22" s="82">
        <f>IF('Global Precios'!K23="","",'Global Precios'!K23)</f>
        <v>0.33</v>
      </c>
      <c r="K22" s="30">
        <f>IF('Global Precios'!Z23="Desactivado",0,IF('Global Precios'!L23="","",'Global Precios'!L23))</f>
        <v>0</v>
      </c>
      <c r="L22" s="18"/>
      <c r="M22" s="18"/>
      <c r="N22" s="18"/>
      <c r="O22" s="18"/>
      <c r="P22" s="18"/>
      <c r="Q22" s="18"/>
      <c r="R22" s="18" t="str">
        <f>IF('Global Precios'!F23="","",'Global Precios'!F23)</f>
        <v>Alimentos</v>
      </c>
      <c r="S22" s="18"/>
      <c r="T22" s="18" t="str">
        <f>IF('Global Precios'!E23="","",'Global Precios'!E23)</f>
        <v>Excellent</v>
      </c>
      <c r="U22" s="18"/>
      <c r="V22" s="18">
        <f t="shared" si="2"/>
        <v>0</v>
      </c>
      <c r="W22" s="18"/>
      <c r="X22" s="18"/>
      <c r="Y22" s="18"/>
      <c r="Z22" s="18"/>
      <c r="AA22" s="18"/>
      <c r="AB22" s="18">
        <f t="shared" si="3"/>
        <v>1</v>
      </c>
      <c r="AC22" s="18">
        <f t="shared" si="4"/>
        <v>1</v>
      </c>
      <c r="AD22" s="18">
        <f t="shared" si="5"/>
        <v>1</v>
      </c>
      <c r="AE22" s="18">
        <f t="shared" si="6"/>
        <v>1</v>
      </c>
    </row>
    <row r="23">
      <c r="A23" s="9">
        <f>IF(E23="","", IF('Global Precios'!B24="",0,'Global Precios'!B24))</f>
        <v>12396254</v>
      </c>
      <c r="B23" s="14">
        <f>IF('Global Precios'!B24="","",'Global Precios'!B24)</f>
        <v>12396254</v>
      </c>
      <c r="C23" s="18">
        <f>IF('Global Precios'!A24="","",'Global Precios'!A24)</f>
        <v>23</v>
      </c>
      <c r="D23" s="18"/>
      <c r="E23" s="25" t="str">
        <f>IF('Global Precios'!D24="","",'Global Precios'!D24)</f>
        <v>EXCELLENT KITTEN Present: 7,5kg</v>
      </c>
      <c r="F23" s="18"/>
      <c r="G23" s="25">
        <f>IFERROR(VLOOKUP(C23,'BuscarV Stock'!$A$2:$C$478,3,0),"AAA")</f>
        <v>1</v>
      </c>
      <c r="H23" s="25">
        <f t="shared" si="1"/>
        <v>0.21</v>
      </c>
      <c r="I23" s="30">
        <f>IF('Global Precios'!H24="","",'Global Precios'!H24)</f>
        <v>43636.36364</v>
      </c>
      <c r="J23" s="82">
        <f>IF('Global Precios'!K24="","",'Global Precios'!K24)</f>
        <v>0.33</v>
      </c>
      <c r="K23" s="30">
        <f>IF('Global Precios'!Z24="Desactivado",0,IF('Global Precios'!L24="","",'Global Precios'!L24))</f>
        <v>66000</v>
      </c>
      <c r="L23" s="18"/>
      <c r="M23" s="18"/>
      <c r="N23" s="18"/>
      <c r="O23" s="18"/>
      <c r="P23" s="18"/>
      <c r="Q23" s="18"/>
      <c r="R23" s="18" t="str">
        <f>IF('Global Precios'!F24="","",'Global Precios'!F24)</f>
        <v>Alimentos</v>
      </c>
      <c r="S23" s="18"/>
      <c r="T23" s="18" t="str">
        <f>IF('Global Precios'!E24="","",'Global Precios'!E24)</f>
        <v>Excellent</v>
      </c>
      <c r="U23" s="18"/>
      <c r="V23" s="18">
        <f t="shared" si="2"/>
        <v>0</v>
      </c>
      <c r="W23" s="18"/>
      <c r="X23" s="18"/>
      <c r="Y23" s="18"/>
      <c r="Z23" s="18"/>
      <c r="AA23" s="18"/>
      <c r="AB23" s="18">
        <f t="shared" si="3"/>
        <v>1</v>
      </c>
      <c r="AC23" s="18">
        <f t="shared" si="4"/>
        <v>1</v>
      </c>
      <c r="AD23" s="18">
        <f t="shared" si="5"/>
        <v>1</v>
      </c>
      <c r="AE23" s="18">
        <f t="shared" si="6"/>
        <v>1</v>
      </c>
    </row>
    <row r="24">
      <c r="A24" s="9">
        <f>IF(E24="","", IF('Global Precios'!B25="",0,'Global Precios'!B25))</f>
        <v>12396142</v>
      </c>
      <c r="B24" s="14">
        <f>IF('Global Precios'!B25="","",'Global Precios'!B25)</f>
        <v>12396142</v>
      </c>
      <c r="C24" s="18">
        <f>IF('Global Precios'!A25="","",'Global Precios'!A25)</f>
        <v>24</v>
      </c>
      <c r="D24" s="18"/>
      <c r="E24" s="25" t="str">
        <f>IF('Global Precios'!D25="","",'Global Precios'!D25)</f>
        <v>EXCELLENT ADULT CAT Present: 7,5kg</v>
      </c>
      <c r="F24" s="18"/>
      <c r="G24" s="25">
        <f>IFERROR(VLOOKUP(C24,'BuscarV Stock'!$A$2:$C$478,3,0),"AAA")</f>
        <v>2</v>
      </c>
      <c r="H24" s="25">
        <f t="shared" si="1"/>
        <v>0.21</v>
      </c>
      <c r="I24" s="30">
        <f>IF('Global Precios'!H25="","",'Global Precios'!H25)</f>
        <v>39421.4876</v>
      </c>
      <c r="J24" s="82">
        <f>IF('Global Precios'!K25="","",'Global Precios'!K25)</f>
        <v>0.33</v>
      </c>
      <c r="K24" s="30">
        <f>IF('Global Precios'!Z25="Desactivado",0,IF('Global Precios'!L25="","",'Global Precios'!L25))</f>
        <v>59000</v>
      </c>
      <c r="L24" s="18"/>
      <c r="M24" s="18"/>
      <c r="N24" s="18"/>
      <c r="O24" s="18"/>
      <c r="P24" s="18"/>
      <c r="Q24" s="18"/>
      <c r="R24" s="18" t="str">
        <f>IF('Global Precios'!F25="","",'Global Precios'!F25)</f>
        <v>Alimentos</v>
      </c>
      <c r="S24" s="18"/>
      <c r="T24" s="18" t="str">
        <f>IF('Global Precios'!E25="","",'Global Precios'!E25)</f>
        <v>Excellent</v>
      </c>
      <c r="U24" s="18"/>
      <c r="V24" s="18">
        <f t="shared" si="2"/>
        <v>0</v>
      </c>
      <c r="W24" s="18"/>
      <c r="X24" s="18"/>
      <c r="Y24" s="18"/>
      <c r="Z24" s="18"/>
      <c r="AA24" s="18"/>
      <c r="AB24" s="18">
        <f t="shared" si="3"/>
        <v>1</v>
      </c>
      <c r="AC24" s="18">
        <f t="shared" si="4"/>
        <v>1</v>
      </c>
      <c r="AD24" s="18">
        <f t="shared" si="5"/>
        <v>1</v>
      </c>
      <c r="AE24" s="18">
        <f t="shared" si="6"/>
        <v>1</v>
      </c>
    </row>
    <row r="25">
      <c r="A25" s="9">
        <f>IF(E25="","", IF('Global Precios'!B26="",0,'Global Precios'!B26))</f>
        <v>12376707</v>
      </c>
      <c r="B25" s="14">
        <f>IF('Global Precios'!B26="","",'Global Precios'!B26)</f>
        <v>12376707</v>
      </c>
      <c r="C25" s="18">
        <f>IF('Global Precios'!A26="","",'Global Precios'!A26)</f>
        <v>25</v>
      </c>
      <c r="D25" s="18"/>
      <c r="E25" s="25" t="str">
        <f>IF('Global Precios'!D26="","",'Global Precios'!D26)</f>
        <v>TIDY CATS Piedra Convencional 2KG</v>
      </c>
      <c r="F25" s="18"/>
      <c r="G25" s="25">
        <f>IFERROR(VLOOKUP(C25,'BuscarV Stock'!$A$2:$C$478,3,0),"AAA")</f>
        <v>0</v>
      </c>
      <c r="H25" s="25">
        <f t="shared" si="1"/>
        <v>0.21</v>
      </c>
      <c r="I25" s="30">
        <f>IF('Global Precios'!H26="","",'Global Precios'!H26)</f>
        <v>435</v>
      </c>
      <c r="J25" s="82">
        <f>IF('Global Precios'!K26="","",'Global Precios'!K26)</f>
        <v>0.5</v>
      </c>
      <c r="K25" s="30">
        <f>IF('Global Precios'!Z26="Desactivado",0,IF('Global Precios'!L26="","",'Global Precios'!L26))</f>
        <v>0</v>
      </c>
      <c r="L25" s="18"/>
      <c r="M25" s="18"/>
      <c r="N25" s="18"/>
      <c r="O25" s="18"/>
      <c r="P25" s="18"/>
      <c r="Q25" s="18"/>
      <c r="R25" s="18" t="str">
        <f>IF('Global Precios'!F26="","",'Global Precios'!F26)</f>
        <v>Pet-shop</v>
      </c>
      <c r="S25" s="18"/>
      <c r="T25" s="18" t="str">
        <f>IF('Global Precios'!E26="","",'Global Precios'!E26)</f>
        <v>Tidy Cats</v>
      </c>
      <c r="U25" s="18"/>
      <c r="V25" s="18">
        <f t="shared" si="2"/>
        <v>0</v>
      </c>
      <c r="W25" s="18"/>
      <c r="X25" s="18"/>
      <c r="Y25" s="18"/>
      <c r="Z25" s="18"/>
      <c r="AA25" s="18"/>
      <c r="AB25" s="18">
        <f t="shared" si="3"/>
        <v>1</v>
      </c>
      <c r="AC25" s="18">
        <f t="shared" si="4"/>
        <v>1</v>
      </c>
      <c r="AD25" s="18">
        <f t="shared" si="5"/>
        <v>1</v>
      </c>
      <c r="AE25" s="18">
        <f t="shared" si="6"/>
        <v>1</v>
      </c>
    </row>
    <row r="26">
      <c r="A26" s="9">
        <f>IF(E26="","", IF('Global Precios'!B27="",0,'Global Precios'!B27))</f>
        <v>12434296</v>
      </c>
      <c r="B26" s="14">
        <f>IF('Global Precios'!B27="","",'Global Precios'!B27)</f>
        <v>12434296</v>
      </c>
      <c r="C26" s="18">
        <f>IF('Global Precios'!A27="","",'Global Precios'!A27)</f>
        <v>26</v>
      </c>
      <c r="D26" s="18"/>
      <c r="E26" s="25" t="str">
        <f>IF('Global Precios'!D27="","",'Global Precios'!D27)</f>
        <v>FELIX Sensaciones de Pez x sobre de 0.85 g</v>
      </c>
      <c r="F26" s="18"/>
      <c r="G26" s="25">
        <f>IFERROR(VLOOKUP(C26,'BuscarV Stock'!$A$2:$C$478,3,0),"AAA")</f>
        <v>26</v>
      </c>
      <c r="H26" s="25">
        <f t="shared" si="1"/>
        <v>0.21</v>
      </c>
      <c r="I26" s="30">
        <f>IF('Global Precios'!H27="","",'Global Precios'!H27)</f>
        <v>684.2975207</v>
      </c>
      <c r="J26" s="82">
        <f>IF('Global Precios'!K27="","",'Global Precios'!K27)</f>
        <v>0.4</v>
      </c>
      <c r="K26" s="30">
        <f>IF('Global Precios'!Z27="Desactivado",0,IF('Global Precios'!L27="","",'Global Precios'!L27))</f>
        <v>0</v>
      </c>
      <c r="L26" s="18"/>
      <c r="M26" s="18"/>
      <c r="N26" s="18"/>
      <c r="O26" s="18"/>
      <c r="P26" s="18"/>
      <c r="Q26" s="18"/>
      <c r="R26" s="18" t="str">
        <f>IF('Global Precios'!F27="","",'Global Precios'!F27)</f>
        <v>Alimentos</v>
      </c>
      <c r="S26" s="18"/>
      <c r="T26" s="18" t="str">
        <f>IF('Global Precios'!E27="","",'Global Precios'!E27)</f>
        <v>Excellent</v>
      </c>
      <c r="U26" s="18"/>
      <c r="V26" s="18">
        <f t="shared" si="2"/>
        <v>0</v>
      </c>
      <c r="W26" s="18"/>
      <c r="X26" s="18"/>
      <c r="Y26" s="18"/>
      <c r="Z26" s="18"/>
      <c r="AA26" s="18"/>
      <c r="AB26" s="18">
        <f t="shared" si="3"/>
        <v>1</v>
      </c>
      <c r="AC26" s="18">
        <f t="shared" si="4"/>
        <v>1</v>
      </c>
      <c r="AD26" s="18">
        <f t="shared" si="5"/>
        <v>1</v>
      </c>
      <c r="AE26" s="18">
        <f t="shared" si="6"/>
        <v>1</v>
      </c>
    </row>
    <row r="27">
      <c r="A27" s="9" t="str">
        <f>IF(E27="","", IF('Global Precios'!B28="",0,'Global Precios'!B28))</f>
        <v>YPATT17</v>
      </c>
      <c r="B27" s="14" t="str">
        <f>IF('Global Precios'!B28="","",'Global Precios'!B28)</f>
        <v>YPATT17</v>
      </c>
      <c r="C27" s="18">
        <f>IF('Global Precios'!A28="","",'Global Precios'!A28)</f>
        <v>27</v>
      </c>
      <c r="D27" s="18"/>
      <c r="E27" s="25" t="str">
        <f>IF('Global Precios'!D28="","",'Global Precios'!D28)</f>
        <v>YENU ADULTO(todos los t.) Present: 17kg</v>
      </c>
      <c r="F27" s="18"/>
      <c r="G27" s="25">
        <f>IFERROR(VLOOKUP(C27,'BuscarV Stock'!$A$2:$C$478,3,0),"AAA")</f>
        <v>0</v>
      </c>
      <c r="H27" s="25">
        <f t="shared" si="1"/>
        <v>0.21</v>
      </c>
      <c r="I27" s="30">
        <f>IF('Global Precios'!H28="","",'Global Precios'!H28)</f>
        <v>3016.528926</v>
      </c>
      <c r="J27" s="82">
        <f>IF('Global Precios'!K28="","",'Global Precios'!K28)</f>
        <v>0.34</v>
      </c>
      <c r="K27" s="30">
        <f>IF('Global Precios'!Z28="Desactivado",0,IF('Global Precios'!L28="","",'Global Precios'!L28))</f>
        <v>0</v>
      </c>
      <c r="L27" s="18"/>
      <c r="M27" s="18"/>
      <c r="N27" s="18"/>
      <c r="O27" s="18"/>
      <c r="P27" s="18"/>
      <c r="Q27" s="18"/>
      <c r="R27" s="18" t="str">
        <f>IF('Global Precios'!F28="","",'Global Precios'!F28)</f>
        <v>Alimentos</v>
      </c>
      <c r="S27" s="18"/>
      <c r="T27" s="18" t="str">
        <f>IF('Global Precios'!E28="","",'Global Precios'!E28)</f>
        <v>YENU</v>
      </c>
      <c r="U27" s="18"/>
      <c r="V27" s="18">
        <f t="shared" si="2"/>
        <v>0</v>
      </c>
      <c r="W27" s="18"/>
      <c r="X27" s="18"/>
      <c r="Y27" s="18"/>
      <c r="Z27" s="18"/>
      <c r="AA27" s="18"/>
      <c r="AB27" s="18">
        <f t="shared" si="3"/>
        <v>1</v>
      </c>
      <c r="AC27" s="18">
        <f t="shared" si="4"/>
        <v>1</v>
      </c>
      <c r="AD27" s="18">
        <f t="shared" si="5"/>
        <v>1</v>
      </c>
      <c r="AE27" s="18">
        <f t="shared" si="6"/>
        <v>1</v>
      </c>
    </row>
    <row r="28">
      <c r="A28" s="9" t="str">
        <f>IF(E28="","", IF('Global Precios'!B29="",0,'Global Precios'!B29))</f>
        <v>YPAMP3</v>
      </c>
      <c r="B28" s="14" t="str">
        <f>IF('Global Precios'!B29="","",'Global Precios'!B29)</f>
        <v>YPAMP3</v>
      </c>
      <c r="C28" s="18">
        <f>IF('Global Precios'!A29="","",'Global Precios'!A29)</f>
        <v>28</v>
      </c>
      <c r="D28" s="18"/>
      <c r="E28" s="25" t="str">
        <f>IF('Global Precios'!D29="","",'Global Precios'!D29)</f>
        <v>YENU ADULTO M.P Present: 3kg</v>
      </c>
      <c r="F28" s="18"/>
      <c r="G28" s="25">
        <f>IFERROR(VLOOKUP(C28,'BuscarV Stock'!$A$2:$C$478,3,0),"AAA")</f>
        <v>0</v>
      </c>
      <c r="H28" s="25">
        <f t="shared" si="1"/>
        <v>0.21</v>
      </c>
      <c r="I28" s="30">
        <f>IF('Global Precios'!H29="","",'Global Precios'!H29)</f>
        <v>826.446281</v>
      </c>
      <c r="J28" s="82">
        <f>IF('Global Precios'!K29="","",'Global Precios'!K29)</f>
        <v>0.34</v>
      </c>
      <c r="K28" s="30">
        <f>IF('Global Precios'!Z29="Desactivado",0,IF('Global Precios'!L29="","",'Global Precios'!L29))</f>
        <v>0</v>
      </c>
      <c r="L28" s="18"/>
      <c r="M28" s="18"/>
      <c r="N28" s="18"/>
      <c r="O28" s="18"/>
      <c r="P28" s="18"/>
      <c r="Q28" s="18"/>
      <c r="R28" s="18" t="str">
        <f>IF('Global Precios'!F29="","",'Global Precios'!F29)</f>
        <v>Alimentos</v>
      </c>
      <c r="S28" s="18"/>
      <c r="T28" s="18" t="str">
        <f>IF('Global Precios'!E29="","",'Global Precios'!E29)</f>
        <v>YENU</v>
      </c>
      <c r="U28" s="18"/>
      <c r="V28" s="18">
        <f t="shared" si="2"/>
        <v>0</v>
      </c>
      <c r="W28" s="18"/>
      <c r="X28" s="18"/>
      <c r="Y28" s="18"/>
      <c r="Z28" s="18"/>
      <c r="AA28" s="18"/>
      <c r="AB28" s="18">
        <f t="shared" si="3"/>
        <v>1</v>
      </c>
      <c r="AC28" s="18">
        <f t="shared" si="4"/>
        <v>1</v>
      </c>
      <c r="AD28" s="18">
        <f t="shared" si="5"/>
        <v>1</v>
      </c>
      <c r="AE28" s="18">
        <f t="shared" si="6"/>
        <v>1</v>
      </c>
    </row>
    <row r="29">
      <c r="A29" s="9" t="str">
        <f>IF(E29="","", IF('Global Precios'!B30="",0,'Global Precios'!B30))</f>
        <v>YPCTT10</v>
      </c>
      <c r="B29" s="14" t="str">
        <f>IF('Global Precios'!B30="","",'Global Precios'!B30)</f>
        <v>YPCTT10</v>
      </c>
      <c r="C29" s="18">
        <f>IF('Global Precios'!A30="","",'Global Precios'!A30)</f>
        <v>29</v>
      </c>
      <c r="D29" s="18"/>
      <c r="E29" s="25" t="str">
        <f>IF('Global Precios'!D30="","",'Global Precios'!D30)</f>
        <v>YENU CACHORROS(todos los t) Present: 10kg</v>
      </c>
      <c r="F29" s="18"/>
      <c r="G29" s="25">
        <f>IFERROR(VLOOKUP(C29,'BuscarV Stock'!$A$2:$C$478,3,0),"AAA")</f>
        <v>1</v>
      </c>
      <c r="H29" s="25">
        <f t="shared" si="1"/>
        <v>0.21</v>
      </c>
      <c r="I29" s="30">
        <f>IF('Global Precios'!H30="","",'Global Precios'!H30)</f>
        <v>2190.082645</v>
      </c>
      <c r="J29" s="82">
        <f>IF('Global Precios'!K30="","",'Global Precios'!K30)</f>
        <v>0.34</v>
      </c>
      <c r="K29" s="30">
        <f>IF('Global Precios'!Z30="Desactivado",0,IF('Global Precios'!L30="","",'Global Precios'!L30))</f>
        <v>0</v>
      </c>
      <c r="L29" s="18"/>
      <c r="M29" s="18"/>
      <c r="N29" s="18"/>
      <c r="O29" s="18"/>
      <c r="P29" s="18"/>
      <c r="Q29" s="18"/>
      <c r="R29" s="18" t="str">
        <f>IF('Global Precios'!F30="","",'Global Precios'!F30)</f>
        <v>Alimentos</v>
      </c>
      <c r="S29" s="18"/>
      <c r="T29" s="18" t="str">
        <f>IF('Global Precios'!E30="","",'Global Precios'!E30)</f>
        <v>YENU</v>
      </c>
      <c r="U29" s="18"/>
      <c r="V29" s="18">
        <f t="shared" si="2"/>
        <v>0</v>
      </c>
      <c r="W29" s="18"/>
      <c r="X29" s="18"/>
      <c r="Y29" s="18"/>
      <c r="Z29" s="18"/>
      <c r="AA29" s="18"/>
      <c r="AB29" s="18">
        <f t="shared" si="3"/>
        <v>1</v>
      </c>
      <c r="AC29" s="18">
        <f t="shared" si="4"/>
        <v>1</v>
      </c>
      <c r="AD29" s="18">
        <f t="shared" si="5"/>
        <v>1</v>
      </c>
      <c r="AE29" s="18">
        <f t="shared" si="6"/>
        <v>1</v>
      </c>
    </row>
    <row r="30">
      <c r="A30" s="9" t="str">
        <f>IF(E30="","", IF('Global Precios'!B31="",0,'Global Precios'!B31))</f>
        <v>YPCMP3</v>
      </c>
      <c r="B30" s="14" t="str">
        <f>IF('Global Precios'!B31="","",'Global Precios'!B31)</f>
        <v>YPCMP3</v>
      </c>
      <c r="C30" s="18">
        <f>IF('Global Precios'!A31="","",'Global Precios'!A31)</f>
        <v>30</v>
      </c>
      <c r="D30" s="18"/>
      <c r="E30" s="25" t="str">
        <f>IF('Global Precios'!D31="","",'Global Precios'!D31)</f>
        <v>YENU CACHORROS M.P Present: 3kg</v>
      </c>
      <c r="F30" s="18"/>
      <c r="G30" s="25">
        <f>IFERROR(VLOOKUP(C30,'BuscarV Stock'!$A$2:$C$478,3,0),"AAA")</f>
        <v>0</v>
      </c>
      <c r="H30" s="25">
        <f t="shared" si="1"/>
        <v>0.21</v>
      </c>
      <c r="I30" s="30">
        <f>IF('Global Precios'!H31="","",'Global Precios'!H31)</f>
        <v>867.768595</v>
      </c>
      <c r="J30" s="82">
        <f>IF('Global Precios'!K31="","",'Global Precios'!K31)</f>
        <v>0.34</v>
      </c>
      <c r="K30" s="30">
        <f>IF('Global Precios'!Z31="Desactivado",0,IF('Global Precios'!L31="","",'Global Precios'!L31))</f>
        <v>0</v>
      </c>
      <c r="L30" s="18"/>
      <c r="M30" s="18"/>
      <c r="N30" s="18"/>
      <c r="O30" s="18"/>
      <c r="P30" s="18"/>
      <c r="Q30" s="18"/>
      <c r="R30" s="18" t="str">
        <f>IF('Global Precios'!F31="","",'Global Precios'!F31)</f>
        <v>Alimentos</v>
      </c>
      <c r="S30" s="18"/>
      <c r="T30" s="18" t="str">
        <f>IF('Global Precios'!E31="","",'Global Precios'!E31)</f>
        <v>YENU</v>
      </c>
      <c r="U30" s="18"/>
      <c r="V30" s="18">
        <f t="shared" si="2"/>
        <v>0</v>
      </c>
      <c r="W30" s="18"/>
      <c r="X30" s="18"/>
      <c r="Y30" s="18"/>
      <c r="Z30" s="18"/>
      <c r="AA30" s="18"/>
      <c r="AB30" s="18">
        <f t="shared" si="3"/>
        <v>1</v>
      </c>
      <c r="AC30" s="18">
        <f t="shared" si="4"/>
        <v>1</v>
      </c>
      <c r="AD30" s="18">
        <f t="shared" si="5"/>
        <v>1</v>
      </c>
      <c r="AE30" s="18">
        <f t="shared" si="6"/>
        <v>1</v>
      </c>
    </row>
    <row r="31">
      <c r="A31" s="9" t="str">
        <f>IF(E31="","", IF('Global Precios'!B32="",0,'Global Precios'!B32))</f>
        <v>YGA7</v>
      </c>
      <c r="B31" s="14" t="str">
        <f>IF('Global Precios'!B32="","",'Global Precios'!B32)</f>
        <v>YGA7</v>
      </c>
      <c r="C31" s="18">
        <f>IF('Global Precios'!A32="","",'Global Precios'!A32)</f>
        <v>31</v>
      </c>
      <c r="D31" s="18"/>
      <c r="E31" s="25" t="str">
        <f>IF('Global Precios'!D32="","",'Global Precios'!D32)</f>
        <v>YENU GATOS ADULTOS Present: 7,5kg</v>
      </c>
      <c r="F31" s="18"/>
      <c r="G31" s="25">
        <f>IFERROR(VLOOKUP(C31,'BuscarV Stock'!$A$2:$C$478,3,0),"AAA")</f>
        <v>0</v>
      </c>
      <c r="H31" s="25">
        <f t="shared" si="1"/>
        <v>0.21</v>
      </c>
      <c r="I31" s="30">
        <f>IF('Global Precios'!H32="","",'Global Precios'!H32)</f>
        <v>2438.016529</v>
      </c>
      <c r="J31" s="82">
        <f>IF('Global Precios'!K32="","",'Global Precios'!K32)</f>
        <v>0.34</v>
      </c>
      <c r="K31" s="30">
        <f>IF('Global Precios'!Z32="Desactivado",0,IF('Global Precios'!L32="","",'Global Precios'!L32))</f>
        <v>0</v>
      </c>
      <c r="L31" s="18"/>
      <c r="M31" s="18"/>
      <c r="N31" s="18"/>
      <c r="O31" s="18"/>
      <c r="P31" s="18"/>
      <c r="Q31" s="18"/>
      <c r="R31" s="18" t="str">
        <f>IF('Global Precios'!F32="","",'Global Precios'!F32)</f>
        <v>Alimentos</v>
      </c>
      <c r="S31" s="18"/>
      <c r="T31" s="18" t="str">
        <f>IF('Global Precios'!E32="","",'Global Precios'!E32)</f>
        <v>YENU</v>
      </c>
      <c r="U31" s="18"/>
      <c r="V31" s="18">
        <f t="shared" si="2"/>
        <v>0</v>
      </c>
      <c r="W31" s="18"/>
      <c r="X31" s="18"/>
      <c r="Y31" s="18"/>
      <c r="Z31" s="18"/>
      <c r="AA31" s="18"/>
      <c r="AB31" s="18">
        <f t="shared" si="3"/>
        <v>1</v>
      </c>
      <c r="AC31" s="18">
        <f t="shared" si="4"/>
        <v>1</v>
      </c>
      <c r="AD31" s="18">
        <f t="shared" si="5"/>
        <v>1</v>
      </c>
      <c r="AE31" s="18">
        <f t="shared" si="6"/>
        <v>1</v>
      </c>
    </row>
    <row r="32">
      <c r="A32" s="9" t="str">
        <f>IF(E32="","", IF('Global Precios'!B33="",0,'Global Precios'!B33))</f>
        <v>YGC7</v>
      </c>
      <c r="B32" s="14" t="str">
        <f>IF('Global Precios'!B33="","",'Global Precios'!B33)</f>
        <v>YGC7</v>
      </c>
      <c r="C32" s="18">
        <f>IF('Global Precios'!A33="","",'Global Precios'!A33)</f>
        <v>32</v>
      </c>
      <c r="D32" s="18"/>
      <c r="E32" s="25" t="str">
        <f>IF('Global Precios'!D33="","",'Global Precios'!D33)</f>
        <v>YENU GATOS CACHORROS Present: 7,5kg</v>
      </c>
      <c r="F32" s="18"/>
      <c r="G32" s="25">
        <f>IFERROR(VLOOKUP(C32,'BuscarV Stock'!$A$2:$C$478,3,0),"AAA")</f>
        <v>0</v>
      </c>
      <c r="H32" s="25">
        <f t="shared" si="1"/>
        <v>0.21</v>
      </c>
      <c r="I32" s="30">
        <f>IF('Global Precios'!H33="","",'Global Precios'!H33)</f>
        <v>2619.834711</v>
      </c>
      <c r="J32" s="82">
        <f>IF('Global Precios'!K33="","",'Global Precios'!K33)</f>
        <v>0.34</v>
      </c>
      <c r="K32" s="30">
        <f>IF('Global Precios'!Z33="Desactivado",0,IF('Global Precios'!L33="","",'Global Precios'!L33))</f>
        <v>0</v>
      </c>
      <c r="L32" s="18"/>
      <c r="M32" s="18"/>
      <c r="N32" s="18"/>
      <c r="O32" s="18"/>
      <c r="P32" s="18"/>
      <c r="Q32" s="18"/>
      <c r="R32" s="18" t="str">
        <f>IF('Global Precios'!F33="","",'Global Precios'!F33)</f>
        <v>Alimentos</v>
      </c>
      <c r="S32" s="18"/>
      <c r="T32" s="18" t="str">
        <f>IF('Global Precios'!E33="","",'Global Precios'!E33)</f>
        <v>YENU</v>
      </c>
      <c r="U32" s="18"/>
      <c r="V32" s="18">
        <f t="shared" si="2"/>
        <v>0</v>
      </c>
      <c r="W32" s="18"/>
      <c r="X32" s="18"/>
      <c r="Y32" s="18"/>
      <c r="Z32" s="18"/>
      <c r="AA32" s="18"/>
      <c r="AB32" s="18">
        <f t="shared" si="3"/>
        <v>1</v>
      </c>
      <c r="AC32" s="18">
        <f t="shared" si="4"/>
        <v>1</v>
      </c>
      <c r="AD32" s="18">
        <f t="shared" si="5"/>
        <v>1</v>
      </c>
      <c r="AE32" s="18">
        <f t="shared" si="6"/>
        <v>1</v>
      </c>
    </row>
    <row r="33">
      <c r="A33" s="9">
        <f>IF(E33="","", IF('Global Precios'!B34="",0,'Global Precios'!B34))</f>
        <v>0</v>
      </c>
      <c r="B33" s="14" t="str">
        <f>IF('Global Precios'!B34="","",'Global Precios'!B34)</f>
        <v/>
      </c>
      <c r="C33" s="18">
        <f>IF('Global Precios'!A34="","",'Global Precios'!A34)</f>
        <v>33</v>
      </c>
      <c r="D33" s="18"/>
      <c r="E33" s="25" t="str">
        <f>IF('Global Precios'!D34="","",'Global Precios'!D34)</f>
        <v>AGILITY ADULTO Present: 15kg</v>
      </c>
      <c r="F33" s="18"/>
      <c r="G33" s="25">
        <f>IFERROR(VLOOKUP(C33,'BuscarV Stock'!$A$2:$C$478,3,0),"AAA")</f>
        <v>0</v>
      </c>
      <c r="H33" s="25">
        <f t="shared" si="1"/>
        <v>0.21</v>
      </c>
      <c r="I33" s="30">
        <f>IF('Global Precios'!H34="","",'Global Precios'!H34)</f>
        <v>7423.966942</v>
      </c>
      <c r="J33" s="82">
        <f>IF('Global Precios'!K34="","",'Global Precios'!K34)</f>
        <v>0.33</v>
      </c>
      <c r="K33" s="30">
        <f>IF('Global Precios'!Z34="Desactivado",0,IF('Global Precios'!L34="","",'Global Precios'!L34))</f>
        <v>0</v>
      </c>
      <c r="L33" s="18"/>
      <c r="M33" s="18"/>
      <c r="N33" s="18"/>
      <c r="O33" s="18"/>
      <c r="P33" s="18"/>
      <c r="Q33" s="18"/>
      <c r="R33" s="18" t="str">
        <f>IF('Global Precios'!F34="","",'Global Precios'!F34)</f>
        <v>Alimentos</v>
      </c>
      <c r="S33" s="18"/>
      <c r="T33" s="18" t="str">
        <f>IF('Global Precios'!E34="","",'Global Precios'!E34)</f>
        <v>Agility</v>
      </c>
      <c r="U33" s="18"/>
      <c r="V33" s="18">
        <f t="shared" si="2"/>
        <v>0</v>
      </c>
      <c r="W33" s="18"/>
      <c r="X33" s="18"/>
      <c r="Y33" s="18"/>
      <c r="Z33" s="18"/>
      <c r="AA33" s="18"/>
      <c r="AB33" s="18">
        <f t="shared" si="3"/>
        <v>1</v>
      </c>
      <c r="AC33" s="18">
        <f t="shared" si="4"/>
        <v>1</v>
      </c>
      <c r="AD33" s="18">
        <f t="shared" si="5"/>
        <v>1</v>
      </c>
      <c r="AE33" s="18">
        <f t="shared" si="6"/>
        <v>1</v>
      </c>
    </row>
    <row r="34">
      <c r="A34" s="9">
        <f>IF(E34="","", IF('Global Precios'!B35="",0,'Global Precios'!B35))</f>
        <v>0</v>
      </c>
      <c r="B34" s="14" t="str">
        <f>IF('Global Precios'!B35="","",'Global Precios'!B35)</f>
        <v/>
      </c>
      <c r="C34" s="18">
        <f>IF('Global Precios'!A35="","",'Global Precios'!A35)</f>
        <v>34</v>
      </c>
      <c r="D34" s="18"/>
      <c r="E34" s="25" t="str">
        <f>IF('Global Precios'!D35="","",'Global Precios'!D35)</f>
        <v>AGILITY ADULTO Present: 20kg</v>
      </c>
      <c r="F34" s="18"/>
      <c r="G34" s="25">
        <f>IFERROR(VLOOKUP(C34,'BuscarV Stock'!$A$2:$C$478,3,0),"AAA")</f>
        <v>0</v>
      </c>
      <c r="H34" s="25">
        <f t="shared" si="1"/>
        <v>0.21</v>
      </c>
      <c r="I34" s="30">
        <f>IF('Global Precios'!H35="","",'Global Precios'!H35)</f>
        <v>8347.107438</v>
      </c>
      <c r="J34" s="82">
        <f>IF('Global Precios'!K35="","",'Global Precios'!K35)</f>
        <v>0.33</v>
      </c>
      <c r="K34" s="30">
        <f>IF('Global Precios'!Z35="Desactivado",0,IF('Global Precios'!L35="","",'Global Precios'!L35))</f>
        <v>0</v>
      </c>
      <c r="L34" s="18"/>
      <c r="M34" s="18"/>
      <c r="N34" s="18"/>
      <c r="O34" s="18"/>
      <c r="P34" s="18"/>
      <c r="Q34" s="18"/>
      <c r="R34" s="18" t="str">
        <f>IF('Global Precios'!F35="","",'Global Precios'!F35)</f>
        <v>Alimentos</v>
      </c>
      <c r="S34" s="18"/>
      <c r="T34" s="18" t="str">
        <f>IF('Global Precios'!E35="","",'Global Precios'!E35)</f>
        <v>Agility</v>
      </c>
      <c r="U34" s="18"/>
      <c r="V34" s="18">
        <f t="shared" si="2"/>
        <v>0</v>
      </c>
      <c r="W34" s="18"/>
      <c r="X34" s="18"/>
      <c r="Y34" s="18"/>
      <c r="Z34" s="18"/>
      <c r="AA34" s="18"/>
      <c r="AB34" s="18">
        <f t="shared" si="3"/>
        <v>1</v>
      </c>
      <c r="AC34" s="18">
        <f t="shared" si="4"/>
        <v>1</v>
      </c>
      <c r="AD34" s="18">
        <f t="shared" si="5"/>
        <v>1</v>
      </c>
      <c r="AE34" s="18">
        <f t="shared" si="6"/>
        <v>1</v>
      </c>
    </row>
    <row r="35">
      <c r="A35" s="9">
        <f>IF(E35="","", IF('Global Precios'!B36="",0,'Global Precios'!B36))</f>
        <v>0</v>
      </c>
      <c r="B35" s="14" t="str">
        <f>IF('Global Precios'!B36="","",'Global Precios'!B36)</f>
        <v/>
      </c>
      <c r="C35" s="18">
        <f>IF('Global Precios'!A36="","",'Global Precios'!A36)</f>
        <v>35</v>
      </c>
      <c r="D35" s="18"/>
      <c r="E35" s="25" t="str">
        <f>IF('Global Precios'!D36="","",'Global Precios'!D36)</f>
        <v>AGILITY CACHORROS Present: 15kg</v>
      </c>
      <c r="F35" s="18"/>
      <c r="G35" s="25">
        <f>IFERROR(VLOOKUP(C35,'BuscarV Stock'!$A$2:$C$478,3,0),"AAA")</f>
        <v>1</v>
      </c>
      <c r="H35" s="25">
        <f t="shared" si="1"/>
        <v>0.21</v>
      </c>
      <c r="I35" s="30">
        <f>IF('Global Precios'!H36="","",'Global Precios'!H36)</f>
        <v>7589.256198</v>
      </c>
      <c r="J35" s="82">
        <f>IF('Global Precios'!K36="","",'Global Precios'!K36)</f>
        <v>0.33</v>
      </c>
      <c r="K35" s="30">
        <f>IF('Global Precios'!Z36="Desactivado",0,IF('Global Precios'!L36="","",'Global Precios'!L36))</f>
        <v>0</v>
      </c>
      <c r="L35" s="18"/>
      <c r="M35" s="18"/>
      <c r="N35" s="18"/>
      <c r="O35" s="18"/>
      <c r="P35" s="18"/>
      <c r="Q35" s="18"/>
      <c r="R35" s="18" t="str">
        <f>IF('Global Precios'!F36="","",'Global Precios'!F36)</f>
        <v>Alimentos</v>
      </c>
      <c r="S35" s="18"/>
      <c r="T35" s="18" t="str">
        <f>IF('Global Precios'!E36="","",'Global Precios'!E36)</f>
        <v>Agility</v>
      </c>
      <c r="U35" s="18"/>
      <c r="V35" s="18">
        <f t="shared" si="2"/>
        <v>0</v>
      </c>
      <c r="W35" s="18"/>
      <c r="X35" s="18"/>
      <c r="Y35" s="18"/>
      <c r="Z35" s="18"/>
      <c r="AA35" s="18"/>
      <c r="AB35" s="18">
        <f t="shared" si="3"/>
        <v>1</v>
      </c>
      <c r="AC35" s="18">
        <f t="shared" si="4"/>
        <v>1</v>
      </c>
      <c r="AD35" s="18">
        <f t="shared" si="5"/>
        <v>1</v>
      </c>
      <c r="AE35" s="18">
        <f t="shared" si="6"/>
        <v>1</v>
      </c>
    </row>
    <row r="36">
      <c r="A36" s="9">
        <f>IF(E36="","", IF('Global Precios'!B37="",0,'Global Precios'!B37))</f>
        <v>0</v>
      </c>
      <c r="B36" s="14" t="str">
        <f>IF('Global Precios'!B37="","",'Global Precios'!B37)</f>
        <v/>
      </c>
      <c r="C36" s="18">
        <f>IF('Global Precios'!A37="","",'Global Precios'!A37)</f>
        <v>36</v>
      </c>
      <c r="D36" s="18"/>
      <c r="E36" s="25" t="str">
        <f>IF('Global Precios'!D37="","",'Global Precios'!D37)</f>
        <v>AGILITY CACHORROS Present: 20kg</v>
      </c>
      <c r="F36" s="18"/>
      <c r="G36" s="25">
        <f>IFERROR(VLOOKUP(C36,'BuscarV Stock'!$A$2:$C$478,3,0),"AAA")</f>
        <v>0</v>
      </c>
      <c r="H36" s="25">
        <f t="shared" si="1"/>
        <v>0.21</v>
      </c>
      <c r="I36" s="30">
        <f>IF('Global Precios'!H37="","",'Global Precios'!H37)</f>
        <v>9628.099174</v>
      </c>
      <c r="J36" s="82">
        <f>IF('Global Precios'!K37="","",'Global Precios'!K37)</f>
        <v>0.33</v>
      </c>
      <c r="K36" s="30">
        <f>IF('Global Precios'!Z37="Desactivado",0,IF('Global Precios'!L37="","",'Global Precios'!L37))</f>
        <v>0</v>
      </c>
      <c r="L36" s="18"/>
      <c r="M36" s="18"/>
      <c r="N36" s="18"/>
      <c r="O36" s="18"/>
      <c r="P36" s="18"/>
      <c r="Q36" s="18"/>
      <c r="R36" s="18" t="str">
        <f>IF('Global Precios'!F37="","",'Global Precios'!F37)</f>
        <v>Alimentos</v>
      </c>
      <c r="S36" s="18"/>
      <c r="T36" s="18" t="str">
        <f>IF('Global Precios'!E37="","",'Global Precios'!E37)</f>
        <v>Agility</v>
      </c>
      <c r="U36" s="18"/>
      <c r="V36" s="18">
        <f t="shared" si="2"/>
        <v>0</v>
      </c>
      <c r="W36" s="18"/>
      <c r="X36" s="18"/>
      <c r="Y36" s="18"/>
      <c r="Z36" s="18"/>
      <c r="AA36" s="18"/>
      <c r="AB36" s="18">
        <f t="shared" si="3"/>
        <v>1</v>
      </c>
      <c r="AC36" s="18">
        <f t="shared" si="4"/>
        <v>1</v>
      </c>
      <c r="AD36" s="18">
        <f t="shared" si="5"/>
        <v>1</v>
      </c>
      <c r="AE36" s="18">
        <f t="shared" si="6"/>
        <v>1</v>
      </c>
    </row>
    <row r="37">
      <c r="A37" s="9">
        <f>IF(E37="","", IF('Global Precios'!B38="",0,'Global Precios'!B38))</f>
        <v>0</v>
      </c>
      <c r="B37" s="14" t="str">
        <f>IF('Global Precios'!B38="","",'Global Precios'!B38)</f>
        <v/>
      </c>
      <c r="C37" s="18">
        <f>IF('Global Precios'!A38="","",'Global Precios'!A38)</f>
        <v>37</v>
      </c>
      <c r="D37" s="18"/>
      <c r="E37" s="25" t="str">
        <f>IF('Global Precios'!D38="","",'Global Precios'!D38)</f>
        <v>AGILITY CATS ADULTO Present: 10kg</v>
      </c>
      <c r="F37" s="18"/>
      <c r="G37" s="25">
        <f>IFERROR(VLOOKUP(C37,'BuscarV Stock'!$A$2:$C$478,3,0),"AAA")</f>
        <v>1</v>
      </c>
      <c r="H37" s="25">
        <f t="shared" si="1"/>
        <v>0.21</v>
      </c>
      <c r="I37" s="30">
        <f>IF('Global Precios'!H38="","",'Global Precios'!H38)</f>
        <v>19504.13223</v>
      </c>
      <c r="J37" s="82">
        <f>IF('Global Precios'!K38="","",'Global Precios'!K38)</f>
        <v>0.33</v>
      </c>
      <c r="K37" s="30">
        <f>IF('Global Precios'!Z38="Desactivado",0,IF('Global Precios'!L38="","",'Global Precios'!L38))</f>
        <v>0</v>
      </c>
      <c r="L37" s="18"/>
      <c r="M37" s="18"/>
      <c r="N37" s="18"/>
      <c r="O37" s="18"/>
      <c r="P37" s="18"/>
      <c r="Q37" s="18"/>
      <c r="R37" s="18" t="str">
        <f>IF('Global Precios'!F38="","",'Global Precios'!F38)</f>
        <v>Alimentos</v>
      </c>
      <c r="S37" s="18"/>
      <c r="T37" s="18" t="str">
        <f>IF('Global Precios'!E38="","",'Global Precios'!E38)</f>
        <v>Agility</v>
      </c>
      <c r="U37" s="18"/>
      <c r="V37" s="18">
        <f t="shared" si="2"/>
        <v>0</v>
      </c>
      <c r="W37" s="18"/>
      <c r="X37" s="18"/>
      <c r="Y37" s="18"/>
      <c r="Z37" s="18"/>
      <c r="AA37" s="18"/>
      <c r="AB37" s="18">
        <f t="shared" si="3"/>
        <v>1</v>
      </c>
      <c r="AC37" s="18">
        <f t="shared" si="4"/>
        <v>1</v>
      </c>
      <c r="AD37" s="18">
        <f t="shared" si="5"/>
        <v>1</v>
      </c>
      <c r="AE37" s="18">
        <f t="shared" si="6"/>
        <v>1</v>
      </c>
    </row>
    <row r="38">
      <c r="A38" s="9">
        <f>IF(E38="","", IF('Global Precios'!B39="",0,'Global Precios'!B39))</f>
        <v>0</v>
      </c>
      <c r="B38" s="14" t="str">
        <f>IF('Global Precios'!B39="","",'Global Precios'!B39)</f>
        <v/>
      </c>
      <c r="C38" s="18">
        <f>IF('Global Precios'!A39="","",'Global Precios'!A39)</f>
        <v>38</v>
      </c>
      <c r="D38" s="18"/>
      <c r="E38" s="25" t="str">
        <f>IF('Global Precios'!D39="","",'Global Precios'!D39)</f>
        <v>AGILITY CATS KITTEN Present: 10kg</v>
      </c>
      <c r="F38" s="18"/>
      <c r="G38" s="25">
        <f>IFERROR(VLOOKUP(C38,'BuscarV Stock'!$A$2:$C$478,3,0),"AAA")</f>
        <v>0</v>
      </c>
      <c r="H38" s="25">
        <f t="shared" si="1"/>
        <v>0.21</v>
      </c>
      <c r="I38" s="30">
        <f>IF('Global Precios'!H39="","",'Global Precios'!H39)</f>
        <v>8529.752066</v>
      </c>
      <c r="J38" s="82">
        <f>IF('Global Precios'!K39="","",'Global Precios'!K39)</f>
        <v>0.33</v>
      </c>
      <c r="K38" s="30">
        <f>IF('Global Precios'!Z39="Desactivado",0,IF('Global Precios'!L39="","",'Global Precios'!L39))</f>
        <v>0</v>
      </c>
      <c r="L38" s="18"/>
      <c r="M38" s="18"/>
      <c r="N38" s="18"/>
      <c r="O38" s="18"/>
      <c r="P38" s="18"/>
      <c r="Q38" s="18"/>
      <c r="R38" s="18" t="str">
        <f>IF('Global Precios'!F39="","",'Global Precios'!F39)</f>
        <v>Alimentos</v>
      </c>
      <c r="S38" s="18"/>
      <c r="T38" s="18" t="str">
        <f>IF('Global Precios'!E39="","",'Global Precios'!E39)</f>
        <v>Agility</v>
      </c>
      <c r="U38" s="18"/>
      <c r="V38" s="18">
        <f t="shared" si="2"/>
        <v>0</v>
      </c>
      <c r="W38" s="18"/>
      <c r="X38" s="18"/>
      <c r="Y38" s="18"/>
      <c r="Z38" s="18"/>
      <c r="AA38" s="18"/>
      <c r="AB38" s="18">
        <f t="shared" si="3"/>
        <v>1</v>
      </c>
      <c r="AC38" s="18">
        <f t="shared" si="4"/>
        <v>1</v>
      </c>
      <c r="AD38" s="18">
        <f t="shared" si="5"/>
        <v>1</v>
      </c>
      <c r="AE38" s="18">
        <f t="shared" si="6"/>
        <v>1</v>
      </c>
    </row>
    <row r="39">
      <c r="A39" s="9">
        <f>IF(E39="","", IF('Global Precios'!B40="",0,'Global Precios'!B40))</f>
        <v>0</v>
      </c>
      <c r="B39" s="14" t="str">
        <f>IF('Global Precios'!B40="","",'Global Precios'!B40)</f>
        <v/>
      </c>
      <c r="C39" s="18">
        <f>IF('Global Precios'!A40="","",'Global Precios'!A40)</f>
        <v>39</v>
      </c>
      <c r="D39" s="18"/>
      <c r="E39" s="25" t="str">
        <f>IF('Global Precios'!D40="","",'Global Precios'!D40)</f>
        <v>DENTAL PLAX X 250 ML</v>
      </c>
      <c r="F39" s="18"/>
      <c r="G39" s="25">
        <f>IFERROR(VLOOKUP(C39,'BuscarV Stock'!$A$2:$C$478,3,0),"AAA")</f>
        <v>0</v>
      </c>
      <c r="H39" s="25">
        <f t="shared" si="1"/>
        <v>0.21</v>
      </c>
      <c r="I39" s="30">
        <f>IF('Global Precios'!H40="","",'Global Precios'!H40)</f>
        <v>2644.628099</v>
      </c>
      <c r="J39" s="82">
        <f>IF('Global Precios'!K40="","",'Global Precios'!K40)</f>
        <v>0.8</v>
      </c>
      <c r="K39" s="30">
        <f>IF('Global Precios'!Z40="Desactivado",0,IF('Global Precios'!L40="","",'Global Precios'!L40))</f>
        <v>6000</v>
      </c>
      <c r="L39" s="18"/>
      <c r="M39" s="18"/>
      <c r="N39" s="18"/>
      <c r="O39" s="18"/>
      <c r="P39" s="18"/>
      <c r="Q39" s="18"/>
      <c r="R39" s="18" t="str">
        <f>IF('Global Precios'!F40="","",'Global Precios'!F40)</f>
        <v>Medicamentos</v>
      </c>
      <c r="S39" s="18"/>
      <c r="T39" s="18" t="str">
        <f>IF('Global Precios'!E40="","",'Global Precios'!E40)</f>
        <v>AFFORD</v>
      </c>
      <c r="U39" s="18"/>
      <c r="V39" s="18">
        <f t="shared" si="2"/>
        <v>0</v>
      </c>
      <c r="W39" s="18"/>
      <c r="X39" s="18"/>
      <c r="Y39" s="18"/>
      <c r="Z39" s="18"/>
      <c r="AA39" s="18"/>
      <c r="AB39" s="18">
        <f t="shared" si="3"/>
        <v>1</v>
      </c>
      <c r="AC39" s="18">
        <f t="shared" si="4"/>
        <v>1</v>
      </c>
      <c r="AD39" s="18">
        <f t="shared" si="5"/>
        <v>1</v>
      </c>
      <c r="AE39" s="18">
        <f t="shared" si="6"/>
        <v>1</v>
      </c>
    </row>
    <row r="40">
      <c r="A40" s="9">
        <f>IF(E40="","", IF('Global Precios'!B41="",0,'Global Precios'!B41))</f>
        <v>0</v>
      </c>
      <c r="B40" s="14" t="str">
        <f>IF('Global Precios'!B41="","",'Global Precios'!B41)</f>
        <v/>
      </c>
      <c r="C40" s="18">
        <f>IF('Global Precios'!A41="","",'Global Precios'!A41)</f>
        <v>40</v>
      </c>
      <c r="D40" s="18"/>
      <c r="E40" s="25" t="str">
        <f>IF('Global Precios'!D41="","",'Global Precios'!D41)</f>
        <v>EXPECTORANTE X 100 ML (LAIKA)</v>
      </c>
      <c r="F40" s="18"/>
      <c r="G40" s="25">
        <f>IFERROR(VLOOKUP(C40,'BuscarV Stock'!$A$2:$C$478,3,0),"AAA")</f>
        <v>1</v>
      </c>
      <c r="H40" s="25">
        <f t="shared" si="1"/>
        <v>0.21</v>
      </c>
      <c r="I40" s="30">
        <f>IF('Global Precios'!H41="","",'Global Precios'!H41)</f>
        <v>4921.487603</v>
      </c>
      <c r="J40" s="82">
        <f>IF('Global Precios'!K41="","",'Global Precios'!K41)</f>
        <v>0.8</v>
      </c>
      <c r="K40" s="30">
        <f>IF('Global Precios'!Z41="Desactivado",0,IF('Global Precios'!L41="","",'Global Precios'!L41))</f>
        <v>11000</v>
      </c>
      <c r="L40" s="18"/>
      <c r="M40" s="18"/>
      <c r="N40" s="18"/>
      <c r="O40" s="18"/>
      <c r="P40" s="18"/>
      <c r="Q40" s="18"/>
      <c r="R40" s="18" t="str">
        <f>IF('Global Precios'!F41="","",'Global Precios'!F41)</f>
        <v>Medicamentos</v>
      </c>
      <c r="S40" s="18"/>
      <c r="T40" s="18" t="str">
        <f>IF('Global Precios'!E41="","",'Global Precios'!E41)</f>
        <v>ALLIGNANI HNOS P.A.</v>
      </c>
      <c r="U40" s="18"/>
      <c r="V40" s="18">
        <f t="shared" si="2"/>
        <v>0</v>
      </c>
      <c r="W40" s="18"/>
      <c r="X40" s="18"/>
      <c r="Y40" s="18"/>
      <c r="Z40" s="18"/>
      <c r="AA40" s="18"/>
      <c r="AB40" s="18">
        <f t="shared" si="3"/>
        <v>1</v>
      </c>
      <c r="AC40" s="18">
        <f t="shared" si="4"/>
        <v>1</v>
      </c>
      <c r="AD40" s="18">
        <f t="shared" si="5"/>
        <v>1</v>
      </c>
      <c r="AE40" s="18">
        <f t="shared" si="6"/>
        <v>1</v>
      </c>
    </row>
    <row r="41">
      <c r="A41" s="9">
        <f>IF(E41="","", IF('Global Precios'!B42="",0,'Global Precios'!B42))</f>
        <v>0</v>
      </c>
      <c r="B41" s="14" t="str">
        <f>IF('Global Precios'!B42="","",'Global Precios'!B42)</f>
        <v/>
      </c>
      <c r="C41" s="18">
        <f>IF('Global Precios'!A42="","",'Global Precios'!A42)</f>
        <v>41</v>
      </c>
      <c r="D41" s="18"/>
      <c r="E41" s="25" t="str">
        <f>IF('Global Precios'!D42="","",'Global Precios'!D42)</f>
        <v>KILL AG X 440 ML</v>
      </c>
      <c r="F41" s="18"/>
      <c r="G41" s="25">
        <f>IFERROR(VLOOKUP(C41,'BuscarV Stock'!$A$2:$C$478,3,0),"AAA")</f>
        <v>0</v>
      </c>
      <c r="H41" s="25">
        <f t="shared" si="1"/>
        <v>0.21</v>
      </c>
      <c r="I41" s="30">
        <f>IF('Global Precios'!H42="","",'Global Precios'!H42)</f>
        <v>4880.165289</v>
      </c>
      <c r="J41" s="82">
        <f>IF('Global Precios'!K42="","",'Global Precios'!K42)</f>
        <v>1</v>
      </c>
      <c r="K41" s="30">
        <f>IF('Global Precios'!Z42="Desactivado",0,IF('Global Precios'!L42="","",'Global Precios'!L42))</f>
        <v>12000</v>
      </c>
      <c r="L41" s="18"/>
      <c r="M41" s="18"/>
      <c r="N41" s="18"/>
      <c r="O41" s="18"/>
      <c r="P41" s="18"/>
      <c r="Q41" s="18"/>
      <c r="R41" s="18" t="str">
        <f>IF('Global Precios'!F42="","",'Global Precios'!F42)</f>
        <v>Medicamentos</v>
      </c>
      <c r="S41" s="18"/>
      <c r="T41" s="18" t="str">
        <f>IF('Global Precios'!E42="","",'Global Precios'!E42)</f>
        <v>BROUWER PA</v>
      </c>
      <c r="U41" s="18"/>
      <c r="V41" s="18">
        <f t="shared" si="2"/>
        <v>0</v>
      </c>
      <c r="W41" s="18"/>
      <c r="X41" s="18"/>
      <c r="Y41" s="18"/>
      <c r="Z41" s="18"/>
      <c r="AA41" s="18"/>
      <c r="AB41" s="18">
        <f t="shared" si="3"/>
        <v>1</v>
      </c>
      <c r="AC41" s="18">
        <f t="shared" si="4"/>
        <v>1</v>
      </c>
      <c r="AD41" s="18">
        <f t="shared" si="5"/>
        <v>1</v>
      </c>
      <c r="AE41" s="18">
        <f t="shared" si="6"/>
        <v>1</v>
      </c>
    </row>
    <row r="42">
      <c r="A42" s="9">
        <f>IF(E42="","", IF('Global Precios'!B43="",0,'Global Precios'!B43))</f>
        <v>0</v>
      </c>
      <c r="B42" s="14" t="str">
        <f>IF('Global Precios'!B43="","",'Global Precios'!B43)</f>
        <v/>
      </c>
      <c r="C42" s="18">
        <f>IF('Global Precios'!A43="","",'Global Precios'!A43)</f>
        <v>42</v>
      </c>
      <c r="D42" s="18"/>
      <c r="E42" s="25" t="str">
        <f>IF('Global Precios'!D43="","",'Global Precios'!D43)</f>
        <v>LAXAVET X 40 GR</v>
      </c>
      <c r="F42" s="18"/>
      <c r="G42" s="25">
        <f>IFERROR(VLOOKUP(C42,'BuscarV Stock'!$A$2:$C$478,3,0),"AAA")</f>
        <v>0</v>
      </c>
      <c r="H42" s="25">
        <f t="shared" si="1"/>
        <v>0.21</v>
      </c>
      <c r="I42" s="30">
        <f>IF('Global Precios'!H43="","",'Global Precios'!H43)</f>
        <v>6772.727273</v>
      </c>
      <c r="J42" s="82">
        <f>IF('Global Precios'!K43="","",'Global Precios'!K43)</f>
        <v>0.8</v>
      </c>
      <c r="K42" s="30">
        <f>IF('Global Precios'!Z43="Desactivado",0,IF('Global Precios'!L43="","",'Global Precios'!L43))</f>
        <v>15000</v>
      </c>
      <c r="L42" s="18"/>
      <c r="M42" s="18"/>
      <c r="N42" s="18"/>
      <c r="O42" s="18"/>
      <c r="P42" s="18"/>
      <c r="Q42" s="18"/>
      <c r="R42" s="18" t="str">
        <f>IF('Global Precios'!F43="","",'Global Precios'!F43)</f>
        <v>Medicamentos</v>
      </c>
      <c r="S42" s="18"/>
      <c r="T42" s="18" t="str">
        <f>IF('Global Precios'!E43="","",'Global Precios'!E43)</f>
        <v>BROUWER PA</v>
      </c>
      <c r="U42" s="18"/>
      <c r="V42" s="18">
        <f t="shared" si="2"/>
        <v>0</v>
      </c>
      <c r="W42" s="18"/>
      <c r="X42" s="18"/>
      <c r="Y42" s="18"/>
      <c r="Z42" s="18"/>
      <c r="AA42" s="18"/>
      <c r="AB42" s="18">
        <f t="shared" si="3"/>
        <v>1</v>
      </c>
      <c r="AC42" s="18">
        <f t="shared" si="4"/>
        <v>1</v>
      </c>
      <c r="AD42" s="18">
        <f t="shared" si="5"/>
        <v>1</v>
      </c>
      <c r="AE42" s="18">
        <f t="shared" si="6"/>
        <v>1</v>
      </c>
    </row>
    <row r="43">
      <c r="A43" s="9">
        <f>IF(E43="","", IF('Global Precios'!B44="",0,'Global Precios'!B44))</f>
        <v>0</v>
      </c>
      <c r="B43" s="14" t="str">
        <f>IF('Global Precios'!B44="","",'Global Precios'!B44)</f>
        <v/>
      </c>
      <c r="C43" s="18">
        <f>IF('Global Precios'!A44="","",'Global Precios'!A44)</f>
        <v>43</v>
      </c>
      <c r="D43" s="18"/>
      <c r="E43" s="25" t="str">
        <f>IF('Global Precios'!D44="","",'Global Precios'!D44)</f>
        <v>FORTIPET ELMER</v>
      </c>
      <c r="F43" s="18"/>
      <c r="G43" s="25">
        <f>IFERROR(VLOOKUP(C43,'BuscarV Stock'!$A$2:$C$478,3,0),"AAA")</f>
        <v>0</v>
      </c>
      <c r="H43" s="25">
        <f t="shared" si="1"/>
        <v>0.21</v>
      </c>
      <c r="I43" s="30">
        <f>IF('Global Precios'!H44="","",'Global Precios'!H44)</f>
        <v>4348.760331</v>
      </c>
      <c r="J43" s="82">
        <f>IF('Global Precios'!K44="","",'Global Precios'!K44)</f>
        <v>0.8</v>
      </c>
      <c r="K43" s="30">
        <f>IF('Global Precios'!Z44="Desactivado",0,IF('Global Precios'!L44="","",'Global Precios'!L44))</f>
        <v>0</v>
      </c>
      <c r="L43" s="18"/>
      <c r="M43" s="18"/>
      <c r="N43" s="18"/>
      <c r="O43" s="18"/>
      <c r="P43" s="18"/>
      <c r="Q43" s="18"/>
      <c r="R43" s="18" t="str">
        <f>IF('Global Precios'!F44="","",'Global Precios'!F44)</f>
        <v>Medicamentos</v>
      </c>
      <c r="S43" s="18"/>
      <c r="T43" s="18" t="str">
        <f>IF('Global Precios'!E44="","",'Global Precios'!E44)</f>
        <v>ELMER P.A</v>
      </c>
      <c r="U43" s="18"/>
      <c r="V43" s="18">
        <f t="shared" si="2"/>
        <v>0</v>
      </c>
      <c r="W43" s="18"/>
      <c r="X43" s="18"/>
      <c r="Y43" s="18"/>
      <c r="Z43" s="18"/>
      <c r="AA43" s="18"/>
      <c r="AB43" s="18">
        <f t="shared" si="3"/>
        <v>1</v>
      </c>
      <c r="AC43" s="18">
        <f t="shared" si="4"/>
        <v>1</v>
      </c>
      <c r="AD43" s="18">
        <f t="shared" si="5"/>
        <v>1</v>
      </c>
      <c r="AE43" s="18">
        <f t="shared" si="6"/>
        <v>1</v>
      </c>
    </row>
    <row r="44">
      <c r="A44" s="9">
        <f>IF(E44="","", IF('Global Precios'!B45="",0,'Global Precios'!B45))</f>
        <v>0</v>
      </c>
      <c r="B44" s="14" t="str">
        <f>IF('Global Precios'!B45="","",'Global Precios'!B45)</f>
        <v/>
      </c>
      <c r="C44" s="18">
        <f>IF('Global Precios'!A45="","",'Global Precios'!A45)</f>
        <v>44</v>
      </c>
      <c r="D44" s="18"/>
      <c r="E44" s="25" t="str">
        <f>IF('Global Precios'!D45="","",'Global Precios'!D45)</f>
        <v>ECTHOL 5 AP X 70 ML</v>
      </c>
      <c r="F44" s="18"/>
      <c r="G44" s="25">
        <f>IFERROR(VLOOKUP(C44,'BuscarV Stock'!$A$2:$C$478,3,0),"AAA")</f>
        <v>3</v>
      </c>
      <c r="H44" s="25">
        <f t="shared" si="1"/>
        <v>0.21</v>
      </c>
      <c r="I44" s="30">
        <f>IF('Global Precios'!H45="","",'Global Precios'!H45)</f>
        <v>3366.115702</v>
      </c>
      <c r="J44" s="82">
        <f>IF('Global Precios'!K45="","",'Global Precios'!K45)</f>
        <v>0.8</v>
      </c>
      <c r="K44" s="30">
        <f>IF('Global Precios'!Z45="Desactivado",0,IF('Global Precios'!L45="","",'Global Precios'!L45))</f>
        <v>7500</v>
      </c>
      <c r="L44" s="18"/>
      <c r="M44" s="18"/>
      <c r="N44" s="18"/>
      <c r="O44" s="18"/>
      <c r="P44" s="18"/>
      <c r="Q44" s="18"/>
      <c r="R44" s="18" t="str">
        <f>IF('Global Precios'!F45="","",'Global Precios'!F45)</f>
        <v>Medicamentos</v>
      </c>
      <c r="S44" s="18"/>
      <c r="T44" s="18" t="str">
        <f>IF('Global Precios'!E45="","",'Global Precios'!E45)</f>
        <v>HOLLIDAY</v>
      </c>
      <c r="U44" s="18"/>
      <c r="V44" s="18">
        <f t="shared" si="2"/>
        <v>0</v>
      </c>
      <c r="W44" s="18"/>
      <c r="X44" s="18"/>
      <c r="Y44" s="18"/>
      <c r="Z44" s="18"/>
      <c r="AA44" s="18"/>
      <c r="AB44" s="18">
        <f t="shared" si="3"/>
        <v>1</v>
      </c>
      <c r="AC44" s="18">
        <f t="shared" si="4"/>
        <v>1</v>
      </c>
      <c r="AD44" s="18">
        <f t="shared" si="5"/>
        <v>1</v>
      </c>
      <c r="AE44" s="18">
        <f t="shared" si="6"/>
        <v>1</v>
      </c>
    </row>
    <row r="45">
      <c r="A45" s="9">
        <f>IF(E45="","", IF('Global Precios'!B46="",0,'Global Precios'!B46))</f>
        <v>0</v>
      </c>
      <c r="B45" s="14" t="str">
        <f>IF('Global Precios'!B46="","",'Global Precios'!B46)</f>
        <v/>
      </c>
      <c r="C45" s="18">
        <f>IF('Global Precios'!A46="","",'Global Precios'!A46)</f>
        <v>45</v>
      </c>
      <c r="D45" s="18"/>
      <c r="E45" s="25" t="str">
        <f>IF('Global Precios'!D46="","",'Global Precios'!D46)</f>
        <v>ECTHOL 5 AP X 120 ML</v>
      </c>
      <c r="F45" s="18"/>
      <c r="G45" s="25">
        <f>IFERROR(VLOOKUP(C45,'BuscarV Stock'!$A$2:$C$478,3,0),"AAA")</f>
        <v>2</v>
      </c>
      <c r="H45" s="25">
        <f t="shared" si="1"/>
        <v>0.21</v>
      </c>
      <c r="I45" s="30">
        <f>IF('Global Precios'!H46="","",'Global Precios'!H46)</f>
        <v>4745.454545</v>
      </c>
      <c r="J45" s="82">
        <f>IF('Global Precios'!K46="","",'Global Precios'!K46)</f>
        <v>0.8</v>
      </c>
      <c r="K45" s="30">
        <f>IF('Global Precios'!Z46="Desactivado",0,IF('Global Precios'!L46="","",'Global Precios'!L46))</f>
        <v>10000</v>
      </c>
      <c r="L45" s="18"/>
      <c r="M45" s="18"/>
      <c r="N45" s="18"/>
      <c r="O45" s="18"/>
      <c r="P45" s="18"/>
      <c r="Q45" s="18"/>
      <c r="R45" s="18" t="str">
        <f>IF('Global Precios'!F46="","",'Global Precios'!F46)</f>
        <v>Medicamentos</v>
      </c>
      <c r="S45" s="18"/>
      <c r="T45" s="18" t="str">
        <f>IF('Global Precios'!E46="","",'Global Precios'!E46)</f>
        <v>HOLLIDAY</v>
      </c>
      <c r="U45" s="18"/>
      <c r="V45" s="18">
        <f t="shared" si="2"/>
        <v>0</v>
      </c>
      <c r="W45" s="18"/>
      <c r="X45" s="18"/>
      <c r="Y45" s="18"/>
      <c r="Z45" s="18"/>
      <c r="AA45" s="18"/>
      <c r="AB45" s="18">
        <f t="shared" si="3"/>
        <v>1</v>
      </c>
      <c r="AC45" s="18">
        <f t="shared" si="4"/>
        <v>1</v>
      </c>
      <c r="AD45" s="18">
        <f t="shared" si="5"/>
        <v>1</v>
      </c>
      <c r="AE45" s="18">
        <f t="shared" si="6"/>
        <v>1</v>
      </c>
    </row>
    <row r="46">
      <c r="A46" s="9">
        <f>IF(E46="","", IF('Global Precios'!B47="",0,'Global Precios'!B47))</f>
        <v>0</v>
      </c>
      <c r="B46" s="14" t="str">
        <f>IF('Global Precios'!B47="","",'Global Precios'!B47)</f>
        <v/>
      </c>
      <c r="C46" s="18">
        <f>IF('Global Precios'!A47="","",'Global Precios'!A47)</f>
        <v>46</v>
      </c>
      <c r="D46" s="18"/>
      <c r="E46" s="25" t="str">
        <f>IF('Global Precios'!D47="","",'Global Precios'!D47)</f>
        <v>PREDNISOLONA PYO 10 X 100 COMPRIMIDOS</v>
      </c>
      <c r="F46" s="18"/>
      <c r="G46" s="25">
        <f>IFERROR(VLOOKUP(C46,'BuscarV Stock'!$A$2:$C$478,3,0),"AAA")</f>
        <v>19</v>
      </c>
      <c r="H46" s="25">
        <f t="shared" si="1"/>
        <v>0.21</v>
      </c>
      <c r="I46" s="30">
        <f>IF('Global Precios'!H47="","",'Global Precios'!H47)</f>
        <v>0</v>
      </c>
      <c r="J46" s="82">
        <f>IF('Global Precios'!K47="","",'Global Precios'!K47)</f>
        <v>1</v>
      </c>
      <c r="K46" s="30">
        <f>IF('Global Precios'!Z47="Desactivado",0,IF('Global Precios'!L47="","",'Global Precios'!L47))</f>
        <v>0</v>
      </c>
      <c r="L46" s="18"/>
      <c r="M46" s="18"/>
      <c r="N46" s="18"/>
      <c r="O46" s="18"/>
      <c r="P46" s="18"/>
      <c r="Q46" s="18"/>
      <c r="R46" s="18" t="str">
        <f>IF('Global Precios'!F47="","",'Global Precios'!F47)</f>
        <v>Medicamentos</v>
      </c>
      <c r="S46" s="18"/>
      <c r="T46" s="18" t="str">
        <f>IF('Global Precios'!E47="","",'Global Precios'!E47)</f>
        <v>IDV</v>
      </c>
      <c r="U46" s="18"/>
      <c r="V46" s="18">
        <f t="shared" si="2"/>
        <v>0</v>
      </c>
      <c r="W46" s="18"/>
      <c r="X46" s="18"/>
      <c r="Y46" s="18"/>
      <c r="Z46" s="18"/>
      <c r="AA46" s="18"/>
      <c r="AB46" s="18">
        <f t="shared" si="3"/>
        <v>1</v>
      </c>
      <c r="AC46" s="18">
        <f t="shared" si="4"/>
        <v>1</v>
      </c>
      <c r="AD46" s="18">
        <f t="shared" si="5"/>
        <v>1</v>
      </c>
      <c r="AE46" s="18">
        <f t="shared" si="6"/>
        <v>1</v>
      </c>
    </row>
    <row r="47">
      <c r="A47" s="9">
        <f>IF(E47="","", IF('Global Precios'!B48="",0,'Global Precios'!B48))</f>
        <v>0</v>
      </c>
      <c r="B47" s="14" t="str">
        <f>IF('Global Precios'!B48="","",'Global Precios'!B48)</f>
        <v/>
      </c>
      <c r="C47" s="18">
        <f>IF('Global Precios'!A48="","",'Global Precios'!A48)</f>
        <v>47</v>
      </c>
      <c r="D47" s="18"/>
      <c r="E47" s="25" t="str">
        <f>IF('Global Precios'!D48="","",'Global Precios'!D48)</f>
        <v>PREDNISOLONA PYO 20 X BLISTER 10 COMPRIMIDOS</v>
      </c>
      <c r="F47" s="18"/>
      <c r="G47" s="25">
        <f>IFERROR(VLOOKUP(C47,'BuscarV Stock'!$A$2:$C$478,3,0),"AAA")</f>
        <v>12</v>
      </c>
      <c r="H47" s="25">
        <f t="shared" si="1"/>
        <v>0.21</v>
      </c>
      <c r="I47" s="30">
        <f>IF('Global Precios'!H48="","",'Global Precios'!H48)</f>
        <v>1500</v>
      </c>
      <c r="J47" s="82">
        <f>IF('Global Precios'!K48="","",'Global Precios'!K48)</f>
        <v>1</v>
      </c>
      <c r="K47" s="30">
        <f>IF('Global Precios'!Z48="Desactivado",0,IF('Global Precios'!L48="","",'Global Precios'!L48))</f>
        <v>3500</v>
      </c>
      <c r="L47" s="18"/>
      <c r="M47" s="18"/>
      <c r="N47" s="18"/>
      <c r="O47" s="18"/>
      <c r="P47" s="18"/>
      <c r="Q47" s="18"/>
      <c r="R47" s="18" t="str">
        <f>IF('Global Precios'!F48="","",'Global Precios'!F48)</f>
        <v>Medicamentos</v>
      </c>
      <c r="S47" s="18"/>
      <c r="T47" s="18" t="str">
        <f>IF('Global Precios'!E48="","",'Global Precios'!E48)</f>
        <v>IDV</v>
      </c>
      <c r="U47" s="18"/>
      <c r="V47" s="18">
        <f t="shared" si="2"/>
        <v>0</v>
      </c>
      <c r="W47" s="18"/>
      <c r="X47" s="18"/>
      <c r="Y47" s="18"/>
      <c r="Z47" s="18"/>
      <c r="AA47" s="18"/>
      <c r="AB47" s="18">
        <f t="shared" si="3"/>
        <v>1</v>
      </c>
      <c r="AC47" s="18">
        <f t="shared" si="4"/>
        <v>1</v>
      </c>
      <c r="AD47" s="18">
        <f t="shared" si="5"/>
        <v>1</v>
      </c>
      <c r="AE47" s="18">
        <f t="shared" si="6"/>
        <v>1</v>
      </c>
    </row>
    <row r="48">
      <c r="A48" s="9">
        <f>IF(E48="","", IF('Global Precios'!B49="",0,'Global Precios'!B49))</f>
        <v>0</v>
      </c>
      <c r="B48" s="14" t="str">
        <f>IF('Global Precios'!B49="","",'Global Precios'!B49)</f>
        <v/>
      </c>
      <c r="C48" s="18">
        <f>IF('Global Precios'!A49="","",'Global Precios'!A49)</f>
        <v>48</v>
      </c>
      <c r="D48" s="18"/>
      <c r="E48" s="25" t="str">
        <f>IF('Global Precios'!D49="","",'Global Precios'!D49)</f>
        <v>PYO DERM 125 X BLISTER 10 COMP</v>
      </c>
      <c r="F48" s="18"/>
      <c r="G48" s="25">
        <f>IFERROR(VLOOKUP(C48,'BuscarV Stock'!$A$2:$C$478,3,0),"AAA")</f>
        <v>7</v>
      </c>
      <c r="H48" s="25">
        <f t="shared" si="1"/>
        <v>0.21</v>
      </c>
      <c r="I48" s="30">
        <f>IF('Global Precios'!H49="","",'Global Precios'!H49)</f>
        <v>995.0413223</v>
      </c>
      <c r="J48" s="82">
        <f>IF('Global Precios'!K49="","",'Global Precios'!K49)</f>
        <v>1</v>
      </c>
      <c r="K48" s="30">
        <f>IF('Global Precios'!Z49="Desactivado",0,IF('Global Precios'!L49="","",'Global Precios'!L49))</f>
        <v>2500</v>
      </c>
      <c r="L48" s="18"/>
      <c r="M48" s="18"/>
      <c r="N48" s="18"/>
      <c r="O48" s="18"/>
      <c r="P48" s="18"/>
      <c r="Q48" s="18"/>
      <c r="R48" s="18" t="str">
        <f>IF('Global Precios'!F49="","",'Global Precios'!F49)</f>
        <v>Medicamentos</v>
      </c>
      <c r="S48" s="18"/>
      <c r="T48" s="18" t="str">
        <f>IF('Global Precios'!E49="","",'Global Precios'!E49)</f>
        <v>IDV</v>
      </c>
      <c r="U48" s="18"/>
      <c r="V48" s="18">
        <f t="shared" si="2"/>
        <v>0</v>
      </c>
      <c r="W48" s="18"/>
      <c r="X48" s="18"/>
      <c r="Y48" s="18"/>
      <c r="Z48" s="18"/>
      <c r="AA48" s="18"/>
      <c r="AB48" s="18">
        <f t="shared" si="3"/>
        <v>1</v>
      </c>
      <c r="AC48" s="18">
        <f t="shared" si="4"/>
        <v>1</v>
      </c>
      <c r="AD48" s="18">
        <f t="shared" si="5"/>
        <v>1</v>
      </c>
      <c r="AE48" s="18">
        <f t="shared" si="6"/>
        <v>1</v>
      </c>
    </row>
    <row r="49">
      <c r="A49" s="9">
        <f>IF(E49="","", IF('Global Precios'!B50="",0,'Global Precios'!B50))</f>
        <v>0</v>
      </c>
      <c r="B49" s="14" t="str">
        <f>IF('Global Precios'!B50="","",'Global Precios'!B50)</f>
        <v/>
      </c>
      <c r="C49" s="18">
        <f>IF('Global Precios'!A50="","",'Global Precios'!A50)</f>
        <v>49</v>
      </c>
      <c r="D49" s="18"/>
      <c r="E49" s="25" t="str">
        <f>IF('Global Precios'!D50="","",'Global Precios'!D50)</f>
        <v>PYO DERM 500 X BLISTER x 10 COMP</v>
      </c>
      <c r="F49" s="18"/>
      <c r="G49" s="25">
        <f>IFERROR(VLOOKUP(C49,'BuscarV Stock'!$A$2:$C$478,3,0),"AAA")</f>
        <v>13</v>
      </c>
      <c r="H49" s="25">
        <f t="shared" si="1"/>
        <v>0.21</v>
      </c>
      <c r="I49" s="30">
        <f>IF('Global Precios'!H50="","",'Global Precios'!H50)</f>
        <v>2272.727273</v>
      </c>
      <c r="J49" s="82">
        <f>IF('Global Precios'!K50="","",'Global Precios'!K50)</f>
        <v>1</v>
      </c>
      <c r="K49" s="30">
        <f>IF('Global Precios'!Z50="Desactivado",0,IF('Global Precios'!L50="","",'Global Precios'!L50))</f>
        <v>5500</v>
      </c>
      <c r="L49" s="18"/>
      <c r="M49" s="18"/>
      <c r="N49" s="18"/>
      <c r="O49" s="18"/>
      <c r="P49" s="18"/>
      <c r="Q49" s="18"/>
      <c r="R49" s="18" t="str">
        <f>IF('Global Precios'!F50="","",'Global Precios'!F50)</f>
        <v>Medicamentos</v>
      </c>
      <c r="S49" s="18"/>
      <c r="T49" s="18" t="str">
        <f>IF('Global Precios'!E50="","",'Global Precios'!E50)</f>
        <v>IDV</v>
      </c>
      <c r="U49" s="18"/>
      <c r="V49" s="18">
        <f t="shared" si="2"/>
        <v>0</v>
      </c>
      <c r="W49" s="18"/>
      <c r="X49" s="18"/>
      <c r="Y49" s="18"/>
      <c r="Z49" s="18"/>
      <c r="AA49" s="18"/>
      <c r="AB49" s="18">
        <f t="shared" si="3"/>
        <v>1</v>
      </c>
      <c r="AC49" s="18">
        <f t="shared" si="4"/>
        <v>1</v>
      </c>
      <c r="AD49" s="18">
        <f t="shared" si="5"/>
        <v>1</v>
      </c>
      <c r="AE49" s="18">
        <f t="shared" si="6"/>
        <v>1</v>
      </c>
    </row>
    <row r="50">
      <c r="A50" s="9">
        <f>IF(E50="","", IF('Global Precios'!B51="",0,'Global Precios'!B51))</f>
        <v>0</v>
      </c>
      <c r="B50" s="14" t="str">
        <f>IF('Global Precios'!B51="","",'Global Precios'!B51)</f>
        <v/>
      </c>
      <c r="C50" s="18">
        <f>IF('Global Precios'!A51="","",'Global Precios'!A51)</f>
        <v>50</v>
      </c>
      <c r="D50" s="18"/>
      <c r="E50" s="25" t="str">
        <f>IF('Global Precios'!D51="","",'Global Precios'!D51)</f>
        <v>OTOVIER "NF" X 25 ML</v>
      </c>
      <c r="F50" s="18"/>
      <c r="G50" s="25">
        <f>IFERROR(VLOOKUP(C50,'BuscarV Stock'!$A$2:$C$478,3,0),"AAA")</f>
        <v>2</v>
      </c>
      <c r="H50" s="25">
        <f t="shared" si="1"/>
        <v>0.21</v>
      </c>
      <c r="I50" s="30">
        <f>IF('Global Precios'!H51="","",'Global Precios'!H51)</f>
        <v>3817.355372</v>
      </c>
      <c r="J50" s="82">
        <f>IF('Global Precios'!K51="","",'Global Precios'!K51)</f>
        <v>0.8</v>
      </c>
      <c r="K50" s="30">
        <f>IF('Global Precios'!Z51="Desactivado",0,IF('Global Precios'!L51="","",'Global Precios'!L51))</f>
        <v>8500</v>
      </c>
      <c r="L50" s="18"/>
      <c r="M50" s="18"/>
      <c r="N50" s="18"/>
      <c r="O50" s="18"/>
      <c r="P50" s="18"/>
      <c r="Q50" s="18"/>
      <c r="R50" s="18" t="str">
        <f>IF('Global Precios'!F51="","",'Global Precios'!F51)</f>
        <v>Medicamentos</v>
      </c>
      <c r="S50" s="18"/>
      <c r="T50" s="18" t="str">
        <f>IF('Global Precios'!E51="","",'Global Precios'!E51)</f>
        <v>JANVIER</v>
      </c>
      <c r="U50" s="18"/>
      <c r="V50" s="18">
        <f t="shared" si="2"/>
        <v>0</v>
      </c>
      <c r="W50" s="18"/>
      <c r="X50" s="18"/>
      <c r="Y50" s="18"/>
      <c r="Z50" s="18"/>
      <c r="AA50" s="18"/>
      <c r="AB50" s="18">
        <f t="shared" si="3"/>
        <v>1</v>
      </c>
      <c r="AC50" s="18">
        <f t="shared" si="4"/>
        <v>1</v>
      </c>
      <c r="AD50" s="18">
        <f t="shared" si="5"/>
        <v>1</v>
      </c>
      <c r="AE50" s="18">
        <f t="shared" si="6"/>
        <v>1</v>
      </c>
    </row>
    <row r="51">
      <c r="A51" s="9">
        <f>IF(E51="","", IF('Global Precios'!B52="",0,'Global Precios'!B52))</f>
        <v>0</v>
      </c>
      <c r="B51" s="14" t="str">
        <f>IF('Global Precios'!B52="","",'Global Precios'!B52)</f>
        <v/>
      </c>
      <c r="C51" s="18">
        <f>IF('Global Precios'!A52="","",'Global Precios'!A52)</f>
        <v>51</v>
      </c>
      <c r="D51" s="18"/>
      <c r="E51" s="25" t="str">
        <f>IF('Global Precios'!D52="","",'Global Precios'!D52)</f>
        <v>OTOVIER SOLUCION LIMPIA OREJAS X 120 ML</v>
      </c>
      <c r="F51" s="18"/>
      <c r="G51" s="25">
        <f>IFERROR(VLOOKUP(C51,'BuscarV Stock'!$A$2:$C$478,3,0),"AAA")</f>
        <v>1</v>
      </c>
      <c r="H51" s="25">
        <f t="shared" si="1"/>
        <v>0.21</v>
      </c>
      <c r="I51" s="30">
        <f>IF('Global Precios'!H52="","",'Global Precios'!H52)</f>
        <v>2604.132231</v>
      </c>
      <c r="J51" s="82">
        <f>IF('Global Precios'!K52="","",'Global Precios'!K52)</f>
        <v>0.8</v>
      </c>
      <c r="K51" s="30">
        <f>IF('Global Precios'!Z52="Desactivado",0,IF('Global Precios'!L52="","",'Global Precios'!L52))</f>
        <v>0</v>
      </c>
      <c r="L51" s="18"/>
      <c r="M51" s="18"/>
      <c r="N51" s="18"/>
      <c r="O51" s="18"/>
      <c r="P51" s="18"/>
      <c r="Q51" s="18"/>
      <c r="R51" s="18" t="str">
        <f>IF('Global Precios'!F52="","",'Global Precios'!F52)</f>
        <v>Medicamentos</v>
      </c>
      <c r="S51" s="18"/>
      <c r="T51" s="18" t="str">
        <f>IF('Global Precios'!E52="","",'Global Precios'!E52)</f>
        <v>JANVIER</v>
      </c>
      <c r="U51" s="18"/>
      <c r="V51" s="18">
        <f t="shared" si="2"/>
        <v>0</v>
      </c>
      <c r="W51" s="18"/>
      <c r="X51" s="18"/>
      <c r="Y51" s="18"/>
      <c r="Z51" s="18"/>
      <c r="AA51" s="18"/>
      <c r="AB51" s="18">
        <f t="shared" si="3"/>
        <v>1</v>
      </c>
      <c r="AC51" s="18">
        <f t="shared" si="4"/>
        <v>1</v>
      </c>
      <c r="AD51" s="18">
        <f t="shared" si="5"/>
        <v>1</v>
      </c>
      <c r="AE51" s="18">
        <f t="shared" si="6"/>
        <v>1</v>
      </c>
    </row>
    <row r="52">
      <c r="A52" s="9">
        <f>IF(E52="","", IF('Global Precios'!B53="",0,'Global Precios'!B53))</f>
        <v>0</v>
      </c>
      <c r="B52" s="14" t="str">
        <f>IF('Global Precios'!B53="","",'Global Precios'!B53)</f>
        <v/>
      </c>
      <c r="C52" s="18">
        <f>IF('Global Precios'!A53="","",'Global Precios'!A53)</f>
        <v>52</v>
      </c>
      <c r="D52" s="18"/>
      <c r="E52" s="25" t="str">
        <f>IF('Global Precios'!D53="","",'Global Precios'!D53)</f>
        <v>OTOVIER SOLUCION LIMPIA OREJAS X 40 ML</v>
      </c>
      <c r="F52" s="18"/>
      <c r="G52" s="25">
        <f>IFERROR(VLOOKUP(C52,'BuscarV Stock'!$A$2:$C$478,3,0),"AAA")</f>
        <v>0</v>
      </c>
      <c r="H52" s="25">
        <f t="shared" si="1"/>
        <v>0.21</v>
      </c>
      <c r="I52" s="30">
        <f>IF('Global Precios'!H53="","",'Global Precios'!H53)</f>
        <v>3060.330579</v>
      </c>
      <c r="J52" s="82">
        <f>IF('Global Precios'!K53="","",'Global Precios'!K53)</f>
        <v>0.8</v>
      </c>
      <c r="K52" s="30">
        <f>IF('Global Precios'!Z53="Desactivado",0,IF('Global Precios'!L53="","",'Global Precios'!L53))</f>
        <v>6500</v>
      </c>
      <c r="L52" s="18"/>
      <c r="M52" s="18"/>
      <c r="N52" s="18"/>
      <c r="O52" s="18"/>
      <c r="P52" s="18"/>
      <c r="Q52" s="18"/>
      <c r="R52" s="18" t="str">
        <f>IF('Global Precios'!F53="","",'Global Precios'!F53)</f>
        <v>Medicamentos</v>
      </c>
      <c r="S52" s="18"/>
      <c r="T52" s="18" t="str">
        <f>IF('Global Precios'!E53="","",'Global Precios'!E53)</f>
        <v>JANVIER</v>
      </c>
      <c r="U52" s="18"/>
      <c r="V52" s="18">
        <f t="shared" si="2"/>
        <v>0</v>
      </c>
      <c r="W52" s="18"/>
      <c r="X52" s="18"/>
      <c r="Y52" s="18"/>
      <c r="Z52" s="18"/>
      <c r="AA52" s="18"/>
      <c r="AB52" s="18">
        <f t="shared" si="3"/>
        <v>1</v>
      </c>
      <c r="AC52" s="18">
        <f t="shared" si="4"/>
        <v>1</v>
      </c>
      <c r="AD52" s="18">
        <f t="shared" si="5"/>
        <v>1</v>
      </c>
      <c r="AE52" s="18">
        <f t="shared" si="6"/>
        <v>1</v>
      </c>
    </row>
    <row r="53">
      <c r="A53" s="9">
        <f>IF(E53="","", IF('Global Precios'!B54="",0,'Global Precios'!B54))</f>
        <v>0</v>
      </c>
      <c r="B53" s="14" t="str">
        <f>IF('Global Precios'!B54="","",'Global Precios'!B54)</f>
        <v/>
      </c>
      <c r="C53" s="18">
        <f>IF('Global Precios'!A54="","",'Global Precios'!A54)</f>
        <v>53</v>
      </c>
      <c r="D53" s="18"/>
      <c r="E53" s="25" t="str">
        <f>IF('Global Precios'!D54="","",'Global Precios'!D54)</f>
        <v>COLOTRIN PALATABLE BLISTER X 6 COM</v>
      </c>
      <c r="F53" s="18"/>
      <c r="G53" s="25">
        <f>IFERROR(VLOOKUP(C53,'BuscarV Stock'!$A$2:$C$478,3,0),"AAA")</f>
        <v>4</v>
      </c>
      <c r="H53" s="25">
        <f t="shared" si="1"/>
        <v>0.21</v>
      </c>
      <c r="I53" s="30">
        <f>IF('Global Precios'!H54="","",'Global Precios'!H54)</f>
        <v>2281.818182</v>
      </c>
      <c r="J53" s="82">
        <f>IF('Global Precios'!K54="","",'Global Precios'!K54)</f>
        <v>0.8</v>
      </c>
      <c r="K53" s="30">
        <f>IF('Global Precios'!Z54="Desactivado",0,IF('Global Precios'!L54="","",'Global Precios'!L54))</f>
        <v>0</v>
      </c>
      <c r="L53" s="18"/>
      <c r="M53" s="18"/>
      <c r="N53" s="18"/>
      <c r="O53" s="18"/>
      <c r="P53" s="18"/>
      <c r="Q53" s="18"/>
      <c r="R53" s="18" t="str">
        <f>IF('Global Precios'!F54="","",'Global Precios'!F54)</f>
        <v>Medicamentos</v>
      </c>
      <c r="S53" s="18"/>
      <c r="T53" s="18" t="str">
        <f>IF('Global Precios'!E54="","",'Global Precios'!E54)</f>
        <v>JOHN MARTIN</v>
      </c>
      <c r="U53" s="18"/>
      <c r="V53" s="18">
        <f t="shared" si="2"/>
        <v>0</v>
      </c>
      <c r="W53" s="18"/>
      <c r="X53" s="18"/>
      <c r="Y53" s="18"/>
      <c r="Z53" s="18"/>
      <c r="AA53" s="18"/>
      <c r="AB53" s="18">
        <f t="shared" si="3"/>
        <v>1</v>
      </c>
      <c r="AC53" s="18">
        <f t="shared" si="4"/>
        <v>1</v>
      </c>
      <c r="AD53" s="18">
        <f t="shared" si="5"/>
        <v>1</v>
      </c>
      <c r="AE53" s="18">
        <f t="shared" si="6"/>
        <v>1</v>
      </c>
    </row>
    <row r="54">
      <c r="A54" s="9">
        <f>IF(E54="","", IF('Global Precios'!B55="",0,'Global Precios'!B55))</f>
        <v>0</v>
      </c>
      <c r="B54" s="14" t="str">
        <f>IF('Global Precios'!B55="","",'Global Precios'!B55)</f>
        <v/>
      </c>
      <c r="C54" s="18">
        <f>IF('Global Precios'!A55="","",'Global Precios'!A55)</f>
        <v>54</v>
      </c>
      <c r="D54" s="18"/>
      <c r="E54" s="25" t="str">
        <f>IF('Global Precios'!D55="","",'Global Precios'!D55)</f>
        <v>COMPLEJO VITAMINICO JM X 100 ML</v>
      </c>
      <c r="F54" s="18"/>
      <c r="G54" s="25">
        <f>IFERROR(VLOOKUP(C54,'BuscarV Stock'!$A$2:$C$478,3,0),"AAA")</f>
        <v>0</v>
      </c>
      <c r="H54" s="25">
        <f t="shared" si="1"/>
        <v>0.21</v>
      </c>
      <c r="I54" s="30">
        <f>IF('Global Precios'!H55="","",'Global Precios'!H55)</f>
        <v>4876.033058</v>
      </c>
      <c r="J54" s="82">
        <f>IF('Global Precios'!K55="","",'Global Precios'!K55)</f>
        <v>0.8</v>
      </c>
      <c r="K54" s="30">
        <f>IF('Global Precios'!Z55="Desactivado",0,IF('Global Precios'!L55="","",'Global Precios'!L55))</f>
        <v>11000</v>
      </c>
      <c r="L54" s="18"/>
      <c r="M54" s="18"/>
      <c r="N54" s="18"/>
      <c r="O54" s="18"/>
      <c r="P54" s="18"/>
      <c r="Q54" s="18"/>
      <c r="R54" s="18" t="str">
        <f>IF('Global Precios'!F55="","",'Global Precios'!F55)</f>
        <v>Medicamentos</v>
      </c>
      <c r="S54" s="18"/>
      <c r="T54" s="18" t="str">
        <f>IF('Global Precios'!E55="","",'Global Precios'!E55)</f>
        <v>JOHN MARTIN</v>
      </c>
      <c r="U54" s="18"/>
      <c r="V54" s="18">
        <f t="shared" si="2"/>
        <v>0</v>
      </c>
      <c r="W54" s="18"/>
      <c r="X54" s="18"/>
      <c r="Y54" s="18"/>
      <c r="Z54" s="18"/>
      <c r="AA54" s="18"/>
      <c r="AB54" s="18">
        <f t="shared" si="3"/>
        <v>1</v>
      </c>
      <c r="AC54" s="18">
        <f t="shared" si="4"/>
        <v>1</v>
      </c>
      <c r="AD54" s="18">
        <f t="shared" si="5"/>
        <v>1</v>
      </c>
      <c r="AE54" s="18">
        <f t="shared" si="6"/>
        <v>1</v>
      </c>
    </row>
    <row r="55">
      <c r="A55" s="9">
        <f>IF(E55="","", IF('Global Precios'!B56="",0,'Global Precios'!B56))</f>
        <v>0</v>
      </c>
      <c r="B55" s="14" t="str">
        <f>IF('Global Precios'!B56="","",'Global Precios'!B56)</f>
        <v/>
      </c>
      <c r="C55" s="18">
        <f>IF('Global Precios'!A56="","",'Global Precios'!A56)</f>
        <v>55</v>
      </c>
      <c r="D55" s="18"/>
      <c r="E55" s="25" t="str">
        <f>IF('Global Precios'!D56="","",'Global Precios'!D56)</f>
        <v>HEPATOPROTECTOR JM X 15 ML</v>
      </c>
      <c r="F55" s="18"/>
      <c r="G55" s="25">
        <f>IFERROR(VLOOKUP(C55,'BuscarV Stock'!$A$2:$C$478,3,0),"AAA")</f>
        <v>0</v>
      </c>
      <c r="H55" s="25">
        <f t="shared" si="1"/>
        <v>0.21</v>
      </c>
      <c r="I55" s="30">
        <f>IF('Global Precios'!H56="","",'Global Precios'!H56)</f>
        <v>3454.545455</v>
      </c>
      <c r="J55" s="82">
        <f>IF('Global Precios'!K56="","",'Global Precios'!K56)</f>
        <v>0.8</v>
      </c>
      <c r="K55" s="30">
        <f>IF('Global Precios'!Z56="Desactivado",0,IF('Global Precios'!L56="","",'Global Precios'!L56))</f>
        <v>0</v>
      </c>
      <c r="L55" s="18"/>
      <c r="M55" s="18"/>
      <c r="N55" s="18"/>
      <c r="O55" s="18"/>
      <c r="P55" s="18"/>
      <c r="Q55" s="18"/>
      <c r="R55" s="18" t="str">
        <f>IF('Global Precios'!F56="","",'Global Precios'!F56)</f>
        <v>Medicamentos</v>
      </c>
      <c r="S55" s="18"/>
      <c r="T55" s="18" t="str">
        <f>IF('Global Precios'!E56="","",'Global Precios'!E56)</f>
        <v>JOHN MARTIN</v>
      </c>
      <c r="U55" s="18"/>
      <c r="V55" s="18">
        <f t="shared" si="2"/>
        <v>0</v>
      </c>
      <c r="W55" s="18"/>
      <c r="X55" s="18"/>
      <c r="Y55" s="18"/>
      <c r="Z55" s="18"/>
      <c r="AA55" s="18"/>
      <c r="AB55" s="18">
        <f t="shared" si="3"/>
        <v>1</v>
      </c>
      <c r="AC55" s="18">
        <f t="shared" si="4"/>
        <v>1</v>
      </c>
      <c r="AD55" s="18">
        <f t="shared" si="5"/>
        <v>1</v>
      </c>
      <c r="AE55" s="18">
        <f t="shared" si="6"/>
        <v>1</v>
      </c>
    </row>
    <row r="56">
      <c r="A56" s="9">
        <f>IF(E56="","", IF('Global Precios'!B57="",0,'Global Precios'!B57))</f>
        <v>0</v>
      </c>
      <c r="B56" s="14" t="str">
        <f>IF('Global Precios'!B57="","",'Global Precios'!B57)</f>
        <v/>
      </c>
      <c r="C56" s="18">
        <f>IF('Global Precios'!A57="","",'Global Precios'!A57)</f>
        <v>56</v>
      </c>
      <c r="D56" s="18"/>
      <c r="E56" s="25" t="str">
        <f>IF('Global Precios'!D57="","",'Global Precios'!D57)</f>
        <v>MELOXIVET COMPRIMIDO X 1 COMP</v>
      </c>
      <c r="F56" s="18"/>
      <c r="G56" s="25">
        <f>IFERROR(VLOOKUP(C56,'BuscarV Stock'!$A$2:$C$478,3,0),"AAA")</f>
        <v>120</v>
      </c>
      <c r="H56" s="25">
        <f t="shared" si="1"/>
        <v>0.21</v>
      </c>
      <c r="I56" s="30">
        <f>IF('Global Precios'!H57="","",'Global Precios'!H57)</f>
        <v>330.5785124</v>
      </c>
      <c r="J56" s="82">
        <f>IF('Global Precios'!K57="","",'Global Precios'!K57)</f>
        <v>1</v>
      </c>
      <c r="K56" s="30">
        <f>IF('Global Precios'!Z57="Desactivado",0,IF('Global Precios'!L57="","",'Global Precios'!L57))</f>
        <v>1000</v>
      </c>
      <c r="L56" s="18"/>
      <c r="M56" s="18"/>
      <c r="N56" s="18"/>
      <c r="O56" s="18"/>
      <c r="P56" s="18"/>
      <c r="Q56" s="18"/>
      <c r="R56" s="18" t="str">
        <f>IF('Global Precios'!F57="","",'Global Precios'!F57)</f>
        <v>Medicamentos</v>
      </c>
      <c r="S56" s="18"/>
      <c r="T56" s="18" t="str">
        <f>IF('Global Precios'!E57="","",'Global Precios'!E57)</f>
        <v>JOHN MARTIN</v>
      </c>
      <c r="U56" s="18"/>
      <c r="V56" s="18">
        <f t="shared" si="2"/>
        <v>0</v>
      </c>
      <c r="W56" s="18"/>
      <c r="X56" s="18"/>
      <c r="Y56" s="18"/>
      <c r="Z56" s="18"/>
      <c r="AA56" s="18"/>
      <c r="AB56" s="18">
        <f t="shared" si="3"/>
        <v>1</v>
      </c>
      <c r="AC56" s="18">
        <f t="shared" si="4"/>
        <v>1</v>
      </c>
      <c r="AD56" s="18">
        <f t="shared" si="5"/>
        <v>1</v>
      </c>
      <c r="AE56" s="18">
        <f t="shared" si="6"/>
        <v>1</v>
      </c>
    </row>
    <row r="57">
      <c r="A57" s="9">
        <f>IF(E57="","", IF('Global Precios'!B58="",0,'Global Precios'!B58))</f>
        <v>0</v>
      </c>
      <c r="B57" s="14" t="str">
        <f>IF('Global Precios'!B58="","",'Global Precios'!B58)</f>
        <v/>
      </c>
      <c r="C57" s="18">
        <f>IF('Global Precios'!A58="","",'Global Precios'!A58)</f>
        <v>57</v>
      </c>
      <c r="D57" s="18"/>
      <c r="E57" s="25" t="str">
        <f>IF('Global Precios'!D58="","",'Global Precios'!D58)</f>
        <v>MELOXIVET GOTAS X 10 ML</v>
      </c>
      <c r="F57" s="18"/>
      <c r="G57" s="25">
        <f>IFERROR(VLOOKUP(C57,'BuscarV Stock'!$A$2:$C$478,3,0),"AAA")</f>
        <v>0</v>
      </c>
      <c r="H57" s="25">
        <f t="shared" si="1"/>
        <v>0.21</v>
      </c>
      <c r="I57" s="30">
        <f>IF('Global Precios'!H58="","",'Global Precios'!H58)</f>
        <v>6287.603306</v>
      </c>
      <c r="J57" s="82">
        <f>IF('Global Precios'!K58="","",'Global Precios'!K58)</f>
        <v>0.8</v>
      </c>
      <c r="K57" s="30">
        <f>IF('Global Precios'!Z58="Desactivado",0,IF('Global Precios'!L58="","",'Global Precios'!L58))</f>
        <v>14000</v>
      </c>
      <c r="L57" s="18"/>
      <c r="M57" s="18"/>
      <c r="N57" s="18"/>
      <c r="O57" s="18"/>
      <c r="P57" s="18"/>
      <c r="Q57" s="18"/>
      <c r="R57" s="18" t="str">
        <f>IF('Global Precios'!F58="","",'Global Precios'!F58)</f>
        <v>Medicamentos</v>
      </c>
      <c r="S57" s="18"/>
      <c r="T57" s="18" t="str">
        <f>IF('Global Precios'!E58="","",'Global Precios'!E58)</f>
        <v>JOHN MARTIN</v>
      </c>
      <c r="U57" s="18"/>
      <c r="V57" s="18">
        <f t="shared" si="2"/>
        <v>0</v>
      </c>
      <c r="W57" s="18"/>
      <c r="X57" s="18"/>
      <c r="Y57" s="18"/>
      <c r="Z57" s="18"/>
      <c r="AA57" s="18"/>
      <c r="AB57" s="18">
        <f t="shared" si="3"/>
        <v>1</v>
      </c>
      <c r="AC57" s="18">
        <f t="shared" si="4"/>
        <v>1</v>
      </c>
      <c r="AD57" s="18">
        <f t="shared" si="5"/>
        <v>1</v>
      </c>
      <c r="AE57" s="18">
        <f t="shared" si="6"/>
        <v>1</v>
      </c>
    </row>
    <row r="58">
      <c r="A58" s="9">
        <f>IF(E58="","", IF('Global Precios'!B59="",0,'Global Precios'!B59))</f>
        <v>0</v>
      </c>
      <c r="B58" s="14" t="str">
        <f>IF('Global Precios'!B59="","",'Global Precios'!B59)</f>
        <v/>
      </c>
      <c r="C58" s="18">
        <f>IF('Global Precios'!A59="","",'Global Precios'!A59)</f>
        <v>58</v>
      </c>
      <c r="D58" s="18"/>
      <c r="E58" s="25" t="str">
        <f>IF('Global Precios'!D59="","",'Global Precios'!D59)</f>
        <v>NUTRIPET PALATABLE X 40 GRS</v>
      </c>
      <c r="F58" s="18"/>
      <c r="G58" s="25">
        <f>IFERROR(VLOOKUP(C58,'BuscarV Stock'!$A$2:$C$478,3,0),"AAA")</f>
        <v>0</v>
      </c>
      <c r="H58" s="25">
        <f t="shared" si="1"/>
        <v>0.21</v>
      </c>
      <c r="I58" s="30">
        <f>IF('Global Precios'!H59="","",'Global Precios'!H59)</f>
        <v>3416.528926</v>
      </c>
      <c r="J58" s="82">
        <f>IF('Global Precios'!K59="","",'Global Precios'!K59)</f>
        <v>0.8</v>
      </c>
      <c r="K58" s="30">
        <f>IF('Global Precios'!Z59="Desactivado",0,IF('Global Precios'!L59="","",'Global Precios'!L59))</f>
        <v>7500</v>
      </c>
      <c r="L58" s="18"/>
      <c r="M58" s="18"/>
      <c r="N58" s="18"/>
      <c r="O58" s="18"/>
      <c r="P58" s="18"/>
      <c r="Q58" s="18"/>
      <c r="R58" s="18" t="str">
        <f>IF('Global Precios'!F59="","",'Global Precios'!F59)</f>
        <v>Medicamentos</v>
      </c>
      <c r="S58" s="18"/>
      <c r="T58" s="18" t="str">
        <f>IF('Global Precios'!E59="","",'Global Precios'!E59)</f>
        <v>JOHN MARTIN</v>
      </c>
      <c r="U58" s="18"/>
      <c r="V58" s="18">
        <f t="shared" si="2"/>
        <v>0</v>
      </c>
      <c r="W58" s="18"/>
      <c r="X58" s="18"/>
      <c r="Y58" s="18"/>
      <c r="Z58" s="18"/>
      <c r="AA58" s="18"/>
      <c r="AB58" s="18">
        <f t="shared" si="3"/>
        <v>1</v>
      </c>
      <c r="AC58" s="18">
        <f t="shared" si="4"/>
        <v>1</v>
      </c>
      <c r="AD58" s="18">
        <f t="shared" si="5"/>
        <v>1</v>
      </c>
      <c r="AE58" s="18">
        <f t="shared" si="6"/>
        <v>1</v>
      </c>
    </row>
    <row r="59">
      <c r="A59" s="9">
        <f>IF(E59="","", IF('Global Precios'!B60="",0,'Global Precios'!B60))</f>
        <v>0</v>
      </c>
      <c r="B59" s="14" t="str">
        <f>IF('Global Precios'!B60="","",'Global Precios'!B60)</f>
        <v/>
      </c>
      <c r="C59" s="18">
        <f>IF('Global Precios'!A60="","",'Global Precios'!A60)</f>
        <v>59</v>
      </c>
      <c r="D59" s="18"/>
      <c r="E59" s="25" t="str">
        <f>IF('Global Precios'!D60="","",'Global Precios'!D60)</f>
        <v>TRAMADOL HOSPITALARIO X BLISTER X 10 COMP</v>
      </c>
      <c r="F59" s="18"/>
      <c r="G59" s="25">
        <f>IFERROR(VLOOKUP(C59,'BuscarV Stock'!$A$2:$C$478,3,0),"AAA")</f>
        <v>2</v>
      </c>
      <c r="H59" s="25">
        <f t="shared" si="1"/>
        <v>0.21</v>
      </c>
      <c r="I59" s="30">
        <f>IF('Global Precios'!H60="","",'Global Precios'!H60)</f>
        <v>1985.123967</v>
      </c>
      <c r="J59" s="82">
        <f>IF('Global Precios'!K60="","",'Global Precios'!K60)</f>
        <v>1</v>
      </c>
      <c r="K59" s="30">
        <f>IF('Global Precios'!Z60="Desactivado",0,IF('Global Precios'!L60="","",'Global Precios'!L60))</f>
        <v>0</v>
      </c>
      <c r="L59" s="18"/>
      <c r="M59" s="18"/>
      <c r="N59" s="18"/>
      <c r="O59" s="18"/>
      <c r="P59" s="18"/>
      <c r="Q59" s="18"/>
      <c r="R59" s="18" t="str">
        <f>IF('Global Precios'!F60="","",'Global Precios'!F60)</f>
        <v>Medicamentos</v>
      </c>
      <c r="S59" s="18"/>
      <c r="T59" s="18" t="str">
        <f>IF('Global Precios'!E60="","",'Global Precios'!E60)</f>
        <v>JOHN MARTIN</v>
      </c>
      <c r="U59" s="18"/>
      <c r="V59" s="18">
        <f t="shared" si="2"/>
        <v>0</v>
      </c>
      <c r="W59" s="18"/>
      <c r="X59" s="18"/>
      <c r="Y59" s="18"/>
      <c r="Z59" s="18"/>
      <c r="AA59" s="18"/>
      <c r="AB59" s="18">
        <f t="shared" si="3"/>
        <v>1</v>
      </c>
      <c r="AC59" s="18">
        <f t="shared" si="4"/>
        <v>1</v>
      </c>
      <c r="AD59" s="18">
        <f t="shared" si="5"/>
        <v>1</v>
      </c>
      <c r="AE59" s="18">
        <f t="shared" si="6"/>
        <v>1</v>
      </c>
    </row>
    <row r="60">
      <c r="A60" s="9">
        <f>IF(E60="","", IF('Global Precios'!B61="",0,'Global Precios'!B61))</f>
        <v>0</v>
      </c>
      <c r="B60" s="14" t="str">
        <f>IF('Global Precios'!B61="","",'Global Precios'!B61)</f>
        <v/>
      </c>
      <c r="C60" s="18">
        <f>IF('Global Precios'!A61="","",'Global Precios'!A61)</f>
        <v>60</v>
      </c>
      <c r="D60" s="18"/>
      <c r="E60" s="25" t="str">
        <f>IF('Global Precios'!D61="","",'Global Precios'!D61)</f>
        <v>DOMINAL MAX GATO HASTA 4 KG</v>
      </c>
      <c r="F60" s="18"/>
      <c r="G60" s="25">
        <f>IFERROR(VLOOKUP(C60,'BuscarV Stock'!$A$2:$C$478,3,0),"AAA")</f>
        <v>0</v>
      </c>
      <c r="H60" s="25">
        <f t="shared" si="1"/>
        <v>0.21</v>
      </c>
      <c r="I60" s="30">
        <f>IF('Global Precios'!H61="","",'Global Precios'!H61)</f>
        <v>1686.77686</v>
      </c>
      <c r="J60" s="82">
        <f>IF('Global Precios'!K61="","",'Global Precios'!K61)</f>
        <v>0.8</v>
      </c>
      <c r="K60" s="30">
        <f>IF('Global Precios'!Z61="Desactivado",0,IF('Global Precios'!L61="","",'Global Precios'!L61))</f>
        <v>0</v>
      </c>
      <c r="L60" s="18"/>
      <c r="M60" s="18"/>
      <c r="N60" s="18"/>
      <c r="O60" s="18"/>
      <c r="P60" s="18"/>
      <c r="Q60" s="18"/>
      <c r="R60" s="18" t="str">
        <f>IF('Global Precios'!F61="","",'Global Precios'!F61)</f>
        <v>Medicamentos</v>
      </c>
      <c r="S60" s="18"/>
      <c r="T60" s="18" t="str">
        <f>IF('Global Precios'!E61="","",'Global Precios'!E61)</f>
        <v>KONIG P.A</v>
      </c>
      <c r="U60" s="18"/>
      <c r="V60" s="18">
        <f t="shared" si="2"/>
        <v>0</v>
      </c>
      <c r="W60" s="18"/>
      <c r="X60" s="18"/>
      <c r="Y60" s="18"/>
      <c r="Z60" s="18"/>
      <c r="AA60" s="18"/>
      <c r="AB60" s="18">
        <f t="shared" si="3"/>
        <v>1</v>
      </c>
      <c r="AC60" s="18">
        <f t="shared" si="4"/>
        <v>1</v>
      </c>
      <c r="AD60" s="18">
        <f t="shared" si="5"/>
        <v>1</v>
      </c>
      <c r="AE60" s="18">
        <f t="shared" si="6"/>
        <v>1</v>
      </c>
    </row>
    <row r="61">
      <c r="A61" s="9">
        <f>IF(E61="","", IF('Global Precios'!B62="",0,'Global Precios'!B62))</f>
        <v>0</v>
      </c>
      <c r="B61" s="14" t="str">
        <f>IF('Global Precios'!B62="","",'Global Precios'!B62)</f>
        <v/>
      </c>
      <c r="C61" s="18">
        <f>IF('Global Precios'!A62="","",'Global Precios'!A62)</f>
        <v>61</v>
      </c>
      <c r="D61" s="18"/>
      <c r="E61" s="25" t="str">
        <f>IF('Global Precios'!D62="","",'Global Precios'!D62)</f>
        <v>DOMINAL MAX GATO MAS DE 4 KG</v>
      </c>
      <c r="F61" s="18"/>
      <c r="G61" s="25">
        <f>IFERROR(VLOOKUP(C61,'BuscarV Stock'!$A$2:$C$478,3,0),"AAA")</f>
        <v>4</v>
      </c>
      <c r="H61" s="25">
        <f t="shared" si="1"/>
        <v>0.21</v>
      </c>
      <c r="I61" s="30">
        <f>IF('Global Precios'!H62="","",'Global Precios'!H62)</f>
        <v>1861.157025</v>
      </c>
      <c r="J61" s="82">
        <f>IF('Global Precios'!K62="","",'Global Precios'!K62)</f>
        <v>0.8</v>
      </c>
      <c r="K61" s="30">
        <f>IF('Global Precios'!Z62="Desactivado",0,IF('Global Precios'!L62="","",'Global Precios'!L62))</f>
        <v>0</v>
      </c>
      <c r="L61" s="18"/>
      <c r="M61" s="18"/>
      <c r="N61" s="18"/>
      <c r="O61" s="18"/>
      <c r="P61" s="18"/>
      <c r="Q61" s="18"/>
      <c r="R61" s="18" t="str">
        <f>IF('Global Precios'!F62="","",'Global Precios'!F62)</f>
        <v>Medicamentos</v>
      </c>
      <c r="S61" s="18"/>
      <c r="T61" s="18" t="str">
        <f>IF('Global Precios'!E62="","",'Global Precios'!E62)</f>
        <v>KONIG P.A</v>
      </c>
      <c r="U61" s="18"/>
      <c r="V61" s="18">
        <f t="shared" si="2"/>
        <v>0</v>
      </c>
      <c r="W61" s="18"/>
      <c r="X61" s="18"/>
      <c r="Y61" s="18"/>
      <c r="Z61" s="18"/>
      <c r="AA61" s="18"/>
      <c r="AB61" s="18">
        <f t="shared" si="3"/>
        <v>1</v>
      </c>
      <c r="AC61" s="18">
        <f t="shared" si="4"/>
        <v>1</v>
      </c>
      <c r="AD61" s="18">
        <f t="shared" si="5"/>
        <v>1</v>
      </c>
      <c r="AE61" s="18">
        <f t="shared" si="6"/>
        <v>1</v>
      </c>
    </row>
    <row r="62">
      <c r="A62" s="9">
        <f>IF(E62="","", IF('Global Precios'!B63="",0,'Global Precios'!B63))</f>
        <v>0</v>
      </c>
      <c r="B62" s="14" t="str">
        <f>IF('Global Precios'!B63="","",'Global Precios'!B63)</f>
        <v/>
      </c>
      <c r="C62" s="18">
        <f>IF('Global Precios'!A63="","",'Global Precios'!A63)</f>
        <v>62</v>
      </c>
      <c r="D62" s="18"/>
      <c r="E62" s="25" t="str">
        <f>IF('Global Precios'!D63="","",'Global Precios'!D63)</f>
        <v>DOMINAL MAX PERRO 5-10 KG</v>
      </c>
      <c r="F62" s="18"/>
      <c r="G62" s="25">
        <f>IFERROR(VLOOKUP(C62,'BuscarV Stock'!$A$2:$C$478,3,0),"AAA")</f>
        <v>5</v>
      </c>
      <c r="H62" s="25">
        <f t="shared" si="1"/>
        <v>0.21</v>
      </c>
      <c r="I62" s="30">
        <f>IF('Global Precios'!H63="","",'Global Precios'!H63)</f>
        <v>2128.099174</v>
      </c>
      <c r="J62" s="82">
        <f>IF('Global Precios'!K63="","",'Global Precios'!K63)</f>
        <v>0.8</v>
      </c>
      <c r="K62" s="30">
        <f>IF('Global Precios'!Z63="Desactivado",0,IF('Global Precios'!L63="","",'Global Precios'!L63))</f>
        <v>4500</v>
      </c>
      <c r="L62" s="18"/>
      <c r="M62" s="18"/>
      <c r="N62" s="18"/>
      <c r="O62" s="18"/>
      <c r="P62" s="18"/>
      <c r="Q62" s="18"/>
      <c r="R62" s="18" t="str">
        <f>IF('Global Precios'!F63="","",'Global Precios'!F63)</f>
        <v>Medicamentos</v>
      </c>
      <c r="S62" s="18"/>
      <c r="T62" s="18" t="str">
        <f>IF('Global Precios'!E63="","",'Global Precios'!E63)</f>
        <v>KONIG P.A</v>
      </c>
      <c r="U62" s="18"/>
      <c r="V62" s="18">
        <f t="shared" si="2"/>
        <v>0</v>
      </c>
      <c r="W62" s="18"/>
      <c r="X62" s="18"/>
      <c r="Y62" s="18"/>
      <c r="Z62" s="18"/>
      <c r="AA62" s="18"/>
      <c r="AB62" s="18">
        <f t="shared" si="3"/>
        <v>1</v>
      </c>
      <c r="AC62" s="18">
        <f t="shared" si="4"/>
        <v>1</v>
      </c>
      <c r="AD62" s="18">
        <f t="shared" si="5"/>
        <v>1</v>
      </c>
      <c r="AE62" s="18">
        <f t="shared" si="6"/>
        <v>1</v>
      </c>
    </row>
    <row r="63">
      <c r="A63" s="9">
        <f>IF(E63="","", IF('Global Precios'!B64="",0,'Global Precios'!B64))</f>
        <v>0</v>
      </c>
      <c r="B63" s="14" t="str">
        <f>IF('Global Precios'!B64="","",'Global Precios'!B64)</f>
        <v/>
      </c>
      <c r="C63" s="18">
        <f>IF('Global Precios'!A64="","",'Global Precios'!A64)</f>
        <v>63</v>
      </c>
      <c r="D63" s="18"/>
      <c r="E63" s="25" t="str">
        <f>IF('Global Precios'!D64="","",'Global Precios'!D64)</f>
        <v>DOMINAL MAX PERRO HASTA 5 KG</v>
      </c>
      <c r="F63" s="18"/>
      <c r="G63" s="25">
        <f>IFERROR(VLOOKUP(C63,'BuscarV Stock'!$A$2:$C$478,3,0),"AAA")</f>
        <v>0</v>
      </c>
      <c r="H63" s="25">
        <f t="shared" si="1"/>
        <v>0.21</v>
      </c>
      <c r="I63" s="30">
        <f>IF('Global Precios'!H64="","",'Global Precios'!H64)</f>
        <v>1957.85124</v>
      </c>
      <c r="J63" s="82">
        <f>IF('Global Precios'!K64="","",'Global Precios'!K64)</f>
        <v>0.8</v>
      </c>
      <c r="K63" s="30">
        <f>IF('Global Precios'!Z64="Desactivado",0,IF('Global Precios'!L64="","",'Global Precios'!L64))</f>
        <v>4500</v>
      </c>
      <c r="L63" s="18"/>
      <c r="M63" s="18"/>
      <c r="N63" s="18"/>
      <c r="O63" s="18"/>
      <c r="P63" s="18"/>
      <c r="Q63" s="18"/>
      <c r="R63" s="18" t="str">
        <f>IF('Global Precios'!F64="","",'Global Precios'!F64)</f>
        <v>Medicamentos</v>
      </c>
      <c r="S63" s="18"/>
      <c r="T63" s="18" t="str">
        <f>IF('Global Precios'!E64="","",'Global Precios'!E64)</f>
        <v>KONIG P.A</v>
      </c>
      <c r="U63" s="18"/>
      <c r="V63" s="18">
        <f t="shared" si="2"/>
        <v>0</v>
      </c>
      <c r="W63" s="18"/>
      <c r="X63" s="18"/>
      <c r="Y63" s="18"/>
      <c r="Z63" s="18"/>
      <c r="AA63" s="18"/>
      <c r="AB63" s="18">
        <f t="shared" si="3"/>
        <v>1</v>
      </c>
      <c r="AC63" s="18">
        <f t="shared" si="4"/>
        <v>1</v>
      </c>
      <c r="AD63" s="18">
        <f t="shared" si="5"/>
        <v>1</v>
      </c>
      <c r="AE63" s="18">
        <f t="shared" si="6"/>
        <v>1</v>
      </c>
    </row>
    <row r="64">
      <c r="A64" s="9">
        <f>IF(E64="","", IF('Global Precios'!B65="",0,'Global Precios'!B65))</f>
        <v>0</v>
      </c>
      <c r="B64" s="14" t="str">
        <f>IF('Global Precios'!B65="","",'Global Precios'!B65)</f>
        <v/>
      </c>
      <c r="C64" s="18">
        <f>IF('Global Precios'!A65="","",'Global Precios'!A65)</f>
        <v>64</v>
      </c>
      <c r="D64" s="18"/>
      <c r="E64" s="25" t="str">
        <f>IF('Global Precios'!D65="","",'Global Precios'!D65)</f>
        <v>EUTAZUM X 120 ML</v>
      </c>
      <c r="F64" s="18"/>
      <c r="G64" s="25">
        <f>IFERROR(VLOOKUP(C64,'BuscarV Stock'!$A$2:$C$478,3,0),"AAA")</f>
        <v>0</v>
      </c>
      <c r="H64" s="25">
        <f t="shared" si="1"/>
        <v>0.21</v>
      </c>
      <c r="I64" s="30">
        <f>IF('Global Precios'!H65="","",'Global Precios'!H65)</f>
        <v>1718.181818</v>
      </c>
      <c r="J64" s="82">
        <f>IF('Global Precios'!K65="","",'Global Precios'!K65)</f>
        <v>0.8</v>
      </c>
      <c r="K64" s="30">
        <f>IF('Global Precios'!Z65="Desactivado",0,IF('Global Precios'!L65="","",'Global Precios'!L65))</f>
        <v>0</v>
      </c>
      <c r="L64" s="18"/>
      <c r="M64" s="18"/>
      <c r="N64" s="18"/>
      <c r="O64" s="18"/>
      <c r="P64" s="18"/>
      <c r="Q64" s="18"/>
      <c r="R64" s="18" t="str">
        <f>IF('Global Precios'!F65="","",'Global Precios'!F65)</f>
        <v>Medicamentos</v>
      </c>
      <c r="S64" s="18"/>
      <c r="T64" s="18" t="str">
        <f>IF('Global Precios'!E65="","",'Global Precios'!E65)</f>
        <v>KONIG P.A</v>
      </c>
      <c r="U64" s="18"/>
      <c r="V64" s="18">
        <f t="shared" si="2"/>
        <v>0</v>
      </c>
      <c r="W64" s="18"/>
      <c r="X64" s="18"/>
      <c r="Y64" s="18"/>
      <c r="Z64" s="18"/>
      <c r="AA64" s="18"/>
      <c r="AB64" s="18">
        <f t="shared" si="3"/>
        <v>1</v>
      </c>
      <c r="AC64" s="18">
        <f t="shared" si="4"/>
        <v>1</v>
      </c>
      <c r="AD64" s="18">
        <f t="shared" si="5"/>
        <v>1</v>
      </c>
      <c r="AE64" s="18">
        <f t="shared" si="6"/>
        <v>1</v>
      </c>
    </row>
    <row r="65">
      <c r="A65" s="9">
        <f>IF(E65="","", IF('Global Precios'!B66="",0,'Global Precios'!B66))</f>
        <v>0</v>
      </c>
      <c r="B65" s="14" t="str">
        <f>IF('Global Precios'!B66="","",'Global Precios'!B66)</f>
        <v/>
      </c>
      <c r="C65" s="18">
        <f>IF('Global Precios'!A66="","",'Global Precios'!A66)</f>
        <v>65</v>
      </c>
      <c r="D65" s="18"/>
      <c r="E65" s="25" t="str">
        <f>IF('Global Precios'!D66="","",'Global Precios'!D66)</f>
        <v>ENROFLOXACINA KUALKOS 50 MG X Blister x 10 COMP</v>
      </c>
      <c r="F65" s="18"/>
      <c r="G65" s="25">
        <f>IFERROR(VLOOKUP(C65,'BuscarV Stock'!$A$2:$C$478,3,0),"AAA")</f>
        <v>2</v>
      </c>
      <c r="H65" s="25">
        <f t="shared" si="1"/>
        <v>0.21</v>
      </c>
      <c r="I65" s="30">
        <f>IF('Global Precios'!H66="","",'Global Precios'!H66)</f>
        <v>944.6280992</v>
      </c>
      <c r="J65" s="82">
        <f>IF('Global Precios'!K66="","",'Global Precios'!K66)</f>
        <v>1</v>
      </c>
      <c r="K65" s="30">
        <f>IF('Global Precios'!Z66="Desactivado",0,IF('Global Precios'!L66="","",'Global Precios'!L66))</f>
        <v>2500</v>
      </c>
      <c r="L65" s="18"/>
      <c r="M65" s="18"/>
      <c r="N65" s="18"/>
      <c r="O65" s="18"/>
      <c r="P65" s="18"/>
      <c r="Q65" s="18"/>
      <c r="R65" s="18" t="str">
        <f>IF('Global Precios'!F66="","",'Global Precios'!F66)</f>
        <v>Medicamentos</v>
      </c>
      <c r="S65" s="18"/>
      <c r="T65" s="18" t="str">
        <f>IF('Global Precios'!E66="","",'Global Precios'!E66)</f>
        <v>KUALCOS</v>
      </c>
      <c r="U65" s="18"/>
      <c r="V65" s="18">
        <f t="shared" si="2"/>
        <v>0</v>
      </c>
      <c r="W65" s="18"/>
      <c r="X65" s="18"/>
      <c r="Y65" s="18"/>
      <c r="Z65" s="18"/>
      <c r="AA65" s="18"/>
      <c r="AB65" s="18">
        <f t="shared" si="3"/>
        <v>1</v>
      </c>
      <c r="AC65" s="18">
        <f t="shared" si="4"/>
        <v>1</v>
      </c>
      <c r="AD65" s="18">
        <f t="shared" si="5"/>
        <v>1</v>
      </c>
      <c r="AE65" s="18">
        <f t="shared" si="6"/>
        <v>1</v>
      </c>
    </row>
    <row r="66">
      <c r="A66" s="9">
        <f>IF(E66="","", IF('Global Precios'!B67="",0,'Global Precios'!B67))</f>
        <v>0</v>
      </c>
      <c r="B66" s="14" t="str">
        <f>IF('Global Precios'!B67="","",'Global Precios'!B67)</f>
        <v/>
      </c>
      <c r="C66" s="18">
        <f>IF('Global Precios'!A67="","",'Global Precios'!A67)</f>
        <v>66</v>
      </c>
      <c r="D66" s="18"/>
      <c r="E66" s="25" t="str">
        <f>IF('Global Precios'!D67="","",'Global Precios'!D67)</f>
        <v>KUALCODERM CREMA X 40 GRS</v>
      </c>
      <c r="F66" s="18"/>
      <c r="G66" s="25">
        <f>IFERROR(VLOOKUP(C66,'BuscarV Stock'!$A$2:$C$478,3,0),"AAA")</f>
        <v>5</v>
      </c>
      <c r="H66" s="25">
        <f t="shared" si="1"/>
        <v>0.21</v>
      </c>
      <c r="I66" s="30">
        <f>IF('Global Precios'!H67="","",'Global Precios'!H67)</f>
        <v>5064.46281</v>
      </c>
      <c r="J66" s="82">
        <f>IF('Global Precios'!K67="","",'Global Precios'!K67)</f>
        <v>0.8</v>
      </c>
      <c r="K66" s="30">
        <f>IF('Global Precios'!Z67="Desactivado",0,IF('Global Precios'!L67="","",'Global Precios'!L67))</f>
        <v>11000</v>
      </c>
      <c r="L66" s="18"/>
      <c r="M66" s="18"/>
      <c r="N66" s="18"/>
      <c r="O66" s="18"/>
      <c r="P66" s="18"/>
      <c r="Q66" s="18"/>
      <c r="R66" s="18" t="str">
        <f>IF('Global Precios'!F67="","",'Global Precios'!F67)</f>
        <v>Medicamentos</v>
      </c>
      <c r="S66" s="18"/>
      <c r="T66" s="18" t="str">
        <f>IF('Global Precios'!E67="","",'Global Precios'!E67)</f>
        <v>KUALCOS</v>
      </c>
      <c r="U66" s="18"/>
      <c r="V66" s="18">
        <f t="shared" si="2"/>
        <v>0</v>
      </c>
      <c r="W66" s="18"/>
      <c r="X66" s="18"/>
      <c r="Y66" s="18"/>
      <c r="Z66" s="18"/>
      <c r="AA66" s="18"/>
      <c r="AB66" s="18">
        <f t="shared" si="3"/>
        <v>1</v>
      </c>
      <c r="AC66" s="18">
        <f t="shared" si="4"/>
        <v>1</v>
      </c>
      <c r="AD66" s="18">
        <f t="shared" si="5"/>
        <v>1</v>
      </c>
      <c r="AE66" s="18">
        <f t="shared" si="6"/>
        <v>1</v>
      </c>
    </row>
    <row r="67">
      <c r="A67" s="9">
        <f>IF(E67="","", IF('Global Precios'!B68="",0,'Global Precios'!B68))</f>
        <v>0</v>
      </c>
      <c r="B67" s="14" t="str">
        <f>IF('Global Precios'!B68="","",'Global Precios'!B68)</f>
        <v/>
      </c>
      <c r="C67" s="18">
        <f>IF('Global Precios'!A68="","",'Global Precios'!A68)</f>
        <v>67</v>
      </c>
      <c r="D67" s="18"/>
      <c r="E67" s="25" t="str">
        <f>IF('Global Precios'!D68="","",'Global Precios'!D68)</f>
        <v>FELINE ENDOSPOT 02-05 KG</v>
      </c>
      <c r="F67" s="18"/>
      <c r="G67" s="25">
        <f>IFERROR(VLOOKUP(C67,'BuscarV Stock'!$A$2:$C$478,3,0),"AAA")</f>
        <v>0</v>
      </c>
      <c r="H67" s="25">
        <f t="shared" si="1"/>
        <v>0.21</v>
      </c>
      <c r="I67" s="30">
        <f>IF('Global Precios'!H68="","",'Global Precios'!H68)</f>
        <v>710.7438017</v>
      </c>
      <c r="J67" s="82">
        <f>IF('Global Precios'!K68="","",'Global Precios'!K68)</f>
        <v>0.8</v>
      </c>
      <c r="K67" s="30">
        <f>IF('Global Precios'!Z68="Desactivado",0,IF('Global Precios'!L68="","",'Global Precios'!L68))</f>
        <v>0</v>
      </c>
      <c r="L67" s="18"/>
      <c r="M67" s="18"/>
      <c r="N67" s="18"/>
      <c r="O67" s="18"/>
      <c r="P67" s="18"/>
      <c r="Q67" s="18"/>
      <c r="R67" s="18" t="str">
        <f>IF('Global Precios'!F68="","",'Global Precios'!F68)</f>
        <v>Medicamentos</v>
      </c>
      <c r="S67" s="18"/>
      <c r="T67" s="18" t="str">
        <f>IF('Global Precios'!E68="","",'Global Precios'!E68)</f>
        <v>LABYES</v>
      </c>
      <c r="U67" s="18"/>
      <c r="V67" s="18">
        <f t="shared" si="2"/>
        <v>0</v>
      </c>
      <c r="W67" s="18"/>
      <c r="X67" s="18"/>
      <c r="Y67" s="18"/>
      <c r="Z67" s="18"/>
      <c r="AA67" s="18"/>
      <c r="AB67" s="18">
        <f t="shared" si="3"/>
        <v>1</v>
      </c>
      <c r="AC67" s="18">
        <f t="shared" si="4"/>
        <v>1</v>
      </c>
      <c r="AD67" s="18">
        <f t="shared" si="5"/>
        <v>1</v>
      </c>
      <c r="AE67" s="18">
        <f t="shared" si="6"/>
        <v>1</v>
      </c>
    </row>
    <row r="68">
      <c r="A68" s="9">
        <f>IF(E68="","", IF('Global Precios'!B69="",0,'Global Precios'!B69))</f>
        <v>0</v>
      </c>
      <c r="B68" s="14" t="str">
        <f>IF('Global Precios'!B69="","",'Global Precios'!B69)</f>
        <v/>
      </c>
      <c r="C68" s="18">
        <f>IF('Global Precios'!A69="","",'Global Precios'!A69)</f>
        <v>68</v>
      </c>
      <c r="D68" s="18"/>
      <c r="E68" s="25" t="str">
        <f>IF('Global Precios'!D69="","",'Global Precios'!D69)</f>
        <v>FELINE ENDOSPOT MÁS DE 5 KG</v>
      </c>
      <c r="F68" s="18"/>
      <c r="G68" s="25">
        <f>IFERROR(VLOOKUP(C68,'BuscarV Stock'!$A$2:$C$478,3,0),"AAA")</f>
        <v>0</v>
      </c>
      <c r="H68" s="25">
        <f t="shared" si="1"/>
        <v>0.21</v>
      </c>
      <c r="I68" s="30">
        <f>IF('Global Precios'!H69="","",'Global Precios'!H69)</f>
        <v>763.6363636</v>
      </c>
      <c r="J68" s="82">
        <f>IF('Global Precios'!K69="","",'Global Precios'!K69)</f>
        <v>0.8</v>
      </c>
      <c r="K68" s="30">
        <f>IF('Global Precios'!Z69="Desactivado",0,IF('Global Precios'!L69="","",'Global Precios'!L69))</f>
        <v>0</v>
      </c>
      <c r="L68" s="18"/>
      <c r="M68" s="18"/>
      <c r="N68" s="18"/>
      <c r="O68" s="18"/>
      <c r="P68" s="18"/>
      <c r="Q68" s="18"/>
      <c r="R68" s="18" t="str">
        <f>IF('Global Precios'!F69="","",'Global Precios'!F69)</f>
        <v>Medicamentos</v>
      </c>
      <c r="S68" s="18"/>
      <c r="T68" s="18" t="str">
        <f>IF('Global Precios'!E69="","",'Global Precios'!E69)</f>
        <v>LABYES</v>
      </c>
      <c r="U68" s="18"/>
      <c r="V68" s="18">
        <f t="shared" si="2"/>
        <v>0</v>
      </c>
      <c r="W68" s="18"/>
      <c r="X68" s="18"/>
      <c r="Y68" s="18"/>
      <c r="Z68" s="18"/>
      <c r="AA68" s="18"/>
      <c r="AB68" s="18">
        <f t="shared" si="3"/>
        <v>1</v>
      </c>
      <c r="AC68" s="18">
        <f t="shared" si="4"/>
        <v>1</v>
      </c>
      <c r="AD68" s="18">
        <f t="shared" si="5"/>
        <v>1</v>
      </c>
      <c r="AE68" s="18">
        <f t="shared" si="6"/>
        <v>1</v>
      </c>
    </row>
    <row r="69">
      <c r="A69" s="9">
        <f>IF(E69="","", IF('Global Precios'!B70="",0,'Global Precios'!B70))</f>
        <v>0</v>
      </c>
      <c r="B69" s="14" t="str">
        <f>IF('Global Precios'!B70="","",'Global Precios'!B70)</f>
        <v/>
      </c>
      <c r="C69" s="18">
        <f>IF('Global Precios'!A70="","",'Global Precios'!A70)</f>
        <v>69</v>
      </c>
      <c r="D69" s="18"/>
      <c r="E69" s="25" t="str">
        <f>IF('Global Precios'!D70="","",'Global Precios'!D70)</f>
        <v>TAU CON ESTEROIDES X 10 ML</v>
      </c>
      <c r="F69" s="18"/>
      <c r="G69" s="25">
        <f>IFERROR(VLOOKUP(C69,'BuscarV Stock'!$A$2:$C$478,3,0),"AAA")</f>
        <v>0</v>
      </c>
      <c r="H69" s="25">
        <f t="shared" si="1"/>
        <v>0.21</v>
      </c>
      <c r="I69" s="30">
        <f>IF('Global Precios'!H70="","",'Global Precios'!H70)</f>
        <v>7267.768595</v>
      </c>
      <c r="J69" s="82">
        <f>IF('Global Precios'!K70="","",'Global Precios'!K70)</f>
        <v>0.8</v>
      </c>
      <c r="K69" s="30">
        <f>IF('Global Precios'!Z70="Desactivado",0,IF('Global Precios'!L70="","",'Global Precios'!L70))</f>
        <v>16000</v>
      </c>
      <c r="L69" s="18"/>
      <c r="M69" s="18"/>
      <c r="N69" s="18"/>
      <c r="O69" s="18"/>
      <c r="P69" s="18"/>
      <c r="Q69" s="18"/>
      <c r="R69" s="18" t="str">
        <f>IF('Global Precios'!F70="","",'Global Precios'!F70)</f>
        <v>Medicamentos</v>
      </c>
      <c r="S69" s="18"/>
      <c r="T69" s="18" t="str">
        <f>IF('Global Precios'!E70="","",'Global Precios'!E70)</f>
        <v>LABYES</v>
      </c>
      <c r="U69" s="18"/>
      <c r="V69" s="18">
        <f t="shared" si="2"/>
        <v>0</v>
      </c>
      <c r="W69" s="18"/>
      <c r="X69" s="18"/>
      <c r="Y69" s="18"/>
      <c r="Z69" s="18"/>
      <c r="AA69" s="18"/>
      <c r="AB69" s="18">
        <f t="shared" si="3"/>
        <v>1</v>
      </c>
      <c r="AC69" s="18">
        <f t="shared" si="4"/>
        <v>1</v>
      </c>
      <c r="AD69" s="18">
        <f t="shared" si="5"/>
        <v>1</v>
      </c>
      <c r="AE69" s="18">
        <f t="shared" si="6"/>
        <v>1</v>
      </c>
    </row>
    <row r="70">
      <c r="A70" s="9">
        <f>IF(E70="","", IF('Global Precios'!B71="",0,'Global Precios'!B71))</f>
        <v>0</v>
      </c>
      <c r="B70" s="14" t="str">
        <f>IF('Global Precios'!B71="","",'Global Precios'!B71)</f>
        <v/>
      </c>
      <c r="C70" s="18">
        <f>IF('Global Precios'!A71="","",'Global Precios'!A71)</f>
        <v>70</v>
      </c>
      <c r="D70" s="18"/>
      <c r="E70" s="25" t="str">
        <f>IF('Global Precios'!D71="","",'Global Precios'!D71)</f>
        <v>TAU SIN ESTEROIDES X 10 ML.</v>
      </c>
      <c r="F70" s="18"/>
      <c r="G70" s="25">
        <f>IFERROR(VLOOKUP(C70,'BuscarV Stock'!$A$2:$C$478,3,0),"AAA")</f>
        <v>2</v>
      </c>
      <c r="H70" s="25">
        <f t="shared" si="1"/>
        <v>0.21</v>
      </c>
      <c r="I70" s="30">
        <f>IF('Global Precios'!H71="","",'Global Precios'!H71)</f>
        <v>6546.280992</v>
      </c>
      <c r="J70" s="82">
        <f>IF('Global Precios'!K71="","",'Global Precios'!K71)</f>
        <v>0.8</v>
      </c>
      <c r="K70" s="30">
        <f>IF('Global Precios'!Z71="Desactivado",0,IF('Global Precios'!L71="","",'Global Precios'!L71))</f>
        <v>14000</v>
      </c>
      <c r="L70" s="18"/>
      <c r="M70" s="18"/>
      <c r="N70" s="18"/>
      <c r="O70" s="18"/>
      <c r="P70" s="18"/>
      <c r="Q70" s="18"/>
      <c r="R70" s="18" t="str">
        <f>IF('Global Precios'!F71="","",'Global Precios'!F71)</f>
        <v>Medicamentos</v>
      </c>
      <c r="S70" s="18"/>
      <c r="T70" s="18" t="str">
        <f>IF('Global Precios'!E71="","",'Global Precios'!E71)</f>
        <v>LABYES</v>
      </c>
      <c r="U70" s="18"/>
      <c r="V70" s="18">
        <f t="shared" si="2"/>
        <v>0</v>
      </c>
      <c r="W70" s="18"/>
      <c r="X70" s="18"/>
      <c r="Y70" s="18"/>
      <c r="Z70" s="18"/>
      <c r="AA70" s="18"/>
      <c r="AB70" s="18">
        <f t="shared" si="3"/>
        <v>1</v>
      </c>
      <c r="AC70" s="18">
        <f t="shared" si="4"/>
        <v>1</v>
      </c>
      <c r="AD70" s="18">
        <f t="shared" si="5"/>
        <v>1</v>
      </c>
      <c r="AE70" s="18">
        <f t="shared" si="6"/>
        <v>1</v>
      </c>
    </row>
    <row r="71">
      <c r="A71" s="9">
        <f>IF(E71="","", IF('Global Precios'!B72="",0,'Global Precios'!B72))</f>
        <v>0</v>
      </c>
      <c r="B71" s="14" t="str">
        <f>IF('Global Precios'!B72="","",'Global Precios'!B72)</f>
        <v/>
      </c>
      <c r="C71" s="18">
        <f>IF('Global Precios'!A72="","",'Global Precios'!A72)</f>
        <v>71</v>
      </c>
      <c r="D71" s="18"/>
      <c r="E71" s="25" t="str">
        <f>IF('Global Precios'!D72="","",'Global Precios'!D72)</f>
        <v>BRONCO TOS FORTE X 100 ML</v>
      </c>
      <c r="F71" s="18"/>
      <c r="G71" s="25">
        <f>IFERROR(VLOOKUP(C71,'BuscarV Stock'!$A$2:$C$478,3,0),"AAA")</f>
        <v>0</v>
      </c>
      <c r="H71" s="25">
        <f t="shared" si="1"/>
        <v>0.21</v>
      </c>
      <c r="I71" s="30">
        <f>IF('Global Precios'!H72="","",'Global Precios'!H72)</f>
        <v>9019.008264</v>
      </c>
      <c r="J71" s="82">
        <f>IF('Global Precios'!K72="","",'Global Precios'!K72)</f>
        <v>0.8</v>
      </c>
      <c r="K71" s="30">
        <f>IF('Global Precios'!Z72="Desactivado",0,IF('Global Precios'!L72="","",'Global Precios'!L72))</f>
        <v>20000</v>
      </c>
      <c r="L71" s="18"/>
      <c r="M71" s="18"/>
      <c r="N71" s="18"/>
      <c r="O71" s="18"/>
      <c r="P71" s="18"/>
      <c r="Q71" s="18"/>
      <c r="R71" s="18" t="str">
        <f>IF('Global Precios'!F72="","",'Global Precios'!F72)</f>
        <v>Medicamentos</v>
      </c>
      <c r="S71" s="18"/>
      <c r="T71" s="18" t="str">
        <f>IF('Global Precios'!E72="","",'Global Precios'!E72)</f>
        <v>LAMAR</v>
      </c>
      <c r="U71" s="18"/>
      <c r="V71" s="18">
        <f t="shared" si="2"/>
        <v>0</v>
      </c>
      <c r="W71" s="18"/>
      <c r="X71" s="18"/>
      <c r="Y71" s="18"/>
      <c r="Z71" s="18"/>
      <c r="AA71" s="18"/>
      <c r="AB71" s="18">
        <f t="shared" si="3"/>
        <v>1</v>
      </c>
      <c r="AC71" s="18">
        <f t="shared" si="4"/>
        <v>1</v>
      </c>
      <c r="AD71" s="18">
        <f t="shared" si="5"/>
        <v>1</v>
      </c>
      <c r="AE71" s="18">
        <f t="shared" si="6"/>
        <v>1</v>
      </c>
    </row>
    <row r="72">
      <c r="A72" s="9">
        <f>IF(E72="","", IF('Global Precios'!B73="",0,'Global Precios'!B73))</f>
        <v>0</v>
      </c>
      <c r="B72" s="14" t="str">
        <f>IF('Global Precios'!B73="","",'Global Precios'!B73)</f>
        <v/>
      </c>
      <c r="C72" s="18">
        <f>IF('Global Precios'!A73="","",'Global Precios'!A73)</f>
        <v>72</v>
      </c>
      <c r="D72" s="18"/>
      <c r="E72" s="25" t="str">
        <f>IF('Global Precios'!D73="","",'Global Precios'!D73)</f>
        <v>CLINDAMICIN 110 MG X BLISTER X 10 COMP</v>
      </c>
      <c r="F72" s="18"/>
      <c r="G72" s="25">
        <f>IFERROR(VLOOKUP(C72,'BuscarV Stock'!$A$2:$C$478,3,0),"AAA")</f>
        <v>7</v>
      </c>
      <c r="H72" s="25">
        <f t="shared" si="1"/>
        <v>0.21</v>
      </c>
      <c r="I72" s="30">
        <f>IF('Global Precios'!H73="","",'Global Precios'!H73)</f>
        <v>2380.165289</v>
      </c>
      <c r="J72" s="82">
        <f>IF('Global Precios'!K73="","",'Global Precios'!K73)</f>
        <v>1</v>
      </c>
      <c r="K72" s="30">
        <f>IF('Global Precios'!Z73="Desactivado",0,IF('Global Precios'!L73="","",'Global Precios'!L73))</f>
        <v>6000</v>
      </c>
      <c r="L72" s="18"/>
      <c r="M72" s="18"/>
      <c r="N72" s="18"/>
      <c r="O72" s="18"/>
      <c r="P72" s="18"/>
      <c r="Q72" s="18"/>
      <c r="R72" s="18" t="str">
        <f>IF('Global Precios'!F73="","",'Global Precios'!F73)</f>
        <v>Medicamentos</v>
      </c>
      <c r="S72" s="18"/>
      <c r="T72" s="18" t="str">
        <f>IF('Global Precios'!E73="","",'Global Precios'!E73)</f>
        <v>LAMAR</v>
      </c>
      <c r="U72" s="18"/>
      <c r="V72" s="18">
        <f t="shared" si="2"/>
        <v>0</v>
      </c>
      <c r="W72" s="18"/>
      <c r="X72" s="18"/>
      <c r="Y72" s="18"/>
      <c r="Z72" s="18"/>
      <c r="AA72" s="18"/>
      <c r="AB72" s="18">
        <f t="shared" si="3"/>
        <v>1</v>
      </c>
      <c r="AC72" s="18">
        <f t="shared" si="4"/>
        <v>1</v>
      </c>
      <c r="AD72" s="18">
        <f t="shared" si="5"/>
        <v>1</v>
      </c>
      <c r="AE72" s="18">
        <f t="shared" si="6"/>
        <v>1</v>
      </c>
    </row>
    <row r="73">
      <c r="A73" s="9">
        <f>IF(E73="","", IF('Global Precios'!B74="",0,'Global Precios'!B74))</f>
        <v>0</v>
      </c>
      <c r="B73" s="14" t="str">
        <f>IF('Global Precios'!B74="","",'Global Precios'!B74)</f>
        <v/>
      </c>
      <c r="C73" s="18">
        <f>IF('Global Precios'!A74="","",'Global Precios'!A74)</f>
        <v>73</v>
      </c>
      <c r="D73" s="18"/>
      <c r="E73" s="25" t="str">
        <f>IF('Global Precios'!D74="","",'Global Precios'!D74)</f>
        <v>DOMINAL MAX PERRO 10-25 KG</v>
      </c>
      <c r="F73" s="18"/>
      <c r="G73" s="25">
        <f>IFERROR(VLOOKUP(C73,'BuscarV Stock'!$A$2:$C$478,3,0),"AAA")</f>
        <v>0</v>
      </c>
      <c r="H73" s="25">
        <f t="shared" si="1"/>
        <v>0.21</v>
      </c>
      <c r="I73" s="30">
        <f>IF('Global Precios'!H74="","",'Global Precios'!H74)</f>
        <v>2386.77686</v>
      </c>
      <c r="J73" s="82">
        <f>IF('Global Precios'!K74="","",'Global Precios'!K74)</f>
        <v>0.8</v>
      </c>
      <c r="K73" s="30">
        <f>IF('Global Precios'!Z74="Desactivado",0,IF('Global Precios'!L74="","",'Global Precios'!L74))</f>
        <v>5000</v>
      </c>
      <c r="L73" s="18"/>
      <c r="M73" s="18"/>
      <c r="N73" s="18"/>
      <c r="O73" s="18"/>
      <c r="P73" s="18"/>
      <c r="Q73" s="18"/>
      <c r="R73" s="18" t="str">
        <f>IF('Global Precios'!F74="","",'Global Precios'!F74)</f>
        <v>Medicamentos</v>
      </c>
      <c r="S73" s="18"/>
      <c r="T73" s="18" t="str">
        <f>IF('Global Precios'!E74="","",'Global Precios'!E74)</f>
        <v>KONIG P.A</v>
      </c>
      <c r="U73" s="18"/>
      <c r="V73" s="18">
        <f t="shared" si="2"/>
        <v>0</v>
      </c>
      <c r="W73" s="18"/>
      <c r="X73" s="18"/>
      <c r="Y73" s="18"/>
      <c r="Z73" s="18"/>
      <c r="AA73" s="18"/>
      <c r="AB73" s="18">
        <f t="shared" si="3"/>
        <v>1</v>
      </c>
      <c r="AC73" s="18">
        <f t="shared" si="4"/>
        <v>1</v>
      </c>
      <c r="AD73" s="18">
        <f t="shared" si="5"/>
        <v>1</v>
      </c>
      <c r="AE73" s="18">
        <f t="shared" si="6"/>
        <v>1</v>
      </c>
    </row>
    <row r="74">
      <c r="A74" s="9">
        <f>IF(E74="","", IF('Global Precios'!B75="",0,'Global Precios'!B75))</f>
        <v>0</v>
      </c>
      <c r="B74" s="14" t="str">
        <f>IF('Global Precios'!B75="","",'Global Precios'!B75)</f>
        <v/>
      </c>
      <c r="C74" s="18">
        <f>IF('Global Precios'!A75="","",'Global Precios'!A75)</f>
        <v>74</v>
      </c>
      <c r="D74" s="18"/>
      <c r="E74" s="25" t="str">
        <f>IF('Global Precios'!D75="","",'Global Precios'!D75)</f>
        <v>DOMINAL MAX PERRO 25-40 KG</v>
      </c>
      <c r="F74" s="18"/>
      <c r="G74" s="25">
        <f>IFERROR(VLOOKUP(C74,'BuscarV Stock'!$A$2:$C$478,3,0),"AAA")</f>
        <v>0</v>
      </c>
      <c r="H74" s="25">
        <f t="shared" si="1"/>
        <v>0.21</v>
      </c>
      <c r="I74" s="30">
        <f>IF('Global Precios'!H75="","",'Global Precios'!H75)</f>
        <v>3222.31405</v>
      </c>
      <c r="J74" s="82">
        <f>IF('Global Precios'!K75="","",'Global Precios'!K75)</f>
        <v>0.8</v>
      </c>
      <c r="K74" s="30">
        <f>IF('Global Precios'!Z75="Desactivado",0,IF('Global Precios'!L75="","",'Global Precios'!L75))</f>
        <v>7000</v>
      </c>
      <c r="L74" s="18"/>
      <c r="M74" s="18"/>
      <c r="N74" s="18"/>
      <c r="O74" s="18"/>
      <c r="P74" s="18"/>
      <c r="Q74" s="18"/>
      <c r="R74" s="18" t="str">
        <f>IF('Global Precios'!F75="","",'Global Precios'!F75)</f>
        <v>Medicamentos</v>
      </c>
      <c r="S74" s="18"/>
      <c r="T74" s="18" t="str">
        <f>IF('Global Precios'!E75="","",'Global Precios'!E75)</f>
        <v>KONIG P.A</v>
      </c>
      <c r="U74" s="18"/>
      <c r="V74" s="18">
        <f t="shared" si="2"/>
        <v>0</v>
      </c>
      <c r="W74" s="18"/>
      <c r="X74" s="18"/>
      <c r="Y74" s="18"/>
      <c r="Z74" s="18"/>
      <c r="AA74" s="18"/>
      <c r="AB74" s="18">
        <f t="shared" si="3"/>
        <v>1</v>
      </c>
      <c r="AC74" s="18">
        <f t="shared" si="4"/>
        <v>1</v>
      </c>
      <c r="AD74" s="18">
        <f t="shared" si="5"/>
        <v>1</v>
      </c>
      <c r="AE74" s="18">
        <f t="shared" si="6"/>
        <v>1</v>
      </c>
    </row>
    <row r="75">
      <c r="A75" s="9">
        <f>IF(E75="","", IF('Global Precios'!B76="",0,'Global Precios'!B76))</f>
        <v>0</v>
      </c>
      <c r="B75" s="14" t="str">
        <f>IF('Global Precios'!B76="","",'Global Precios'!B76)</f>
        <v/>
      </c>
      <c r="C75" s="18">
        <f>IF('Global Precios'!A76="","",'Global Precios'!A76)</f>
        <v>75</v>
      </c>
      <c r="D75" s="18"/>
      <c r="E75" s="25" t="str">
        <f>IF('Global Precios'!D76="","",'Global Precios'!D76)</f>
        <v>ENROFLOXACINA 150 MG X BLISTER X 10 COMP (LAMAR)</v>
      </c>
      <c r="F75" s="18"/>
      <c r="G75" s="25">
        <f>IFERROR(VLOOKUP(C75,'BuscarV Stock'!$A$2:$C$478,3,0),"AAA")</f>
        <v>0</v>
      </c>
      <c r="H75" s="25">
        <f t="shared" si="1"/>
        <v>0.21</v>
      </c>
      <c r="I75" s="30">
        <f>IF('Global Precios'!H76="","",'Global Precios'!H76)</f>
        <v>1611.570248</v>
      </c>
      <c r="J75" s="82">
        <f>IF('Global Precios'!K76="","",'Global Precios'!K76)</f>
        <v>1</v>
      </c>
      <c r="K75" s="30">
        <f>IF('Global Precios'!Z76="Desactivado",0,IF('Global Precios'!L76="","",'Global Precios'!L76))</f>
        <v>4000</v>
      </c>
      <c r="L75" s="18"/>
      <c r="M75" s="18"/>
      <c r="N75" s="18"/>
      <c r="O75" s="18"/>
      <c r="P75" s="18"/>
      <c r="Q75" s="18"/>
      <c r="R75" s="18" t="str">
        <f>IF('Global Precios'!F76="","",'Global Precios'!F76)</f>
        <v>Medicamentos</v>
      </c>
      <c r="S75" s="18"/>
      <c r="T75" s="18" t="str">
        <f>IF('Global Precios'!E76="","",'Global Precios'!E76)</f>
        <v>LAMAR</v>
      </c>
      <c r="U75" s="18"/>
      <c r="V75" s="18">
        <f t="shared" si="2"/>
        <v>0</v>
      </c>
      <c r="W75" s="18"/>
      <c r="X75" s="18"/>
      <c r="Y75" s="18"/>
      <c r="Z75" s="18"/>
      <c r="AA75" s="18"/>
      <c r="AB75" s="18">
        <f t="shared" si="3"/>
        <v>1</v>
      </c>
      <c r="AC75" s="18">
        <f t="shared" si="4"/>
        <v>1</v>
      </c>
      <c r="AD75" s="18">
        <f t="shared" si="5"/>
        <v>1</v>
      </c>
      <c r="AE75" s="18">
        <f t="shared" si="6"/>
        <v>1</v>
      </c>
    </row>
    <row r="76">
      <c r="A76" s="9">
        <f>IF(E76="","", IF('Global Precios'!B77="",0,'Global Precios'!B77))</f>
        <v>0</v>
      </c>
      <c r="B76" s="14" t="str">
        <f>IF('Global Precios'!B77="","",'Global Precios'!B77)</f>
        <v/>
      </c>
      <c r="C76" s="18">
        <f>IF('Global Precios'!A77="","",'Global Precios'!A77)</f>
        <v>76</v>
      </c>
      <c r="D76" s="18"/>
      <c r="E76" s="25" t="str">
        <f>IF('Global Precios'!D77="","",'Global Precios'!D77)</f>
        <v>DOMINAL MAX PERRO MAS 40 KG</v>
      </c>
      <c r="F76" s="18"/>
      <c r="G76" s="25">
        <f>IFERROR(VLOOKUP(C76,'BuscarV Stock'!$A$2:$C$478,3,0),"AAA")</f>
        <v>0</v>
      </c>
      <c r="H76" s="25">
        <f t="shared" si="1"/>
        <v>0.21</v>
      </c>
      <c r="I76" s="30">
        <f>IF('Global Precios'!H77="","",'Global Precios'!H77)</f>
        <v>4043.801653</v>
      </c>
      <c r="J76" s="82">
        <f>IF('Global Precios'!K77="","",'Global Precios'!K77)</f>
        <v>0.8</v>
      </c>
      <c r="K76" s="30">
        <f>IF('Global Precios'!Z77="Desactivado",0,IF('Global Precios'!L77="","",'Global Precios'!L77))</f>
        <v>9000</v>
      </c>
      <c r="L76" s="18"/>
      <c r="M76" s="18"/>
      <c r="N76" s="18"/>
      <c r="O76" s="18"/>
      <c r="P76" s="18"/>
      <c r="Q76" s="18"/>
      <c r="R76" s="18" t="str">
        <f>IF('Global Precios'!F77="","",'Global Precios'!F77)</f>
        <v>Medicamentos</v>
      </c>
      <c r="S76" s="18"/>
      <c r="T76" s="18" t="str">
        <f>IF('Global Precios'!E77="","",'Global Precios'!E77)</f>
        <v>KONIG P.A</v>
      </c>
      <c r="U76" s="18"/>
      <c r="V76" s="18">
        <f t="shared" si="2"/>
        <v>0</v>
      </c>
      <c r="W76" s="18"/>
      <c r="X76" s="18"/>
      <c r="Y76" s="18"/>
      <c r="Z76" s="18"/>
      <c r="AA76" s="18"/>
      <c r="AB76" s="18">
        <f t="shared" si="3"/>
        <v>1</v>
      </c>
      <c r="AC76" s="18">
        <f t="shared" si="4"/>
        <v>1</v>
      </c>
      <c r="AD76" s="18">
        <f t="shared" si="5"/>
        <v>1</v>
      </c>
      <c r="AE76" s="18">
        <f t="shared" si="6"/>
        <v>1</v>
      </c>
    </row>
    <row r="77">
      <c r="A77" s="9">
        <f>IF(E77="","", IF('Global Precios'!B78="",0,'Global Precios'!B78))</f>
        <v>0</v>
      </c>
      <c r="B77" s="14" t="str">
        <f>IF('Global Precios'!B78="","",'Global Precios'!B78)</f>
        <v/>
      </c>
      <c r="C77" s="18">
        <f>IF('Global Precios'!A78="","",'Global Precios'!A78)</f>
        <v>77</v>
      </c>
      <c r="D77" s="18"/>
      <c r="E77" s="25" t="str">
        <f>IF('Global Precios'!D78="","",'Global Precios'!D78)</f>
        <v>PERFOS GATO HASTA 4 KG</v>
      </c>
      <c r="F77" s="18"/>
      <c r="G77" s="25">
        <f>IFERROR(VLOOKUP(C77,'BuscarV Stock'!$A$2:$C$478,3,0),"AAA")</f>
        <v>0</v>
      </c>
      <c r="H77" s="25">
        <f t="shared" si="1"/>
        <v>0.21</v>
      </c>
      <c r="I77" s="30">
        <f>IF('Global Precios'!H78="","",'Global Precios'!H78)</f>
        <v>919.0082645</v>
      </c>
      <c r="J77" s="82">
        <f>IF('Global Precios'!K78="","",'Global Precios'!K78)</f>
        <v>0.8</v>
      </c>
      <c r="K77" s="30">
        <f>IF('Global Precios'!Z78="Desactivado",0,IF('Global Precios'!L78="","",'Global Precios'!L78))</f>
        <v>0</v>
      </c>
      <c r="L77" s="18"/>
      <c r="M77" s="18"/>
      <c r="N77" s="18"/>
      <c r="O77" s="18"/>
      <c r="P77" s="18"/>
      <c r="Q77" s="18"/>
      <c r="R77" s="18" t="str">
        <f>IF('Global Precios'!F78="","",'Global Precios'!F78)</f>
        <v>Medicamentos</v>
      </c>
      <c r="S77" s="18"/>
      <c r="T77" s="18" t="str">
        <f>IF('Global Precios'!E78="","",'Global Precios'!E78)</f>
        <v>KUALCOS</v>
      </c>
      <c r="U77" s="18"/>
      <c r="V77" s="18">
        <f t="shared" si="2"/>
        <v>0</v>
      </c>
      <c r="W77" s="18"/>
      <c r="X77" s="18"/>
      <c r="Y77" s="18"/>
      <c r="Z77" s="18"/>
      <c r="AA77" s="18"/>
      <c r="AB77" s="18">
        <f t="shared" si="3"/>
        <v>1</v>
      </c>
      <c r="AC77" s="18">
        <f t="shared" si="4"/>
        <v>1</v>
      </c>
      <c r="AD77" s="18">
        <f t="shared" si="5"/>
        <v>1</v>
      </c>
      <c r="AE77" s="18">
        <f t="shared" si="6"/>
        <v>1</v>
      </c>
    </row>
    <row r="78">
      <c r="A78" s="9">
        <f>IF(E78="","", IF('Global Precios'!B79="",0,'Global Precios'!B79))</f>
        <v>0</v>
      </c>
      <c r="B78" s="14" t="str">
        <f>IF('Global Precios'!B79="","",'Global Precios'!B79)</f>
        <v/>
      </c>
      <c r="C78" s="18">
        <f>IF('Global Precios'!A79="","",'Global Precios'!A79)</f>
        <v>78</v>
      </c>
      <c r="D78" s="18"/>
      <c r="E78" s="25" t="str">
        <f>IF('Global Precios'!D79="","",'Global Precios'!D79)</f>
        <v>PERFOS GATO MAS 4 KG</v>
      </c>
      <c r="F78" s="18"/>
      <c r="G78" s="25">
        <f>IFERROR(VLOOKUP(C78,'BuscarV Stock'!$A$2:$C$478,3,0),"AAA")</f>
        <v>0</v>
      </c>
      <c r="H78" s="25">
        <f t="shared" si="1"/>
        <v>0.21</v>
      </c>
      <c r="I78" s="30">
        <f>IF('Global Precios'!H79="","",'Global Precios'!H79)</f>
        <v>974.3801653</v>
      </c>
      <c r="J78" s="82">
        <f>IF('Global Precios'!K79="","",'Global Precios'!K79)</f>
        <v>0.8</v>
      </c>
      <c r="K78" s="30">
        <f>IF('Global Precios'!Z79="Desactivado",0,IF('Global Precios'!L79="","",'Global Precios'!L79))</f>
        <v>0</v>
      </c>
      <c r="L78" s="18"/>
      <c r="M78" s="18"/>
      <c r="N78" s="18"/>
      <c r="O78" s="18"/>
      <c r="P78" s="18"/>
      <c r="Q78" s="18"/>
      <c r="R78" s="18" t="str">
        <f>IF('Global Precios'!F79="","",'Global Precios'!F79)</f>
        <v>Medicamentos</v>
      </c>
      <c r="S78" s="18"/>
      <c r="T78" s="18" t="str">
        <f>IF('Global Precios'!E79="","",'Global Precios'!E79)</f>
        <v>KUALCOS</v>
      </c>
      <c r="U78" s="18"/>
      <c r="V78" s="18">
        <f t="shared" si="2"/>
        <v>0</v>
      </c>
      <c r="W78" s="18"/>
      <c r="X78" s="18"/>
      <c r="Y78" s="18"/>
      <c r="Z78" s="18"/>
      <c r="AA78" s="18"/>
      <c r="AB78" s="18">
        <f t="shared" si="3"/>
        <v>1</v>
      </c>
      <c r="AC78" s="18">
        <f t="shared" si="4"/>
        <v>1</v>
      </c>
      <c r="AD78" s="18">
        <f t="shared" si="5"/>
        <v>1</v>
      </c>
      <c r="AE78" s="18">
        <f t="shared" si="6"/>
        <v>1</v>
      </c>
    </row>
    <row r="79">
      <c r="A79" s="9">
        <f>IF(E79="","", IF('Global Precios'!B80="",0,'Global Precios'!B80))</f>
        <v>0</v>
      </c>
      <c r="B79" s="14" t="str">
        <f>IF('Global Precios'!B80="","",'Global Precios'!B80)</f>
        <v/>
      </c>
      <c r="C79" s="18">
        <f>IF('Global Precios'!A80="","",'Global Precios'!A80)</f>
        <v>79</v>
      </c>
      <c r="D79" s="18"/>
      <c r="E79" s="25" t="str">
        <f>IF('Global Precios'!D80="","",'Global Precios'!D80)</f>
        <v>PERFOS MAX CANINOS 10-20 KG</v>
      </c>
      <c r="F79" s="18"/>
      <c r="G79" s="25">
        <f>IFERROR(VLOOKUP(C79,'BuscarV Stock'!$A$2:$C$478,3,0),"AAA")</f>
        <v>0</v>
      </c>
      <c r="H79" s="25">
        <f t="shared" si="1"/>
        <v>0.21</v>
      </c>
      <c r="I79" s="30">
        <f>IF('Global Precios'!H80="","",'Global Precios'!H80)</f>
        <v>1306.61157</v>
      </c>
      <c r="J79" s="82">
        <f>IF('Global Precios'!K80="","",'Global Precios'!K80)</f>
        <v>0.8</v>
      </c>
      <c r="K79" s="30">
        <f>IF('Global Precios'!Z80="Desactivado",0,IF('Global Precios'!L80="","",'Global Precios'!L80))</f>
        <v>0</v>
      </c>
      <c r="L79" s="18"/>
      <c r="M79" s="18"/>
      <c r="N79" s="18"/>
      <c r="O79" s="18"/>
      <c r="P79" s="18"/>
      <c r="Q79" s="18"/>
      <c r="R79" s="18" t="str">
        <f>IF('Global Precios'!F80="","",'Global Precios'!F80)</f>
        <v>Medicamentos</v>
      </c>
      <c r="S79" s="18"/>
      <c r="T79" s="18" t="str">
        <f>IF('Global Precios'!E80="","",'Global Precios'!E80)</f>
        <v>KUALCOS</v>
      </c>
      <c r="U79" s="18"/>
      <c r="V79" s="18">
        <f t="shared" si="2"/>
        <v>0</v>
      </c>
      <c r="W79" s="18"/>
      <c r="X79" s="18"/>
      <c r="Y79" s="18"/>
      <c r="Z79" s="18"/>
      <c r="AA79" s="18"/>
      <c r="AB79" s="18">
        <f t="shared" si="3"/>
        <v>1</v>
      </c>
      <c r="AC79" s="18">
        <f t="shared" si="4"/>
        <v>1</v>
      </c>
      <c r="AD79" s="18">
        <f t="shared" si="5"/>
        <v>1</v>
      </c>
      <c r="AE79" s="18">
        <f t="shared" si="6"/>
        <v>1</v>
      </c>
    </row>
    <row r="80">
      <c r="A80" s="9">
        <f>IF(E80="","", IF('Global Precios'!B81="",0,'Global Precios'!B81))</f>
        <v>0</v>
      </c>
      <c r="B80" s="14" t="str">
        <f>IF('Global Precios'!B81="","",'Global Precios'!B81)</f>
        <v/>
      </c>
      <c r="C80" s="18">
        <f>IF('Global Precios'!A81="","",'Global Precios'!A81)</f>
        <v>80</v>
      </c>
      <c r="D80" s="18"/>
      <c r="E80" s="25" t="str">
        <f>IF('Global Precios'!D81="","",'Global Precios'!D81)</f>
        <v>PERFOS MAX CANINOS 20-40 KG</v>
      </c>
      <c r="F80" s="18"/>
      <c r="G80" s="25">
        <f>IFERROR(VLOOKUP(C80,'BuscarV Stock'!$A$2:$C$478,3,0),"AAA")</f>
        <v>0</v>
      </c>
      <c r="H80" s="25">
        <f t="shared" si="1"/>
        <v>0.21</v>
      </c>
      <c r="I80" s="30">
        <f>IF('Global Precios'!H81="","",'Global Precios'!H81)</f>
        <v>1466.115702</v>
      </c>
      <c r="J80" s="82">
        <f>IF('Global Precios'!K81="","",'Global Precios'!K81)</f>
        <v>0.8</v>
      </c>
      <c r="K80" s="30">
        <f>IF('Global Precios'!Z81="Desactivado",0,IF('Global Precios'!L81="","",'Global Precios'!L81))</f>
        <v>0</v>
      </c>
      <c r="L80" s="18"/>
      <c r="M80" s="18"/>
      <c r="N80" s="18"/>
      <c r="O80" s="18"/>
      <c r="P80" s="18"/>
      <c r="Q80" s="18"/>
      <c r="R80" s="18" t="str">
        <f>IF('Global Precios'!F81="","",'Global Precios'!F81)</f>
        <v>Medicamentos</v>
      </c>
      <c r="S80" s="18"/>
      <c r="T80" s="18" t="str">
        <f>IF('Global Precios'!E81="","",'Global Precios'!E81)</f>
        <v>KUALCOS</v>
      </c>
      <c r="U80" s="18"/>
      <c r="V80" s="18">
        <f t="shared" si="2"/>
        <v>0</v>
      </c>
      <c r="W80" s="18"/>
      <c r="X80" s="18"/>
      <c r="Y80" s="18"/>
      <c r="Z80" s="18"/>
      <c r="AA80" s="18"/>
      <c r="AB80" s="18">
        <f t="shared" si="3"/>
        <v>1</v>
      </c>
      <c r="AC80" s="18">
        <f t="shared" si="4"/>
        <v>1</v>
      </c>
      <c r="AD80" s="18">
        <f t="shared" si="5"/>
        <v>1</v>
      </c>
      <c r="AE80" s="18">
        <f t="shared" si="6"/>
        <v>1</v>
      </c>
    </row>
    <row r="81">
      <c r="A81" s="9">
        <f>IF(E81="","", IF('Global Precios'!B82="",0,'Global Precios'!B82))</f>
        <v>0</v>
      </c>
      <c r="B81" s="14" t="str">
        <f>IF('Global Precios'!B82="","",'Global Precios'!B82)</f>
        <v/>
      </c>
      <c r="C81" s="18">
        <f>IF('Global Precios'!A82="","",'Global Precios'!A82)</f>
        <v>81</v>
      </c>
      <c r="D81" s="18"/>
      <c r="E81" s="25" t="str">
        <f>IF('Global Precios'!D82="","",'Global Precios'!D82)</f>
        <v>PERFOS MAX CANINOS 5-10 KG</v>
      </c>
      <c r="F81" s="18"/>
      <c r="G81" s="25">
        <f>IFERROR(VLOOKUP(C81,'BuscarV Stock'!$A$2:$C$478,3,0),"AAA")</f>
        <v>0</v>
      </c>
      <c r="H81" s="25">
        <f t="shared" si="1"/>
        <v>0.21</v>
      </c>
      <c r="I81" s="30">
        <f>IF('Global Precios'!H82="","",'Global Precios'!H82)</f>
        <v>1155.371901</v>
      </c>
      <c r="J81" s="82">
        <f>IF('Global Precios'!K82="","",'Global Precios'!K82)</f>
        <v>0.8</v>
      </c>
      <c r="K81" s="30">
        <f>IF('Global Precios'!Z82="Desactivado",0,IF('Global Precios'!L82="","",'Global Precios'!L82))</f>
        <v>0</v>
      </c>
      <c r="L81" s="18"/>
      <c r="M81" s="18"/>
      <c r="N81" s="18"/>
      <c r="O81" s="18"/>
      <c r="P81" s="18"/>
      <c r="Q81" s="18"/>
      <c r="R81" s="18" t="str">
        <f>IF('Global Precios'!F82="","",'Global Precios'!F82)</f>
        <v>Medicamentos</v>
      </c>
      <c r="S81" s="18"/>
      <c r="T81" s="18" t="str">
        <f>IF('Global Precios'!E82="","",'Global Precios'!E82)</f>
        <v>KUALCOS</v>
      </c>
      <c r="U81" s="18"/>
      <c r="V81" s="18">
        <f t="shared" si="2"/>
        <v>0</v>
      </c>
      <c r="W81" s="18"/>
      <c r="X81" s="18"/>
      <c r="Y81" s="18"/>
      <c r="Z81" s="18"/>
      <c r="AA81" s="18"/>
      <c r="AB81" s="18">
        <f t="shared" si="3"/>
        <v>1</v>
      </c>
      <c r="AC81" s="18">
        <f t="shared" si="4"/>
        <v>1</v>
      </c>
      <c r="AD81" s="18">
        <f t="shared" si="5"/>
        <v>1</v>
      </c>
      <c r="AE81" s="18">
        <f t="shared" si="6"/>
        <v>1</v>
      </c>
    </row>
    <row r="82">
      <c r="A82" s="9">
        <f>IF(E82="","", IF('Global Precios'!B83="",0,'Global Precios'!B83))</f>
        <v>0</v>
      </c>
      <c r="B82" s="14" t="str">
        <f>IF('Global Precios'!B83="","",'Global Precios'!B83)</f>
        <v/>
      </c>
      <c r="C82" s="18">
        <f>IF('Global Precios'!A83="","",'Global Precios'!A83)</f>
        <v>82</v>
      </c>
      <c r="D82" s="18"/>
      <c r="E82" s="25" t="str">
        <f>IF('Global Precios'!D83="","",'Global Precios'!D83)</f>
        <v>ENTEROSULFATRIN SUSP X 100 ML</v>
      </c>
      <c r="F82" s="18"/>
      <c r="G82" s="25">
        <f>IFERROR(VLOOKUP(C82,'BuscarV Stock'!$A$2:$C$478,3,0),"AAA")</f>
        <v>0</v>
      </c>
      <c r="H82" s="25">
        <f t="shared" si="1"/>
        <v>0.21</v>
      </c>
      <c r="I82" s="30">
        <f>IF('Global Precios'!H83="","",'Global Precios'!H83)</f>
        <v>3399.173554</v>
      </c>
      <c r="J82" s="82">
        <f>IF('Global Precios'!K83="","",'Global Precios'!K83)</f>
        <v>1</v>
      </c>
      <c r="K82" s="30">
        <f>IF('Global Precios'!Z83="Desactivado",0,IF('Global Precios'!L83="","",'Global Precios'!L83))</f>
        <v>8000</v>
      </c>
      <c r="L82" s="18"/>
      <c r="M82" s="18"/>
      <c r="N82" s="18"/>
      <c r="O82" s="18"/>
      <c r="P82" s="18"/>
      <c r="Q82" s="18"/>
      <c r="R82" s="18" t="str">
        <f>IF('Global Precios'!F83="","",'Global Precios'!F83)</f>
        <v>Medicamentos</v>
      </c>
      <c r="S82" s="18"/>
      <c r="T82" s="18" t="str">
        <f>IF('Global Precios'!E83="","",'Global Precios'!E83)</f>
        <v>LAMAR</v>
      </c>
      <c r="U82" s="18"/>
      <c r="V82" s="18">
        <f t="shared" si="2"/>
        <v>0</v>
      </c>
      <c r="W82" s="18"/>
      <c r="X82" s="18"/>
      <c r="Y82" s="18"/>
      <c r="Z82" s="18"/>
      <c r="AA82" s="18"/>
      <c r="AB82" s="18">
        <f t="shared" si="3"/>
        <v>1</v>
      </c>
      <c r="AC82" s="18">
        <f t="shared" si="4"/>
        <v>1</v>
      </c>
      <c r="AD82" s="18">
        <f t="shared" si="5"/>
        <v>1</v>
      </c>
      <c r="AE82" s="18">
        <f t="shared" si="6"/>
        <v>1</v>
      </c>
    </row>
    <row r="83">
      <c r="A83" s="9">
        <f>IF(E83="","", IF('Global Precios'!B84="",0,'Global Precios'!B84))</f>
        <v>0</v>
      </c>
      <c r="B83" s="14" t="str">
        <f>IF('Global Precios'!B84="","",'Global Precios'!B84)</f>
        <v/>
      </c>
      <c r="C83" s="18">
        <f>IF('Global Precios'!A84="","",'Global Precios'!A84)</f>
        <v>83</v>
      </c>
      <c r="D83" s="18"/>
      <c r="E83" s="25" t="str">
        <f>IF('Global Precios'!D84="","",'Global Precios'!D84)</f>
        <v>METOCLOPRAMIDA GOTAS X 15 ML</v>
      </c>
      <c r="F83" s="18"/>
      <c r="G83" s="25">
        <f>IFERROR(VLOOKUP(C83,'BuscarV Stock'!$A$2:$C$478,3,0),"AAA")</f>
        <v>0</v>
      </c>
      <c r="H83" s="25">
        <f t="shared" si="1"/>
        <v>0.21</v>
      </c>
      <c r="I83" s="30">
        <f>IF('Global Precios'!H84="","",'Global Precios'!H84)</f>
        <v>4148.760331</v>
      </c>
      <c r="J83" s="82">
        <f>IF('Global Precios'!K84="","",'Global Precios'!K84)</f>
        <v>0.8</v>
      </c>
      <c r="K83" s="30">
        <f>IF('Global Precios'!Z84="Desactivado",0,IF('Global Precios'!L84="","",'Global Precios'!L84))</f>
        <v>9000</v>
      </c>
      <c r="L83" s="18"/>
      <c r="M83" s="18"/>
      <c r="N83" s="18"/>
      <c r="O83" s="18"/>
      <c r="P83" s="18"/>
      <c r="Q83" s="18"/>
      <c r="R83" s="18" t="str">
        <f>IF('Global Precios'!F84="","",'Global Precios'!F84)</f>
        <v>Medicamentos</v>
      </c>
      <c r="S83" s="18"/>
      <c r="T83" s="18" t="str">
        <f>IF('Global Precios'!E84="","",'Global Precios'!E84)</f>
        <v>LAMAR</v>
      </c>
      <c r="U83" s="18"/>
      <c r="V83" s="18">
        <f t="shared" si="2"/>
        <v>0</v>
      </c>
      <c r="W83" s="18"/>
      <c r="X83" s="18"/>
      <c r="Y83" s="18"/>
      <c r="Z83" s="18"/>
      <c r="AA83" s="18"/>
      <c r="AB83" s="18">
        <f t="shared" si="3"/>
        <v>1</v>
      </c>
      <c r="AC83" s="18">
        <f t="shared" si="4"/>
        <v>1</v>
      </c>
      <c r="AD83" s="18">
        <f t="shared" si="5"/>
        <v>1</v>
      </c>
      <c r="AE83" s="18">
        <f t="shared" si="6"/>
        <v>1</v>
      </c>
    </row>
    <row r="84">
      <c r="A84" s="9">
        <f>IF(E84="","", IF('Global Precios'!B85="",0,'Global Precios'!B85))</f>
        <v>0</v>
      </c>
      <c r="B84" s="14" t="str">
        <f>IF('Global Precios'!B85="","",'Global Precios'!B85)</f>
        <v/>
      </c>
      <c r="C84" s="18">
        <f>IF('Global Precios'!A85="","",'Global Precios'!A85)</f>
        <v>84</v>
      </c>
      <c r="D84" s="18"/>
      <c r="E84" s="25" t="str">
        <f>IF('Global Precios'!D85="","",'Global Precios'!D85)</f>
        <v>MOXIDEX PLUS HOSPITALARIO X 1 COMPRIMIDO</v>
      </c>
      <c r="F84" s="18"/>
      <c r="G84" s="25">
        <f>IFERROR(VLOOKUP(C84,'BuscarV Stock'!$A$2:$C$478,3,0),"AAA")</f>
        <v>34</v>
      </c>
      <c r="H84" s="25">
        <f t="shared" si="1"/>
        <v>0.21</v>
      </c>
      <c r="I84" s="30">
        <f>IF('Global Precios'!H85="","",'Global Precios'!H85)</f>
        <v>702.4793388</v>
      </c>
      <c r="J84" s="82">
        <f>IF('Global Precios'!K85="","",'Global Precios'!K85)</f>
        <v>0.8</v>
      </c>
      <c r="K84" s="30">
        <f>IF('Global Precios'!Z85="Desactivado",0,IF('Global Precios'!L85="","",'Global Precios'!L85))</f>
        <v>1500</v>
      </c>
      <c r="L84" s="18"/>
      <c r="M84" s="18"/>
      <c r="N84" s="18"/>
      <c r="O84" s="18"/>
      <c r="P84" s="18"/>
      <c r="Q84" s="18"/>
      <c r="R84" s="18" t="str">
        <f>IF('Global Precios'!F85="","",'Global Precios'!F85)</f>
        <v>Medicamentos</v>
      </c>
      <c r="S84" s="18"/>
      <c r="T84" s="18" t="str">
        <f>IF('Global Precios'!E85="","",'Global Precios'!E85)</f>
        <v>MAYORS</v>
      </c>
      <c r="U84" s="18"/>
      <c r="V84" s="18">
        <f t="shared" si="2"/>
        <v>0</v>
      </c>
      <c r="W84" s="18"/>
      <c r="X84" s="18"/>
      <c r="Y84" s="18"/>
      <c r="Z84" s="18"/>
      <c r="AA84" s="18"/>
      <c r="AB84" s="18">
        <f t="shared" si="3"/>
        <v>1</v>
      </c>
      <c r="AC84" s="18">
        <f t="shared" si="4"/>
        <v>1</v>
      </c>
      <c r="AD84" s="18">
        <f t="shared" si="5"/>
        <v>1</v>
      </c>
      <c r="AE84" s="18">
        <f t="shared" si="6"/>
        <v>1</v>
      </c>
    </row>
    <row r="85">
      <c r="A85" s="9">
        <f>IF(E85="","", IF('Global Precios'!B86="",0,'Global Precios'!B86))</f>
        <v>0</v>
      </c>
      <c r="B85" s="14" t="str">
        <f>IF('Global Precios'!B86="","",'Global Precios'!B86)</f>
        <v/>
      </c>
      <c r="C85" s="18">
        <f>IF('Global Precios'!A86="","",'Global Precios'!A86)</f>
        <v>85</v>
      </c>
      <c r="D85" s="18"/>
      <c r="E85" s="25" t="str">
        <f>IF('Global Precios'!D86="","",'Global Precios'!D86)</f>
        <v>TOLTRAZOL "PLUS" SUSPENSION X 10 ML</v>
      </c>
      <c r="F85" s="18"/>
      <c r="G85" s="25">
        <f>IFERROR(VLOOKUP(C85,'BuscarV Stock'!$A$2:$C$478,3,0),"AAA")</f>
        <v>0</v>
      </c>
      <c r="H85" s="25">
        <f t="shared" si="1"/>
        <v>0.21</v>
      </c>
      <c r="I85" s="30">
        <f>IF('Global Precios'!H86="","",'Global Precios'!H86)</f>
        <v>6446.280992</v>
      </c>
      <c r="J85" s="82">
        <f>IF('Global Precios'!K86="","",'Global Precios'!K86)</f>
        <v>1</v>
      </c>
      <c r="K85" s="30">
        <f>IF('Global Precios'!Z86="Desactivado",0,IF('Global Precios'!L86="","",'Global Precios'!L86))</f>
        <v>16000</v>
      </c>
      <c r="L85" s="18"/>
      <c r="M85" s="18"/>
      <c r="N85" s="18"/>
      <c r="O85" s="18"/>
      <c r="P85" s="18"/>
      <c r="Q85" s="18"/>
      <c r="R85" s="18" t="str">
        <f>IF('Global Precios'!F86="","",'Global Precios'!F86)</f>
        <v>Medicamentos</v>
      </c>
      <c r="S85" s="18"/>
      <c r="T85" s="18" t="str">
        <f>IF('Global Precios'!E86="","",'Global Precios'!E86)</f>
        <v>MAYORS</v>
      </c>
      <c r="U85" s="18"/>
      <c r="V85" s="18">
        <f t="shared" si="2"/>
        <v>0</v>
      </c>
      <c r="W85" s="18"/>
      <c r="X85" s="18"/>
      <c r="Y85" s="18"/>
      <c r="Z85" s="18"/>
      <c r="AA85" s="18"/>
      <c r="AB85" s="18">
        <f t="shared" si="3"/>
        <v>1</v>
      </c>
      <c r="AC85" s="18">
        <f t="shared" si="4"/>
        <v>1</v>
      </c>
      <c r="AD85" s="18">
        <f t="shared" si="5"/>
        <v>1</v>
      </c>
      <c r="AE85" s="18">
        <f t="shared" si="6"/>
        <v>1</v>
      </c>
    </row>
    <row r="86">
      <c r="A86" s="9">
        <f>IF(E86="","", IF('Global Precios'!B87="",0,'Global Precios'!B87))</f>
        <v>0</v>
      </c>
      <c r="B86" s="14" t="str">
        <f>IF('Global Precios'!B87="","",'Global Precios'!B87)</f>
        <v/>
      </c>
      <c r="C86" s="18">
        <f>IF('Global Precios'!A87="","",'Global Precios'!A87)</f>
        <v>86</v>
      </c>
      <c r="D86" s="18"/>
      <c r="E86" s="25" t="str">
        <f>IF('Global Precios'!D87="","",'Global Precios'!D87)</f>
        <v>SHAMPOO AMITRAZ AL 0.25% X 250 ML</v>
      </c>
      <c r="F86" s="18"/>
      <c r="G86" s="25">
        <f>IFERROR(VLOOKUP(C86,'BuscarV Stock'!$A$2:$C$478,3,0),"AAA")</f>
        <v>5</v>
      </c>
      <c r="H86" s="25">
        <f t="shared" si="1"/>
        <v>0.21</v>
      </c>
      <c r="I86" s="30">
        <f>IF('Global Precios'!H87="","",'Global Precios'!H87)</f>
        <v>4705.785124</v>
      </c>
      <c r="J86" s="82">
        <f>IF('Global Precios'!K87="","",'Global Precios'!K87)</f>
        <v>0.8</v>
      </c>
      <c r="K86" s="30">
        <f>IF('Global Precios'!Z87="Desactivado",0,IF('Global Precios'!L87="","",'Global Precios'!L87))</f>
        <v>10000</v>
      </c>
      <c r="L86" s="18"/>
      <c r="M86" s="18"/>
      <c r="N86" s="18"/>
      <c r="O86" s="18"/>
      <c r="P86" s="18"/>
      <c r="Q86" s="18"/>
      <c r="R86" s="18" t="str">
        <f>IF('Global Precios'!F87="","",'Global Precios'!F87)</f>
        <v>Medicamentos</v>
      </c>
      <c r="S86" s="18"/>
      <c r="T86" s="18" t="str">
        <f>IF('Global Precios'!E87="","",'Global Precios'!E87)</f>
        <v>OSSPRET</v>
      </c>
      <c r="U86" s="18"/>
      <c r="V86" s="18">
        <f t="shared" si="2"/>
        <v>0</v>
      </c>
      <c r="W86" s="18"/>
      <c r="X86" s="18"/>
      <c r="Y86" s="18"/>
      <c r="Z86" s="18"/>
      <c r="AA86" s="18"/>
      <c r="AB86" s="18">
        <f t="shared" si="3"/>
        <v>1</v>
      </c>
      <c r="AC86" s="18">
        <f t="shared" si="4"/>
        <v>1</v>
      </c>
      <c r="AD86" s="18">
        <f t="shared" si="5"/>
        <v>1</v>
      </c>
      <c r="AE86" s="18">
        <f t="shared" si="6"/>
        <v>1</v>
      </c>
    </row>
    <row r="87">
      <c r="A87" s="9">
        <f>IF(E87="","", IF('Global Precios'!B88="",0,'Global Precios'!B88))</f>
        <v>0</v>
      </c>
      <c r="B87" s="14" t="str">
        <f>IF('Global Precios'!B88="","",'Global Precios'!B88)</f>
        <v/>
      </c>
      <c r="C87" s="18">
        <f>IF('Global Precios'!A88="","",'Global Precios'!A88)</f>
        <v>87</v>
      </c>
      <c r="D87" s="18"/>
      <c r="E87" s="25" t="str">
        <f>IF('Global Precios'!D88="","",'Global Precios'!D88)</f>
        <v>SHAMPOO CLOREXPRO X 250 ML</v>
      </c>
      <c r="F87" s="18"/>
      <c r="G87" s="25">
        <f>IFERROR(VLOOKUP(C87,'BuscarV Stock'!$A$2:$C$478,3,0),"AAA")</f>
        <v>4</v>
      </c>
      <c r="H87" s="25">
        <f t="shared" si="1"/>
        <v>0.21</v>
      </c>
      <c r="I87" s="30">
        <f>IF('Global Precios'!H88="","",'Global Precios'!H88)</f>
        <v>5064.46281</v>
      </c>
      <c r="J87" s="82">
        <f>IF('Global Precios'!K88="","",'Global Precios'!K88)</f>
        <v>0.8</v>
      </c>
      <c r="K87" s="30">
        <f>IF('Global Precios'!Z88="Desactivado",0,IF('Global Precios'!L88="","",'Global Precios'!L88))</f>
        <v>11000</v>
      </c>
      <c r="L87" s="18"/>
      <c r="M87" s="18"/>
      <c r="N87" s="18"/>
      <c r="O87" s="18"/>
      <c r="P87" s="18"/>
      <c r="Q87" s="18"/>
      <c r="R87" s="18" t="str">
        <f>IF('Global Precios'!F88="","",'Global Precios'!F88)</f>
        <v>Medicamentos</v>
      </c>
      <c r="S87" s="18"/>
      <c r="T87" s="18" t="str">
        <f>IF('Global Precios'!E88="","",'Global Precios'!E88)</f>
        <v>OSSPRET</v>
      </c>
      <c r="U87" s="18"/>
      <c r="V87" s="18">
        <f t="shared" si="2"/>
        <v>0</v>
      </c>
      <c r="W87" s="18"/>
      <c r="X87" s="18"/>
      <c r="Y87" s="18"/>
      <c r="Z87" s="18"/>
      <c r="AA87" s="18"/>
      <c r="AB87" s="18">
        <f t="shared" si="3"/>
        <v>1</v>
      </c>
      <c r="AC87" s="18">
        <f t="shared" si="4"/>
        <v>1</v>
      </c>
      <c r="AD87" s="18">
        <f t="shared" si="5"/>
        <v>1</v>
      </c>
      <c r="AE87" s="18">
        <f t="shared" si="6"/>
        <v>1</v>
      </c>
    </row>
    <row r="88">
      <c r="A88" s="9">
        <f>IF(E88="","", IF('Global Precios'!B89="",0,'Global Precios'!B89))</f>
        <v>0</v>
      </c>
      <c r="B88" s="14" t="str">
        <f>IF('Global Precios'!B89="","",'Global Precios'!B89)</f>
        <v/>
      </c>
      <c r="C88" s="18">
        <f>IF('Global Precios'!A89="","",'Global Precios'!A89)</f>
        <v>88</v>
      </c>
      <c r="D88" s="18"/>
      <c r="E88" s="25" t="str">
        <f>IF('Global Precios'!D89="","",'Global Precios'!D89)</f>
        <v>SHAMPOO MEDICADO HIPOALERGENICO X 250 ML</v>
      </c>
      <c r="F88" s="18"/>
      <c r="G88" s="25">
        <f>IFERROR(VLOOKUP(C88,'BuscarV Stock'!$A$2:$C$478,3,0),"AAA")</f>
        <v>4</v>
      </c>
      <c r="H88" s="25">
        <f t="shared" si="1"/>
        <v>0.21</v>
      </c>
      <c r="I88" s="30">
        <f>IF('Global Precios'!H89="","",'Global Precios'!H89)</f>
        <v>2650.413223</v>
      </c>
      <c r="J88" s="82">
        <f>IF('Global Precios'!K89="","",'Global Precios'!K89)</f>
        <v>0.8</v>
      </c>
      <c r="K88" s="30">
        <f>IF('Global Precios'!Z89="Desactivado",0,IF('Global Precios'!L89="","",'Global Precios'!L89))</f>
        <v>0</v>
      </c>
      <c r="L88" s="18"/>
      <c r="M88" s="18"/>
      <c r="N88" s="18"/>
      <c r="O88" s="18"/>
      <c r="P88" s="18"/>
      <c r="Q88" s="18"/>
      <c r="R88" s="18" t="str">
        <f>IF('Global Precios'!F89="","",'Global Precios'!F89)</f>
        <v>Medicamentos</v>
      </c>
      <c r="S88" s="18"/>
      <c r="T88" s="18" t="str">
        <f>IF('Global Precios'!E89="","",'Global Precios'!E89)</f>
        <v>OSSPRET</v>
      </c>
      <c r="U88" s="18"/>
      <c r="V88" s="18">
        <f t="shared" si="2"/>
        <v>0</v>
      </c>
      <c r="W88" s="18"/>
      <c r="X88" s="18"/>
      <c r="Y88" s="18"/>
      <c r="Z88" s="18"/>
      <c r="AA88" s="18"/>
      <c r="AB88" s="18">
        <f t="shared" si="3"/>
        <v>1</v>
      </c>
      <c r="AC88" s="18">
        <f t="shared" si="4"/>
        <v>1</v>
      </c>
      <c r="AD88" s="18">
        <f t="shared" si="5"/>
        <v>1</v>
      </c>
      <c r="AE88" s="18">
        <f t="shared" si="6"/>
        <v>1</v>
      </c>
    </row>
    <row r="89">
      <c r="A89" s="9">
        <f>IF(E89="","", IF('Global Precios'!B90="",0,'Global Precios'!B90))</f>
        <v>0</v>
      </c>
      <c r="B89" s="14" t="str">
        <f>IF('Global Precios'!B90="","",'Global Precios'!B90)</f>
        <v/>
      </c>
      <c r="C89" s="18">
        <f>IF('Global Precios'!A90="","",'Global Precios'!A90)</f>
        <v>89</v>
      </c>
      <c r="D89" s="18"/>
      <c r="E89" s="25" t="str">
        <f>IF('Global Precios'!D90="","",'Global Precios'!D90)</f>
        <v>SHAMPOO PARA CACHORROS X 250 ML</v>
      </c>
      <c r="F89" s="18"/>
      <c r="G89" s="25">
        <f>IFERROR(VLOOKUP(C89,'BuscarV Stock'!$A$2:$C$478,3,0),"AAA")</f>
        <v>2</v>
      </c>
      <c r="H89" s="25">
        <f t="shared" si="1"/>
        <v>0.21</v>
      </c>
      <c r="I89" s="30">
        <f>IF('Global Precios'!H90="","",'Global Precios'!H90)</f>
        <v>4271.900826</v>
      </c>
      <c r="J89" s="82">
        <f>IF('Global Precios'!K90="","",'Global Precios'!K90)</f>
        <v>0.8</v>
      </c>
      <c r="K89" s="30">
        <f>IF('Global Precios'!Z90="Desactivado",0,IF('Global Precios'!L90="","",'Global Precios'!L90))</f>
        <v>9500</v>
      </c>
      <c r="L89" s="18"/>
      <c r="M89" s="18"/>
      <c r="N89" s="18"/>
      <c r="O89" s="18"/>
      <c r="P89" s="18"/>
      <c r="Q89" s="18"/>
      <c r="R89" s="18" t="str">
        <f>IF('Global Precios'!F90="","",'Global Precios'!F90)</f>
        <v>Medicamentos</v>
      </c>
      <c r="S89" s="18"/>
      <c r="T89" s="18" t="str">
        <f>IF('Global Precios'!E90="","",'Global Precios'!E90)</f>
        <v>OSSPRET</v>
      </c>
      <c r="U89" s="18"/>
      <c r="V89" s="18">
        <f t="shared" si="2"/>
        <v>0</v>
      </c>
      <c r="W89" s="18"/>
      <c r="X89" s="18"/>
      <c r="Y89" s="18"/>
      <c r="Z89" s="18"/>
      <c r="AA89" s="18"/>
      <c r="AB89" s="18">
        <f t="shared" si="3"/>
        <v>1</v>
      </c>
      <c r="AC89" s="18">
        <f t="shared" si="4"/>
        <v>1</v>
      </c>
      <c r="AD89" s="18">
        <f t="shared" si="5"/>
        <v>1</v>
      </c>
      <c r="AE89" s="18">
        <f t="shared" si="6"/>
        <v>1</v>
      </c>
    </row>
    <row r="90">
      <c r="A90" s="9">
        <f>IF(E90="","", IF('Global Precios'!B91="",0,'Global Precios'!B91))</f>
        <v>0</v>
      </c>
      <c r="B90" s="14" t="str">
        <f>IF('Global Precios'!B91="","",'Global Precios'!B91)</f>
        <v/>
      </c>
      <c r="C90" s="18">
        <f>IF('Global Precios'!A91="","",'Global Precios'!A91)</f>
        <v>90</v>
      </c>
      <c r="D90" s="18"/>
      <c r="E90" s="25" t="str">
        <f>IF('Global Precios'!D91="","",'Global Precios'!D91)</f>
        <v>SHAMPOO PERFUMADO MIX FRUTAL X 250 ML</v>
      </c>
      <c r="F90" s="18"/>
      <c r="G90" s="25">
        <f>IFERROR(VLOOKUP(C90,'BuscarV Stock'!$A$2:$C$478,3,0),"AAA")</f>
        <v>0</v>
      </c>
      <c r="H90" s="25">
        <f t="shared" si="1"/>
        <v>0.21</v>
      </c>
      <c r="I90" s="30">
        <f>IF('Global Precios'!H91="","",'Global Precios'!H91)</f>
        <v>3717.355372</v>
      </c>
      <c r="J90" s="82">
        <f>IF('Global Precios'!K91="","",'Global Precios'!K91)</f>
        <v>0.8</v>
      </c>
      <c r="K90" s="30">
        <f>IF('Global Precios'!Z91="Desactivado",0,IF('Global Precios'!L91="","",'Global Precios'!L91))</f>
        <v>0</v>
      </c>
      <c r="L90" s="18"/>
      <c r="M90" s="18"/>
      <c r="N90" s="18"/>
      <c r="O90" s="18"/>
      <c r="P90" s="18"/>
      <c r="Q90" s="18"/>
      <c r="R90" s="18" t="str">
        <f>IF('Global Precios'!F91="","",'Global Precios'!F91)</f>
        <v>Medicamentos</v>
      </c>
      <c r="S90" s="18"/>
      <c r="T90" s="18" t="str">
        <f>IF('Global Precios'!E91="","",'Global Precios'!E91)</f>
        <v>OSSPRET</v>
      </c>
      <c r="U90" s="18"/>
      <c r="V90" s="18">
        <f t="shared" si="2"/>
        <v>0</v>
      </c>
      <c r="W90" s="18"/>
      <c r="X90" s="18"/>
      <c r="Y90" s="18"/>
      <c r="Z90" s="18"/>
      <c r="AA90" s="18"/>
      <c r="AB90" s="18">
        <f t="shared" si="3"/>
        <v>1</v>
      </c>
      <c r="AC90" s="18">
        <f t="shared" si="4"/>
        <v>1</v>
      </c>
      <c r="AD90" s="18">
        <f t="shared" si="5"/>
        <v>1</v>
      </c>
      <c r="AE90" s="18">
        <f t="shared" si="6"/>
        <v>1</v>
      </c>
    </row>
    <row r="91">
      <c r="A91" s="9">
        <f>IF(E91="","", IF('Global Precios'!B92="",0,'Global Precios'!B92))</f>
        <v>0</v>
      </c>
      <c r="B91" s="14" t="str">
        <f>IF('Global Precios'!B92="","",'Global Precios'!B92)</f>
        <v/>
      </c>
      <c r="C91" s="18">
        <f>IF('Global Precios'!A92="","",'Global Precios'!A92)</f>
        <v>91</v>
      </c>
      <c r="D91" s="18"/>
      <c r="E91" s="25" t="str">
        <f>IF('Global Precios'!D92="","",'Global Precios'!D92)</f>
        <v>SIMPARICA 10 MG (2,5 A 5 KG)</v>
      </c>
      <c r="F91" s="18"/>
      <c r="G91" s="25">
        <f>IFERROR(VLOOKUP(C91,'BuscarV Stock'!$A$2:$C$478,3,0),"AAA")</f>
        <v>0</v>
      </c>
      <c r="H91" s="25">
        <f t="shared" si="1"/>
        <v>0.21</v>
      </c>
      <c r="I91" s="30">
        <f>IF('Global Precios'!H92="","",'Global Precios'!H92)</f>
        <v>8557.024793</v>
      </c>
      <c r="J91" s="82">
        <f>IF('Global Precios'!K92="","",'Global Precios'!K92)</f>
        <v>0.8</v>
      </c>
      <c r="K91" s="30">
        <f>IF('Global Precios'!Z92="Desactivado",0,IF('Global Precios'!L92="","",'Global Precios'!L92))</f>
        <v>19000</v>
      </c>
      <c r="L91" s="18"/>
      <c r="M91" s="18"/>
      <c r="N91" s="18"/>
      <c r="O91" s="18"/>
      <c r="P91" s="18"/>
      <c r="Q91" s="18"/>
      <c r="R91" s="18" t="str">
        <f>IF('Global Precios'!F92="","",'Global Precios'!F92)</f>
        <v>Medicamentos</v>
      </c>
      <c r="S91" s="18"/>
      <c r="T91" s="18" t="str">
        <f>IF('Global Precios'!E92="","",'Global Precios'!E92)</f>
        <v>ZOETIS P.A</v>
      </c>
      <c r="U91" s="18"/>
      <c r="V91" s="18">
        <f t="shared" si="2"/>
        <v>0</v>
      </c>
      <c r="W91" s="18"/>
      <c r="X91" s="18"/>
      <c r="Y91" s="18"/>
      <c r="Z91" s="18"/>
      <c r="AA91" s="18"/>
      <c r="AB91" s="18">
        <f t="shared" si="3"/>
        <v>1</v>
      </c>
      <c r="AC91" s="18">
        <f t="shared" si="4"/>
        <v>1</v>
      </c>
      <c r="AD91" s="18">
        <f t="shared" si="5"/>
        <v>1</v>
      </c>
      <c r="AE91" s="18">
        <f t="shared" si="6"/>
        <v>1</v>
      </c>
    </row>
    <row r="92">
      <c r="A92" s="9">
        <f>IF(E92="","", IF('Global Precios'!B93="",0,'Global Precios'!B93))</f>
        <v>0</v>
      </c>
      <c r="B92" s="14" t="str">
        <f>IF('Global Precios'!B93="","",'Global Precios'!B93)</f>
        <v/>
      </c>
      <c r="C92" s="18">
        <f>IF('Global Precios'!A93="","",'Global Precios'!A93)</f>
        <v>92</v>
      </c>
      <c r="D92" s="18"/>
      <c r="E92" s="25" t="str">
        <f>IF('Global Precios'!D93="","",'Global Precios'!D93)</f>
        <v>SIMPARICA 20 MG (5 A 10 KG)</v>
      </c>
      <c r="F92" s="18"/>
      <c r="G92" s="25">
        <f>IFERROR(VLOOKUP(C92,'BuscarV Stock'!$A$2:$C$478,3,0),"AAA")</f>
        <v>0</v>
      </c>
      <c r="H92" s="25">
        <f t="shared" si="1"/>
        <v>0.21</v>
      </c>
      <c r="I92" s="30">
        <f>IF('Global Precios'!H93="","",'Global Precios'!H93)</f>
        <v>8729.752066</v>
      </c>
      <c r="J92" s="82">
        <f>IF('Global Precios'!K93="","",'Global Precios'!K93)</f>
        <v>0.8</v>
      </c>
      <c r="K92" s="30">
        <f>IF('Global Precios'!Z93="Desactivado",0,IF('Global Precios'!L93="","",'Global Precios'!L93))</f>
        <v>19000</v>
      </c>
      <c r="L92" s="18"/>
      <c r="M92" s="18"/>
      <c r="N92" s="18"/>
      <c r="O92" s="18"/>
      <c r="P92" s="18"/>
      <c r="Q92" s="18"/>
      <c r="R92" s="18" t="str">
        <f>IF('Global Precios'!F93="","",'Global Precios'!F93)</f>
        <v>Medicamentos</v>
      </c>
      <c r="S92" s="18"/>
      <c r="T92" s="18" t="str">
        <f>IF('Global Precios'!E93="","",'Global Precios'!E93)</f>
        <v>ZOETIS P.A</v>
      </c>
      <c r="U92" s="18"/>
      <c r="V92" s="18">
        <f t="shared" si="2"/>
        <v>0</v>
      </c>
      <c r="W92" s="18"/>
      <c r="X92" s="18"/>
      <c r="Y92" s="18"/>
      <c r="Z92" s="18"/>
      <c r="AA92" s="18"/>
      <c r="AB92" s="18">
        <f t="shared" si="3"/>
        <v>1</v>
      </c>
      <c r="AC92" s="18">
        <f t="shared" si="4"/>
        <v>1</v>
      </c>
      <c r="AD92" s="18">
        <f t="shared" si="5"/>
        <v>1</v>
      </c>
      <c r="AE92" s="18">
        <f t="shared" si="6"/>
        <v>1</v>
      </c>
    </row>
    <row r="93">
      <c r="A93" s="9">
        <f>IF(E93="","", IF('Global Precios'!B94="",0,'Global Precios'!B94))</f>
        <v>0</v>
      </c>
      <c r="B93" s="14" t="str">
        <f>IF('Global Precios'!B94="","",'Global Precios'!B94)</f>
        <v/>
      </c>
      <c r="C93" s="18">
        <f>IF('Global Precios'!A94="","",'Global Precios'!A94)</f>
        <v>93</v>
      </c>
      <c r="D93" s="18"/>
      <c r="E93" s="25" t="str">
        <f>IF('Global Precios'!D94="","",'Global Precios'!D94)</f>
        <v>SIMPARICA 40 MG (10 A 20 KG)</v>
      </c>
      <c r="F93" s="18"/>
      <c r="G93" s="25">
        <f>IFERROR(VLOOKUP(C93,'BuscarV Stock'!$A$2:$C$478,3,0),"AAA")</f>
        <v>0</v>
      </c>
      <c r="H93" s="25">
        <f t="shared" si="1"/>
        <v>0.21</v>
      </c>
      <c r="I93" s="30">
        <f>IF('Global Precios'!H94="","",'Global Precios'!H94)</f>
        <v>11314.04959</v>
      </c>
      <c r="J93" s="82">
        <f>IF('Global Precios'!K94="","",'Global Precios'!K94)</f>
        <v>0.8</v>
      </c>
      <c r="K93" s="30">
        <f>IF('Global Precios'!Z94="Desactivado",0,IF('Global Precios'!L94="","",'Global Precios'!L94))</f>
        <v>25000</v>
      </c>
      <c r="L93" s="18"/>
      <c r="M93" s="18"/>
      <c r="N93" s="18"/>
      <c r="O93" s="18"/>
      <c r="P93" s="18"/>
      <c r="Q93" s="18"/>
      <c r="R93" s="18" t="str">
        <f>IF('Global Precios'!F94="","",'Global Precios'!F94)</f>
        <v>Medicamentos</v>
      </c>
      <c r="S93" s="18"/>
      <c r="T93" s="18" t="str">
        <f>IF('Global Precios'!E94="","",'Global Precios'!E94)</f>
        <v>ZOETIS P.A</v>
      </c>
      <c r="U93" s="18"/>
      <c r="V93" s="18">
        <f t="shared" si="2"/>
        <v>0</v>
      </c>
      <c r="W93" s="18"/>
      <c r="X93" s="18"/>
      <c r="Y93" s="18"/>
      <c r="Z93" s="18"/>
      <c r="AA93" s="18"/>
      <c r="AB93" s="18">
        <f t="shared" si="3"/>
        <v>1</v>
      </c>
      <c r="AC93" s="18">
        <f t="shared" si="4"/>
        <v>1</v>
      </c>
      <c r="AD93" s="18">
        <f t="shared" si="5"/>
        <v>1</v>
      </c>
      <c r="AE93" s="18">
        <f t="shared" si="6"/>
        <v>1</v>
      </c>
    </row>
    <row r="94">
      <c r="A94" s="9">
        <f>IF(E94="","", IF('Global Precios'!B95="",0,'Global Precios'!B95))</f>
        <v>0</v>
      </c>
      <c r="B94" s="14" t="str">
        <f>IF('Global Precios'!B95="","",'Global Precios'!B95)</f>
        <v/>
      </c>
      <c r="C94" s="18">
        <f>IF('Global Precios'!A95="","",'Global Precios'!A95)</f>
        <v>94</v>
      </c>
      <c r="D94" s="18"/>
      <c r="E94" s="25" t="str">
        <f>IF('Global Precios'!D95="","",'Global Precios'!D95)</f>
        <v>SIMPARICA 80 MG (20 A 40 KG)</v>
      </c>
      <c r="F94" s="18"/>
      <c r="G94" s="25">
        <f>IFERROR(VLOOKUP(C94,'BuscarV Stock'!$A$2:$C$478,3,0),"AAA")</f>
        <v>0</v>
      </c>
      <c r="H94" s="25">
        <f t="shared" si="1"/>
        <v>0.21</v>
      </c>
      <c r="I94" s="30">
        <f>IF('Global Precios'!H95="","",'Global Precios'!H95)</f>
        <v>13254.54545</v>
      </c>
      <c r="J94" s="82">
        <f>IF('Global Precios'!K95="","",'Global Precios'!K95)</f>
        <v>0.8</v>
      </c>
      <c r="K94" s="30">
        <f>IF('Global Precios'!Z95="Desactivado",0,IF('Global Precios'!L95="","",'Global Precios'!L95))</f>
        <v>29000</v>
      </c>
      <c r="L94" s="18"/>
      <c r="M94" s="18"/>
      <c r="N94" s="18"/>
      <c r="O94" s="18"/>
      <c r="P94" s="18"/>
      <c r="Q94" s="18"/>
      <c r="R94" s="18" t="str">
        <f>IF('Global Precios'!F95="","",'Global Precios'!F95)</f>
        <v>Medicamentos</v>
      </c>
      <c r="S94" s="18"/>
      <c r="T94" s="18" t="str">
        <f>IF('Global Precios'!E95="","",'Global Precios'!E95)</f>
        <v>ZOETIS P.A</v>
      </c>
      <c r="U94" s="18"/>
      <c r="V94" s="18">
        <f t="shared" si="2"/>
        <v>0</v>
      </c>
      <c r="W94" s="18"/>
      <c r="X94" s="18"/>
      <c r="Y94" s="18"/>
      <c r="Z94" s="18"/>
      <c r="AA94" s="18"/>
      <c r="AB94" s="18">
        <f t="shared" si="3"/>
        <v>1</v>
      </c>
      <c r="AC94" s="18">
        <f t="shared" si="4"/>
        <v>1</v>
      </c>
      <c r="AD94" s="18">
        <f t="shared" si="5"/>
        <v>1</v>
      </c>
      <c r="AE94" s="18">
        <f t="shared" si="6"/>
        <v>1</v>
      </c>
    </row>
    <row r="95">
      <c r="A95" s="9">
        <f>IF(E95="","", IF('Global Precios'!B96="",0,'Global Precios'!B96))</f>
        <v>0</v>
      </c>
      <c r="B95" s="14" t="str">
        <f>IF('Global Precios'!B96="","",'Global Precios'!B96)</f>
        <v/>
      </c>
      <c r="C95" s="18">
        <f>IF('Global Precios'!A96="","",'Global Precios'!A96)</f>
        <v>95</v>
      </c>
      <c r="D95" s="18"/>
      <c r="E95" s="25" t="str">
        <f>IF('Global Precios'!D96="","",'Global Precios'!D96)</f>
        <v>PETS PROTECTOR SPRAY X 100 ML</v>
      </c>
      <c r="F95" s="18"/>
      <c r="G95" s="25">
        <f>IFERROR(VLOOKUP(C95,'BuscarV Stock'!$A$2:$C$478,3,0),"AAA")</f>
        <v>0</v>
      </c>
      <c r="H95" s="25">
        <f t="shared" si="1"/>
        <v>0.21</v>
      </c>
      <c r="I95" s="30">
        <f>IF('Global Precios'!H96="","",'Global Precios'!H96)</f>
        <v>9318.181818</v>
      </c>
      <c r="J95" s="82">
        <f>IF('Global Precios'!K96="","",'Global Precios'!K96)</f>
        <v>0.8</v>
      </c>
      <c r="K95" s="30">
        <f>IF('Global Precios'!Z96="Desactivado",0,IF('Global Precios'!L96="","",'Global Precios'!L96))</f>
        <v>20000</v>
      </c>
      <c r="L95" s="18"/>
      <c r="M95" s="18"/>
      <c r="N95" s="18"/>
      <c r="O95" s="18"/>
      <c r="P95" s="18"/>
      <c r="Q95" s="18"/>
      <c r="R95" s="18" t="str">
        <f>IF('Global Precios'!F96="","",'Global Precios'!F96)</f>
        <v>Medicamentos</v>
      </c>
      <c r="S95" s="18"/>
      <c r="T95" s="18" t="str">
        <f>IF('Global Precios'!E96="","",'Global Precios'!E96)</f>
        <v>ZOOVET P.A</v>
      </c>
      <c r="U95" s="18"/>
      <c r="V95" s="18">
        <f t="shared" si="2"/>
        <v>0</v>
      </c>
      <c r="W95" s="18"/>
      <c r="X95" s="18"/>
      <c r="Y95" s="18"/>
      <c r="Z95" s="18"/>
      <c r="AA95" s="18"/>
      <c r="AB95" s="18">
        <f t="shared" si="3"/>
        <v>1</v>
      </c>
      <c r="AC95" s="18">
        <f t="shared" si="4"/>
        <v>1</v>
      </c>
      <c r="AD95" s="18">
        <f t="shared" si="5"/>
        <v>1</v>
      </c>
      <c r="AE95" s="18">
        <f t="shared" si="6"/>
        <v>1</v>
      </c>
    </row>
    <row r="96">
      <c r="A96" s="9">
        <f>IF(E96="","", IF('Global Precios'!B97="",0,'Global Precios'!B97))</f>
        <v>0</v>
      </c>
      <c r="B96" s="14" t="str">
        <f>IF('Global Precios'!B97="","",'Global Precios'!B97)</f>
        <v/>
      </c>
      <c r="C96" s="18">
        <f>IF('Global Precios'!A97="","",'Global Precios'!A97)</f>
        <v>96</v>
      </c>
      <c r="D96" s="18"/>
      <c r="E96" s="25" t="str">
        <f>IF('Global Precios'!D97="","",'Global Precios'!D97)</f>
        <v>QUANTUM DA2 PPVL X DS</v>
      </c>
      <c r="F96" s="18"/>
      <c r="G96" s="25">
        <f>IFERROR(VLOOKUP(C96,'BuscarV Stock'!$A$2:$C$478,3,0),"AAA")</f>
        <v>0</v>
      </c>
      <c r="H96" s="25">
        <f t="shared" si="1"/>
        <v>0.21</v>
      </c>
      <c r="I96" s="30">
        <f>IF('Global Precios'!H97="","",'Global Precios'!H97)</f>
        <v>4987.603306</v>
      </c>
      <c r="J96" s="18" t="str">
        <f>IF('Global Precios'!K97="","",'Global Precios'!K97)</f>
        <v/>
      </c>
      <c r="K96" s="30">
        <f>IF('Global Precios'!Z97="Desactivado",0,IF('Global Precios'!L97="","",'Global Precios'!L97))</f>
        <v>0</v>
      </c>
      <c r="L96" s="18"/>
      <c r="M96" s="18"/>
      <c r="N96" s="18"/>
      <c r="O96" s="18"/>
      <c r="P96" s="18"/>
      <c r="Q96" s="18"/>
      <c r="R96" s="18" t="str">
        <f>IF('Global Precios'!F97="","",'Global Precios'!F97)</f>
        <v>Medicamentos</v>
      </c>
      <c r="S96" s="18"/>
      <c r="T96" s="18" t="str">
        <f>IF('Global Precios'!E97="","",'Global Precios'!E97)</f>
        <v>MSD P.A</v>
      </c>
      <c r="U96" s="18"/>
      <c r="V96" s="18">
        <f t="shared" si="2"/>
        <v>0</v>
      </c>
      <c r="W96" s="18"/>
      <c r="X96" s="18"/>
      <c r="Y96" s="18"/>
      <c r="Z96" s="18"/>
      <c r="AA96" s="18"/>
      <c r="AB96" s="18">
        <f t="shared" si="3"/>
        <v>1</v>
      </c>
      <c r="AC96" s="18">
        <f t="shared" si="4"/>
        <v>1</v>
      </c>
      <c r="AD96" s="18">
        <f t="shared" si="5"/>
        <v>1</v>
      </c>
      <c r="AE96" s="18">
        <f t="shared" si="6"/>
        <v>1</v>
      </c>
    </row>
    <row r="97">
      <c r="A97" s="9">
        <f>IF(E97="","", IF('Global Precios'!B98="",0,'Global Precios'!B98))</f>
        <v>0</v>
      </c>
      <c r="B97" s="14" t="str">
        <f>IF('Global Precios'!B98="","",'Global Precios'!B98)</f>
        <v/>
      </c>
      <c r="C97" s="18">
        <f>IF('Global Precios'!A98="","",'Global Precios'!A98)</f>
        <v>97</v>
      </c>
      <c r="D97" s="18"/>
      <c r="E97" s="25" t="str">
        <f>IF('Global Precios'!D98="","",'Global Precios'!D98)</f>
        <v>APTO X 160 COMP</v>
      </c>
      <c r="F97" s="18"/>
      <c r="G97" s="25">
        <f>IFERROR(VLOOKUP(C97,'BuscarV Stock'!$A$2:$C$478,3,0),"AAA")</f>
        <v>0</v>
      </c>
      <c r="H97" s="25">
        <f t="shared" si="1"/>
        <v>0.21</v>
      </c>
      <c r="I97" s="30">
        <f>IF('Global Precios'!H98="","",'Global Precios'!H98)</f>
        <v>0</v>
      </c>
      <c r="J97" s="82">
        <f>IF('Global Precios'!K98="","",'Global Precios'!K98)</f>
        <v>1</v>
      </c>
      <c r="K97" s="30">
        <f>IF('Global Precios'!Z98="Desactivado",0,IF('Global Precios'!L98="","",'Global Precios'!L98))</f>
        <v>0</v>
      </c>
      <c r="L97" s="18"/>
      <c r="M97" s="18"/>
      <c r="N97" s="18"/>
      <c r="O97" s="18"/>
      <c r="P97" s="18"/>
      <c r="Q97" s="18"/>
      <c r="R97" s="18" t="str">
        <f>IF('Global Precios'!F98="","",'Global Precios'!F98)</f>
        <v>Medicamentos</v>
      </c>
      <c r="S97" s="18"/>
      <c r="T97" s="18" t="str">
        <f>IF('Global Precios'!E98="","",'Global Precios'!E98)</f>
        <v/>
      </c>
      <c r="U97" s="18"/>
      <c r="V97" s="18">
        <f t="shared" si="2"/>
        <v>0</v>
      </c>
      <c r="W97" s="18"/>
      <c r="X97" s="18"/>
      <c r="Y97" s="18"/>
      <c r="Z97" s="18"/>
      <c r="AA97" s="18"/>
      <c r="AB97" s="18">
        <f t="shared" si="3"/>
        <v>1</v>
      </c>
      <c r="AC97" s="18">
        <f t="shared" si="4"/>
        <v>1</v>
      </c>
      <c r="AD97" s="18">
        <f t="shared" si="5"/>
        <v>1</v>
      </c>
      <c r="AE97" s="18">
        <f t="shared" si="6"/>
        <v>1</v>
      </c>
    </row>
    <row r="98">
      <c r="A98" s="9" t="str">
        <f>IF(E98="","", IF('Global Precios'!B99="",0,'Global Precios'!B99))</f>
        <v/>
      </c>
      <c r="B98" s="14" t="str">
        <f>IF('Global Precios'!B99="","",'Global Precios'!B99)</f>
        <v/>
      </c>
      <c r="C98" s="18">
        <f>IF('Global Precios'!A99="","",'Global Precios'!A99)</f>
        <v>98</v>
      </c>
      <c r="D98" s="18"/>
      <c r="E98" s="25" t="str">
        <f>IF('Global Precios'!D99="","",'Global Precios'!D99)</f>
        <v/>
      </c>
      <c r="F98" s="18"/>
      <c r="G98" s="25">
        <f>IFERROR(VLOOKUP(C98,'BuscarV Stock'!$A$2:$C$478,3,0),"AAA")</f>
        <v>0</v>
      </c>
      <c r="H98" s="25" t="str">
        <f t="shared" si="1"/>
        <v/>
      </c>
      <c r="I98" s="30">
        <f>IF('Global Precios'!H99="","",'Global Precios'!H99)</f>
        <v>0</v>
      </c>
      <c r="J98" s="82">
        <f>IF('Global Precios'!K99="","",'Global Precios'!K99)</f>
        <v>1</v>
      </c>
      <c r="K98" s="30">
        <f>IF('Global Precios'!Z99="Desactivado",0,IF('Global Precios'!L99="","",'Global Precios'!L99))</f>
        <v>0</v>
      </c>
      <c r="L98" s="18"/>
      <c r="M98" s="18"/>
      <c r="N98" s="18"/>
      <c r="O98" s="18"/>
      <c r="P98" s="18"/>
      <c r="Q98" s="18"/>
      <c r="R98" s="18" t="str">
        <f>IF('Global Precios'!F99="","",'Global Precios'!F99)</f>
        <v/>
      </c>
      <c r="S98" s="18"/>
      <c r="T98" s="18" t="str">
        <f>IF('Global Precios'!E99="","",'Global Precios'!E99)</f>
        <v/>
      </c>
      <c r="U98" s="18"/>
      <c r="V98" s="18">
        <f t="shared" si="2"/>
        <v>0</v>
      </c>
      <c r="W98" s="18"/>
      <c r="X98" s="18"/>
      <c r="Y98" s="18"/>
      <c r="Z98" s="18"/>
      <c r="AA98" s="18"/>
      <c r="AB98" s="18">
        <f t="shared" si="3"/>
        <v>1</v>
      </c>
      <c r="AC98" s="18">
        <f t="shared" si="4"/>
        <v>1</v>
      </c>
      <c r="AD98" s="18">
        <f t="shared" si="5"/>
        <v>1</v>
      </c>
      <c r="AE98" s="18">
        <f t="shared" si="6"/>
        <v>1</v>
      </c>
    </row>
    <row r="99">
      <c r="A99" s="9">
        <f>IF(E99="","", IF('Global Precios'!B100="",0,'Global Precios'!B100))</f>
        <v>0</v>
      </c>
      <c r="B99" s="14" t="str">
        <f>IF('Global Precios'!B100="","",'Global Precios'!B100)</f>
        <v/>
      </c>
      <c r="C99" s="18">
        <f>IF('Global Precios'!A100="","",'Global Precios'!A100)</f>
        <v>99</v>
      </c>
      <c r="D99" s="18"/>
      <c r="E99" s="25" t="str">
        <f>IF('Global Precios'!D100="","",'Global Precios'!D100)</f>
        <v>FELINE FULLSPOT 02-05 KG</v>
      </c>
      <c r="F99" s="18"/>
      <c r="G99" s="25">
        <f>IFERROR(VLOOKUP(C99,'BuscarV Stock'!$A$2:$C$478,3,0),"AAA")</f>
        <v>1</v>
      </c>
      <c r="H99" s="25">
        <f t="shared" si="1"/>
        <v>0.21</v>
      </c>
      <c r="I99" s="30">
        <f>IF('Global Precios'!H100="","",'Global Precios'!H100)</f>
        <v>11735.53719</v>
      </c>
      <c r="J99" s="82">
        <f>IF('Global Precios'!K100="","",'Global Precios'!K100)</f>
        <v>0.8</v>
      </c>
      <c r="K99" s="30">
        <f>IF('Global Precios'!Z100="Desactivado",0,IF('Global Precios'!L100="","",'Global Precios'!L100))</f>
        <v>26000</v>
      </c>
      <c r="L99" s="18"/>
      <c r="M99" s="18"/>
      <c r="N99" s="18"/>
      <c r="O99" s="18"/>
      <c r="P99" s="18"/>
      <c r="Q99" s="18"/>
      <c r="R99" s="18" t="str">
        <f>IF('Global Precios'!F100="","",'Global Precios'!F100)</f>
        <v>Medicamentos</v>
      </c>
      <c r="S99" s="18"/>
      <c r="T99" s="18" t="str">
        <f>IF('Global Precios'!E100="","",'Global Precios'!E100)</f>
        <v/>
      </c>
      <c r="U99" s="18"/>
      <c r="V99" s="18">
        <f t="shared" si="2"/>
        <v>0</v>
      </c>
      <c r="W99" s="18"/>
      <c r="X99" s="18"/>
      <c r="Y99" s="18"/>
      <c r="Z99" s="18"/>
      <c r="AA99" s="18"/>
      <c r="AB99" s="18">
        <f t="shared" si="3"/>
        <v>1</v>
      </c>
      <c r="AC99" s="18">
        <f t="shared" si="4"/>
        <v>1</v>
      </c>
      <c r="AD99" s="18">
        <f t="shared" si="5"/>
        <v>1</v>
      </c>
      <c r="AE99" s="18">
        <f t="shared" si="6"/>
        <v>1</v>
      </c>
    </row>
    <row r="100">
      <c r="A100" s="9">
        <f>IF(E100="","", IF('Global Precios'!B101="",0,'Global Precios'!B101))</f>
        <v>0</v>
      </c>
      <c r="B100" s="14" t="str">
        <f>IF('Global Precios'!B101="","",'Global Precios'!B101)</f>
        <v/>
      </c>
      <c r="C100" s="18">
        <f>IF('Global Precios'!A101="","",'Global Precios'!A101)</f>
        <v>100</v>
      </c>
      <c r="D100" s="18"/>
      <c r="E100" s="25" t="str">
        <f>IF('Global Precios'!D101="","",'Global Precios'!D101)</f>
        <v>LAPIPETA DE 11 A 20 KG</v>
      </c>
      <c r="F100" s="18"/>
      <c r="G100" s="25">
        <f>IFERROR(VLOOKUP(C100,'BuscarV Stock'!$A$2:$C$478,3,0),"AAA")</f>
        <v>1</v>
      </c>
      <c r="H100" s="25">
        <f t="shared" si="1"/>
        <v>0.21</v>
      </c>
      <c r="I100" s="30">
        <f>IF('Global Precios'!H101="","",'Global Precios'!H101)</f>
        <v>1357.85124</v>
      </c>
      <c r="J100" s="82">
        <f>IF('Global Precios'!K101="","",'Global Precios'!K101)</f>
        <v>1</v>
      </c>
      <c r="K100" s="30">
        <f>IF('Global Precios'!Z101="Desactivado",0,IF('Global Precios'!L101="","",'Global Precios'!L101))</f>
        <v>0</v>
      </c>
      <c r="L100" s="18"/>
      <c r="M100" s="18"/>
      <c r="N100" s="18"/>
      <c r="O100" s="18"/>
      <c r="P100" s="18"/>
      <c r="Q100" s="18"/>
      <c r="R100" s="18" t="str">
        <f>IF('Global Precios'!F101="","",'Global Precios'!F101)</f>
        <v>Medicamentos</v>
      </c>
      <c r="S100" s="18"/>
      <c r="T100" s="18" t="str">
        <f>IF('Global Precios'!E101="","",'Global Precios'!E101)</f>
        <v/>
      </c>
      <c r="U100" s="18"/>
      <c r="V100" s="18">
        <f t="shared" si="2"/>
        <v>0</v>
      </c>
      <c r="W100" s="18"/>
      <c r="X100" s="18"/>
      <c r="Y100" s="18"/>
      <c r="Z100" s="18"/>
      <c r="AA100" s="18"/>
      <c r="AB100" s="18">
        <f t="shared" si="3"/>
        <v>1</v>
      </c>
      <c r="AC100" s="18">
        <f t="shared" si="4"/>
        <v>1</v>
      </c>
      <c r="AD100" s="18">
        <f t="shared" si="5"/>
        <v>1</v>
      </c>
      <c r="AE100" s="18">
        <f t="shared" si="6"/>
        <v>1</v>
      </c>
    </row>
    <row r="101">
      <c r="A101" s="9">
        <f>IF(E101="","", IF('Global Precios'!B102="",0,'Global Precios'!B102))</f>
        <v>0</v>
      </c>
      <c r="B101" s="14" t="str">
        <f>IF('Global Precios'!B102="","",'Global Precios'!B102)</f>
        <v/>
      </c>
      <c r="C101" s="18">
        <f>IF('Global Precios'!A102="","",'Global Precios'!A102)</f>
        <v>101</v>
      </c>
      <c r="D101" s="18"/>
      <c r="E101" s="25" t="str">
        <f>IF('Global Precios'!D102="","",'Global Precios'!D102)</f>
        <v>LAPIPETA DE 2 A 10 KG</v>
      </c>
      <c r="F101" s="18"/>
      <c r="G101" s="25">
        <f>IFERROR(VLOOKUP(C101,'BuscarV Stock'!$A$2:$C$478,3,0),"AAA")</f>
        <v>6</v>
      </c>
      <c r="H101" s="25">
        <f t="shared" si="1"/>
        <v>0.21</v>
      </c>
      <c r="I101" s="30">
        <f>IF('Global Precios'!H102="","",'Global Precios'!H102)</f>
        <v>1244.628099</v>
      </c>
      <c r="J101" s="82">
        <f>IF('Global Precios'!K102="","",'Global Precios'!K102)</f>
        <v>1</v>
      </c>
      <c r="K101" s="30">
        <f>IF('Global Precios'!Z102="Desactivado",0,IF('Global Precios'!L102="","",'Global Precios'!L102))</f>
        <v>0</v>
      </c>
      <c r="L101" s="18"/>
      <c r="M101" s="18"/>
      <c r="N101" s="18"/>
      <c r="O101" s="18"/>
      <c r="P101" s="18"/>
      <c r="Q101" s="18"/>
      <c r="R101" s="18" t="str">
        <f>IF('Global Precios'!F102="","",'Global Precios'!F102)</f>
        <v>Medicamentos</v>
      </c>
      <c r="S101" s="18"/>
      <c r="T101" s="18" t="str">
        <f>IF('Global Precios'!E102="","",'Global Precios'!E102)</f>
        <v/>
      </c>
      <c r="U101" s="18"/>
      <c r="V101" s="18">
        <f t="shared" si="2"/>
        <v>0</v>
      </c>
      <c r="W101" s="18"/>
      <c r="X101" s="18"/>
      <c r="Y101" s="18"/>
      <c r="Z101" s="18"/>
      <c r="AA101" s="18"/>
      <c r="AB101" s="18">
        <f t="shared" si="3"/>
        <v>1</v>
      </c>
      <c r="AC101" s="18">
        <f t="shared" si="4"/>
        <v>1</v>
      </c>
      <c r="AD101" s="18">
        <f t="shared" si="5"/>
        <v>1</v>
      </c>
      <c r="AE101" s="18">
        <f t="shared" si="6"/>
        <v>1</v>
      </c>
    </row>
    <row r="102">
      <c r="A102" s="9">
        <f>IF(E102="","", IF('Global Precios'!B103="",0,'Global Precios'!B103))</f>
        <v>0</v>
      </c>
      <c r="B102" s="14" t="str">
        <f>IF('Global Precios'!B103="","",'Global Precios'!B103)</f>
        <v/>
      </c>
      <c r="C102" s="18">
        <f>IF('Global Precios'!A103="","",'Global Precios'!A103)</f>
        <v>102</v>
      </c>
      <c r="D102" s="18"/>
      <c r="E102" s="25" t="str">
        <f>IF('Global Precios'!D103="","",'Global Precios'!D103)</f>
        <v>LAPIPETA DE 21 A 40 KG</v>
      </c>
      <c r="F102" s="18"/>
      <c r="G102" s="25">
        <f>IFERROR(VLOOKUP(C102,'BuscarV Stock'!$A$2:$C$478,3,0),"AAA")</f>
        <v>2</v>
      </c>
      <c r="H102" s="25">
        <f t="shared" si="1"/>
        <v>0.21</v>
      </c>
      <c r="I102" s="30">
        <f>IF('Global Precios'!H103="","",'Global Precios'!H103)</f>
        <v>1641.322314</v>
      </c>
      <c r="J102" s="82">
        <f>IF('Global Precios'!K103="","",'Global Precios'!K103)</f>
        <v>1</v>
      </c>
      <c r="K102" s="30">
        <f>IF('Global Precios'!Z103="Desactivado",0,IF('Global Precios'!L103="","",'Global Precios'!L103))</f>
        <v>0</v>
      </c>
      <c r="L102" s="18"/>
      <c r="M102" s="18"/>
      <c r="N102" s="18"/>
      <c r="O102" s="18"/>
      <c r="P102" s="18"/>
      <c r="Q102" s="18"/>
      <c r="R102" s="18" t="str">
        <f>IF('Global Precios'!F103="","",'Global Precios'!F103)</f>
        <v>Medicamentos</v>
      </c>
      <c r="S102" s="18"/>
      <c r="T102" s="18" t="str">
        <f>IF('Global Precios'!E103="","",'Global Precios'!E103)</f>
        <v/>
      </c>
      <c r="U102" s="18"/>
      <c r="V102" s="18">
        <f t="shared" si="2"/>
        <v>0</v>
      </c>
      <c r="W102" s="18"/>
      <c r="X102" s="18"/>
      <c r="Y102" s="18"/>
      <c r="Z102" s="18"/>
      <c r="AA102" s="18"/>
      <c r="AB102" s="18">
        <f t="shared" si="3"/>
        <v>1</v>
      </c>
      <c r="AC102" s="18">
        <f t="shared" si="4"/>
        <v>1</v>
      </c>
      <c r="AD102" s="18">
        <f t="shared" si="5"/>
        <v>1</v>
      </c>
      <c r="AE102" s="18">
        <f t="shared" si="6"/>
        <v>1</v>
      </c>
    </row>
    <row r="103">
      <c r="A103" s="9">
        <f>IF(E103="","", IF('Global Precios'!B104="",0,'Global Precios'!B104))</f>
        <v>0</v>
      </c>
      <c r="B103" s="14" t="str">
        <f>IF('Global Precios'!B104="","",'Global Precios'!B104)</f>
        <v/>
      </c>
      <c r="C103" s="18">
        <f>IF('Global Precios'!A104="","",'Global Precios'!A104)</f>
        <v>103</v>
      </c>
      <c r="D103" s="18"/>
      <c r="E103" s="25" t="str">
        <f>IF('Global Precios'!D104="","",'Global Precios'!D104)</f>
        <v>LAPIPETA GATOS 0 A 4 KG</v>
      </c>
      <c r="F103" s="18"/>
      <c r="G103" s="25">
        <f>IFERROR(VLOOKUP(C103,'BuscarV Stock'!$A$2:$C$478,3,0),"AAA")</f>
        <v>0</v>
      </c>
      <c r="H103" s="25">
        <f t="shared" si="1"/>
        <v>0.21</v>
      </c>
      <c r="I103" s="30">
        <f>IF('Global Precios'!H104="","",'Global Precios'!H104)</f>
        <v>1194.214876</v>
      </c>
      <c r="J103" s="82">
        <f>IF('Global Precios'!K104="","",'Global Precios'!K104)</f>
        <v>1</v>
      </c>
      <c r="K103" s="30">
        <f>IF('Global Precios'!Z104="Desactivado",0,IF('Global Precios'!L104="","",'Global Precios'!L104))</f>
        <v>0</v>
      </c>
      <c r="L103" s="18"/>
      <c r="M103" s="18"/>
      <c r="N103" s="18"/>
      <c r="O103" s="18"/>
      <c r="P103" s="18"/>
      <c r="Q103" s="18"/>
      <c r="R103" s="18" t="str">
        <f>IF('Global Precios'!F104="","",'Global Precios'!F104)</f>
        <v>Medicamentos</v>
      </c>
      <c r="S103" s="18"/>
      <c r="T103" s="18" t="str">
        <f>IF('Global Precios'!E104="","",'Global Precios'!E104)</f>
        <v/>
      </c>
      <c r="U103" s="18"/>
      <c r="V103" s="18">
        <f t="shared" si="2"/>
        <v>0</v>
      </c>
      <c r="W103" s="18"/>
      <c r="X103" s="18"/>
      <c r="Y103" s="18"/>
      <c r="Z103" s="18"/>
      <c r="AA103" s="18"/>
      <c r="AB103" s="18">
        <f t="shared" si="3"/>
        <v>1</v>
      </c>
      <c r="AC103" s="18">
        <f t="shared" si="4"/>
        <v>1</v>
      </c>
      <c r="AD103" s="18">
        <f t="shared" si="5"/>
        <v>1</v>
      </c>
      <c r="AE103" s="18">
        <f t="shared" si="6"/>
        <v>1</v>
      </c>
    </row>
    <row r="104">
      <c r="A104" s="9">
        <f>IF(E104="","", IF('Global Precios'!B105="",0,'Global Precios'!B105))</f>
        <v>0</v>
      </c>
      <c r="B104" s="14" t="str">
        <f>IF('Global Precios'!B105="","",'Global Precios'!B105)</f>
        <v/>
      </c>
      <c r="C104" s="18">
        <f>IF('Global Precios'!A105="","",'Global Precios'!A105)</f>
        <v>104</v>
      </c>
      <c r="D104" s="18"/>
      <c r="E104" s="25" t="str">
        <f>IF('Global Precios'!D105="","",'Global Precios'!D105)</f>
        <v>LAPIPETA GATOS 4 A 8 KG</v>
      </c>
      <c r="F104" s="18"/>
      <c r="G104" s="25">
        <f>IFERROR(VLOOKUP(C104,'BuscarV Stock'!$A$2:$C$478,3,0),"AAA")</f>
        <v>3</v>
      </c>
      <c r="H104" s="25">
        <f t="shared" si="1"/>
        <v>0.21</v>
      </c>
      <c r="I104" s="30">
        <f>IF('Global Precios'!H105="","",'Global Precios'!H105)</f>
        <v>1281.818182</v>
      </c>
      <c r="J104" s="82">
        <f>IF('Global Precios'!K105="","",'Global Precios'!K105)</f>
        <v>1</v>
      </c>
      <c r="K104" s="30">
        <f>IF('Global Precios'!Z105="Desactivado",0,IF('Global Precios'!L105="","",'Global Precios'!L105))</f>
        <v>0</v>
      </c>
      <c r="L104" s="18"/>
      <c r="M104" s="18"/>
      <c r="N104" s="18"/>
      <c r="O104" s="18"/>
      <c r="P104" s="18"/>
      <c r="Q104" s="18"/>
      <c r="R104" s="18" t="str">
        <f>IF('Global Precios'!F105="","",'Global Precios'!F105)</f>
        <v>Medicamentos</v>
      </c>
      <c r="S104" s="18"/>
      <c r="T104" s="18" t="str">
        <f>IF('Global Precios'!E105="","",'Global Precios'!E105)</f>
        <v/>
      </c>
      <c r="U104" s="18"/>
      <c r="V104" s="18">
        <f t="shared" si="2"/>
        <v>0</v>
      </c>
      <c r="W104" s="18"/>
      <c r="X104" s="18"/>
      <c r="Y104" s="18"/>
      <c r="Z104" s="18"/>
      <c r="AA104" s="18"/>
      <c r="AB104" s="18">
        <f t="shared" si="3"/>
        <v>1</v>
      </c>
      <c r="AC104" s="18">
        <f t="shared" si="4"/>
        <v>1</v>
      </c>
      <c r="AD104" s="18">
        <f t="shared" si="5"/>
        <v>1</v>
      </c>
      <c r="AE104" s="18">
        <f t="shared" si="6"/>
        <v>1</v>
      </c>
    </row>
    <row r="105">
      <c r="A105" s="9">
        <f>IF(E105="","", IF('Global Precios'!B106="",0,'Global Precios'!B106))</f>
        <v>0</v>
      </c>
      <c r="B105" s="14" t="str">
        <f>IF('Global Precios'!B106="","",'Global Precios'!B106)</f>
        <v/>
      </c>
      <c r="C105" s="18">
        <f>IF('Global Precios'!A106="","",'Global Precios'!A106)</f>
        <v>105</v>
      </c>
      <c r="D105" s="18"/>
      <c r="E105" s="25" t="str">
        <f>IF('Global Precios'!D106="","",'Global Precios'!D106)</f>
        <v>LAPIPETA MÁS DE 40 KG</v>
      </c>
      <c r="F105" s="18"/>
      <c r="G105" s="25">
        <f>IFERROR(VLOOKUP(C105,'BuscarV Stock'!$A$2:$C$478,3,0),"AAA")</f>
        <v>10</v>
      </c>
      <c r="H105" s="25">
        <f t="shared" si="1"/>
        <v>0.21</v>
      </c>
      <c r="I105" s="30">
        <f>IF('Global Precios'!H106="","",'Global Precios'!H106)</f>
        <v>1814.876033</v>
      </c>
      <c r="J105" s="82">
        <f>IF('Global Precios'!K106="","",'Global Precios'!K106)</f>
        <v>1</v>
      </c>
      <c r="K105" s="30">
        <f>IF('Global Precios'!Z106="Desactivado",0,IF('Global Precios'!L106="","",'Global Precios'!L106))</f>
        <v>0</v>
      </c>
      <c r="L105" s="18"/>
      <c r="M105" s="18"/>
      <c r="N105" s="18"/>
      <c r="O105" s="18"/>
      <c r="P105" s="18"/>
      <c r="Q105" s="18"/>
      <c r="R105" s="18" t="str">
        <f>IF('Global Precios'!F106="","",'Global Precios'!F106)</f>
        <v>Medicamentos</v>
      </c>
      <c r="S105" s="18"/>
      <c r="T105" s="18" t="str">
        <f>IF('Global Precios'!E106="","",'Global Precios'!E106)</f>
        <v/>
      </c>
      <c r="U105" s="18"/>
      <c r="V105" s="18">
        <f t="shared" si="2"/>
        <v>0</v>
      </c>
      <c r="W105" s="18"/>
      <c r="X105" s="18"/>
      <c r="Y105" s="18"/>
      <c r="Z105" s="18"/>
      <c r="AA105" s="18"/>
      <c r="AB105" s="18">
        <f t="shared" si="3"/>
        <v>1</v>
      </c>
      <c r="AC105" s="18">
        <f t="shared" si="4"/>
        <v>1</v>
      </c>
      <c r="AD105" s="18">
        <f t="shared" si="5"/>
        <v>1</v>
      </c>
      <c r="AE105" s="18">
        <f t="shared" si="6"/>
        <v>1</v>
      </c>
    </row>
    <row r="106">
      <c r="A106" s="9">
        <f>IF(E106="","", IF('Global Precios'!B107="",0,'Global Precios'!B107))</f>
        <v>0</v>
      </c>
      <c r="B106" s="14" t="str">
        <f>IF('Global Precios'!B107="","",'Global Precios'!B107)</f>
        <v/>
      </c>
      <c r="C106" s="18">
        <f>IF('Global Precios'!A107="","",'Global Precios'!A107)</f>
        <v>106</v>
      </c>
      <c r="D106" s="18"/>
      <c r="E106" s="25" t="str">
        <f>IF('Global Precios'!D107="","",'Global Precios'!D107)</f>
        <v>EPISOL X 9 COMP</v>
      </c>
      <c r="F106" s="18"/>
      <c r="G106" s="25">
        <f>IFERROR(VLOOKUP(C106,'BuscarV Stock'!$A$2:$C$478,3,0),"AAA")</f>
        <v>4</v>
      </c>
      <c r="H106" s="25">
        <f t="shared" si="1"/>
        <v>0.21</v>
      </c>
      <c r="I106" s="30">
        <f>IF('Global Precios'!H107="","",'Global Precios'!H107)</f>
        <v>2066.115702</v>
      </c>
      <c r="J106" s="82">
        <f>IF('Global Precios'!K107="","",'Global Precios'!K107)</f>
        <v>0.8</v>
      </c>
      <c r="K106" s="30">
        <f>IF('Global Precios'!Z107="Desactivado",0,IF('Global Precios'!L107="","",'Global Precios'!L107))</f>
        <v>4500</v>
      </c>
      <c r="L106" s="18"/>
      <c r="M106" s="18"/>
      <c r="N106" s="18"/>
      <c r="O106" s="18"/>
      <c r="P106" s="18"/>
      <c r="Q106" s="18"/>
      <c r="R106" s="18" t="str">
        <f>IF('Global Precios'!F107="","",'Global Precios'!F107)</f>
        <v>Medicamentos</v>
      </c>
      <c r="S106" s="18"/>
      <c r="T106" s="18" t="str">
        <f>IF('Global Precios'!E107="","",'Global Precios'!E107)</f>
        <v/>
      </c>
      <c r="U106" s="18"/>
      <c r="V106" s="18">
        <f t="shared" si="2"/>
        <v>0</v>
      </c>
      <c r="W106" s="18"/>
      <c r="X106" s="18"/>
      <c r="Y106" s="18"/>
      <c r="Z106" s="18"/>
      <c r="AA106" s="18"/>
      <c r="AB106" s="18">
        <f t="shared" si="3"/>
        <v>1</v>
      </c>
      <c r="AC106" s="18">
        <f t="shared" si="4"/>
        <v>1</v>
      </c>
      <c r="AD106" s="18">
        <f t="shared" si="5"/>
        <v>1</v>
      </c>
      <c r="AE106" s="18">
        <f t="shared" si="6"/>
        <v>1</v>
      </c>
    </row>
    <row r="107">
      <c r="A107" s="9">
        <f>IF(E107="","", IF('Global Precios'!B108="",0,'Global Precios'!B108))</f>
        <v>0</v>
      </c>
      <c r="B107" s="14" t="str">
        <f>IF('Global Precios'!B108="","",'Global Precios'!B108)</f>
        <v/>
      </c>
      <c r="C107" s="18">
        <f>IF('Global Precios'!A108="","",'Global Precios'!A108)</f>
        <v>107</v>
      </c>
      <c r="D107" s="18"/>
      <c r="E107" s="25" t="str">
        <f>IF('Global Precios'!D108="","",'Global Precios'!D108)</f>
        <v>FRONTLINE SPRAY X 100 ML</v>
      </c>
      <c r="F107" s="18"/>
      <c r="G107" s="25">
        <f>IFERROR(VLOOKUP(C107,'BuscarV Stock'!$A$2:$C$478,3,0),"AAA")</f>
        <v>0</v>
      </c>
      <c r="H107" s="25">
        <f t="shared" si="1"/>
        <v>0.21</v>
      </c>
      <c r="I107" s="30">
        <f>IF('Global Precios'!H108="","",'Global Precios'!H108)</f>
        <v>12661.15702</v>
      </c>
      <c r="J107" s="82">
        <f>IF('Global Precios'!K108="","",'Global Precios'!K108)</f>
        <v>0.7</v>
      </c>
      <c r="K107" s="30">
        <f>IF('Global Precios'!Z108="Desactivado",0,IF('Global Precios'!L108="","",'Global Precios'!L108))</f>
        <v>26000</v>
      </c>
      <c r="L107" s="18"/>
      <c r="M107" s="18"/>
      <c r="N107" s="18"/>
      <c r="O107" s="18"/>
      <c r="P107" s="18"/>
      <c r="Q107" s="18"/>
      <c r="R107" s="18" t="str">
        <f>IF('Global Precios'!F108="","",'Global Precios'!F108)</f>
        <v>Medicamentos</v>
      </c>
      <c r="S107" s="18"/>
      <c r="T107" s="18" t="str">
        <f>IF('Global Precios'!E108="","",'Global Precios'!E108)</f>
        <v>BOEHRINGER PEQUEÑOS</v>
      </c>
      <c r="U107" s="18"/>
      <c r="V107" s="18">
        <f t="shared" si="2"/>
        <v>0</v>
      </c>
      <c r="W107" s="18"/>
      <c r="X107" s="18"/>
      <c r="Y107" s="18"/>
      <c r="Z107" s="18"/>
      <c r="AA107" s="18"/>
      <c r="AB107" s="18">
        <f t="shared" si="3"/>
        <v>1</v>
      </c>
      <c r="AC107" s="18">
        <f t="shared" si="4"/>
        <v>1</v>
      </c>
      <c r="AD107" s="18">
        <f t="shared" si="5"/>
        <v>1</v>
      </c>
      <c r="AE107" s="18">
        <f t="shared" si="6"/>
        <v>1</v>
      </c>
    </row>
    <row r="108">
      <c r="A108" s="9">
        <f>IF(E108="","", IF('Global Precios'!B109="",0,'Global Precios'!B109))</f>
        <v>0</v>
      </c>
      <c r="B108" s="14" t="str">
        <f>IF('Global Precios'!B109="","",'Global Precios'!B109)</f>
        <v/>
      </c>
      <c r="C108" s="18">
        <f>IF('Global Precios'!A109="","",'Global Precios'!A109)</f>
        <v>108</v>
      </c>
      <c r="D108" s="18"/>
      <c r="E108" s="25" t="str">
        <f>IF('Global Precios'!D109="","",'Global Precios'!D109)</f>
        <v>ANULADO</v>
      </c>
      <c r="F108" s="18"/>
      <c r="G108" s="25">
        <f>IFERROR(VLOOKUP(C108,'BuscarV Stock'!$A$2:$C$478,3,0),"AAA")</f>
        <v>0</v>
      </c>
      <c r="H108" s="25">
        <f t="shared" si="1"/>
        <v>0.21</v>
      </c>
      <c r="I108" s="30" t="str">
        <f>IF('Global Precios'!H109="","",'Global Precios'!H109)</f>
        <v/>
      </c>
      <c r="J108" s="18" t="str">
        <f>IF('Global Precios'!K109="","",'Global Precios'!K109)</f>
        <v/>
      </c>
      <c r="K108" s="30">
        <f>IF('Global Precios'!Z109="Desactivado",0,IF('Global Precios'!L109="","",'Global Precios'!L109))</f>
        <v>0</v>
      </c>
      <c r="L108" s="18"/>
      <c r="M108" s="18"/>
      <c r="N108" s="18"/>
      <c r="O108" s="18"/>
      <c r="P108" s="18"/>
      <c r="Q108" s="18"/>
      <c r="R108" s="18" t="str">
        <f>IF('Global Precios'!F109="","",'Global Precios'!F109)</f>
        <v/>
      </c>
      <c r="S108" s="18"/>
      <c r="T108" s="18" t="str">
        <f>IF('Global Precios'!E109="","",'Global Precios'!E109)</f>
        <v>ANULADO</v>
      </c>
      <c r="U108" s="18"/>
      <c r="V108" s="18">
        <f t="shared" si="2"/>
        <v>0</v>
      </c>
      <c r="W108" s="18"/>
      <c r="X108" s="18"/>
      <c r="Y108" s="18"/>
      <c r="Z108" s="18"/>
      <c r="AA108" s="18"/>
      <c r="AB108" s="18">
        <f t="shared" si="3"/>
        <v>1</v>
      </c>
      <c r="AC108" s="18">
        <f t="shared" si="4"/>
        <v>1</v>
      </c>
      <c r="AD108" s="18">
        <f t="shared" si="5"/>
        <v>1</v>
      </c>
      <c r="AE108" s="18">
        <f t="shared" si="6"/>
        <v>1</v>
      </c>
    </row>
    <row r="109">
      <c r="A109" s="9">
        <f>IF(E109="","", IF('Global Precios'!B110="",0,'Global Precios'!B110))</f>
        <v>0</v>
      </c>
      <c r="B109" s="14" t="str">
        <f>IF('Global Precios'!B110="","",'Global Precios'!B110)</f>
        <v/>
      </c>
      <c r="C109" s="18">
        <f>IF('Global Precios'!A110="","",'Global Precios'!A110)</f>
        <v>109</v>
      </c>
      <c r="D109" s="18"/>
      <c r="E109" s="25" t="str">
        <f>IF('Global Precios'!D110="","",'Global Precios'!D110)</f>
        <v>PIMODEN 10 MG X Blister x 10 COMP.</v>
      </c>
      <c r="F109" s="18"/>
      <c r="G109" s="25">
        <f>IFERROR(VLOOKUP(C109,'BuscarV Stock'!$A$2:$C$478,3,0),"AAA")</f>
        <v>14</v>
      </c>
      <c r="H109" s="25">
        <f t="shared" si="1"/>
        <v>0.21</v>
      </c>
      <c r="I109" s="30">
        <f>IF('Global Precios'!H110="","",'Global Precios'!H110)</f>
        <v>3957.024793</v>
      </c>
      <c r="J109" s="82">
        <f>IF('Global Precios'!K110="","",'Global Precios'!K110)</f>
        <v>0.7</v>
      </c>
      <c r="K109" s="30">
        <f>IF('Global Precios'!Z110="Desactivado",0,IF('Global Precios'!L110="","",'Global Precios'!L110))</f>
        <v>8000</v>
      </c>
      <c r="L109" s="18"/>
      <c r="M109" s="18"/>
      <c r="N109" s="18"/>
      <c r="O109" s="18"/>
      <c r="P109" s="18"/>
      <c r="Q109" s="18"/>
      <c r="R109" s="18" t="str">
        <f>IF('Global Precios'!F110="","",'Global Precios'!F110)</f>
        <v>Medicamentos</v>
      </c>
      <c r="S109" s="18"/>
      <c r="T109" s="18" t="str">
        <f>IF('Global Precios'!E110="","",'Global Precios'!E110)</f>
        <v>JANVIER</v>
      </c>
      <c r="U109" s="18"/>
      <c r="V109" s="18">
        <f t="shared" si="2"/>
        <v>0</v>
      </c>
      <c r="W109" s="18"/>
      <c r="X109" s="18"/>
      <c r="Y109" s="18"/>
      <c r="Z109" s="18"/>
      <c r="AA109" s="18"/>
      <c r="AB109" s="18">
        <f t="shared" si="3"/>
        <v>1</v>
      </c>
      <c r="AC109" s="18">
        <f t="shared" si="4"/>
        <v>1</v>
      </c>
      <c r="AD109" s="18">
        <f t="shared" si="5"/>
        <v>1</v>
      </c>
      <c r="AE109" s="18">
        <f t="shared" si="6"/>
        <v>1</v>
      </c>
    </row>
    <row r="110">
      <c r="A110" s="9">
        <f>IF(E110="","", IF('Global Precios'!B111="",0,'Global Precios'!B111))</f>
        <v>0</v>
      </c>
      <c r="B110" s="14" t="str">
        <f>IF('Global Precios'!B111="","",'Global Precios'!B111)</f>
        <v/>
      </c>
      <c r="C110" s="18">
        <f>IF('Global Precios'!A111="","",'Global Precios'!A111)</f>
        <v>111</v>
      </c>
      <c r="D110" s="18"/>
      <c r="E110" s="25" t="str">
        <f>IF('Global Precios'!D111="","",'Global Precios'!D111)</f>
        <v>Cardinas medianas</v>
      </c>
      <c r="F110" s="18"/>
      <c r="G110" s="25">
        <f>IFERROR(VLOOKUP(C110,'BuscarV Stock'!$A$2:$C$478,3,0),"AAA")</f>
        <v>1</v>
      </c>
      <c r="H110" s="25">
        <f t="shared" si="1"/>
        <v>0.21</v>
      </c>
      <c r="I110" s="30">
        <f>IF('Global Precios'!H111="","",'Global Precios'!H111)</f>
        <v>589</v>
      </c>
      <c r="J110" s="82">
        <f>IF('Global Precios'!K111="","",'Global Precios'!K111)</f>
        <v>1</v>
      </c>
      <c r="K110" s="30">
        <f>IF('Global Precios'!Z111="Desactivado",0,IF('Global Precios'!L111="","",'Global Precios'!L111))</f>
        <v>6500</v>
      </c>
      <c r="L110" s="18"/>
      <c r="M110" s="18"/>
      <c r="N110" s="18"/>
      <c r="O110" s="18"/>
      <c r="P110" s="18"/>
      <c r="Q110" s="18"/>
      <c r="R110" s="18" t="str">
        <f>IF('Global Precios'!F111="","",'Global Precios'!F111)</f>
        <v>Pet-shop</v>
      </c>
      <c r="S110" s="18"/>
      <c r="T110" s="18" t="str">
        <f>IF('Global Precios'!E111="","",'Global Precios'!E111)</f>
        <v/>
      </c>
      <c r="U110" s="18"/>
      <c r="V110" s="18">
        <f t="shared" si="2"/>
        <v>0</v>
      </c>
      <c r="W110" s="18"/>
      <c r="X110" s="18"/>
      <c r="Y110" s="18"/>
      <c r="Z110" s="18"/>
      <c r="AA110" s="18"/>
      <c r="AB110" s="18">
        <f t="shared" si="3"/>
        <v>1</v>
      </c>
      <c r="AC110" s="18">
        <f t="shared" si="4"/>
        <v>1</v>
      </c>
      <c r="AD110" s="18">
        <f t="shared" si="5"/>
        <v>1</v>
      </c>
      <c r="AE110" s="18">
        <f t="shared" si="6"/>
        <v>1</v>
      </c>
    </row>
    <row r="111">
      <c r="A111" s="9">
        <f>IF(E111="","", IF('Global Precios'!B112="",0,'Global Precios'!B112))</f>
        <v>0</v>
      </c>
      <c r="B111" s="14" t="str">
        <f>IF('Global Precios'!B112="","",'Global Precios'!B112)</f>
        <v/>
      </c>
      <c r="C111" s="18">
        <f>IF('Global Precios'!A112="","",'Global Precios'!A112)</f>
        <v>112</v>
      </c>
      <c r="D111" s="18"/>
      <c r="E111" s="25" t="str">
        <f>IF('Global Precios'!D112="","",'Global Precios'!D112)</f>
        <v>Cardina grande</v>
      </c>
      <c r="F111" s="18"/>
      <c r="G111" s="25">
        <f>IFERROR(VLOOKUP(C111,'BuscarV Stock'!$A$2:$C$478,3,0),"AAA")</f>
        <v>0</v>
      </c>
      <c r="H111" s="25">
        <f t="shared" si="1"/>
        <v>0.21</v>
      </c>
      <c r="I111" s="30">
        <f>IF('Global Precios'!H112="","",'Global Precios'!H112)</f>
        <v>738</v>
      </c>
      <c r="J111" s="82">
        <f>IF('Global Precios'!K112="","",'Global Precios'!K112)</f>
        <v>1</v>
      </c>
      <c r="K111" s="30">
        <f>IF('Global Precios'!Z112="Desactivado",0,IF('Global Precios'!L112="","",'Global Precios'!L112))</f>
        <v>7500</v>
      </c>
      <c r="L111" s="18"/>
      <c r="M111" s="18"/>
      <c r="N111" s="18"/>
      <c r="O111" s="18"/>
      <c r="P111" s="18"/>
      <c r="Q111" s="18"/>
      <c r="R111" s="18" t="str">
        <f>IF('Global Precios'!F112="","",'Global Precios'!F112)</f>
        <v>Pet-shop</v>
      </c>
      <c r="S111" s="18"/>
      <c r="T111" s="18" t="str">
        <f>IF('Global Precios'!E112="","",'Global Precios'!E112)</f>
        <v/>
      </c>
      <c r="U111" s="18"/>
      <c r="V111" s="18">
        <f t="shared" si="2"/>
        <v>0</v>
      </c>
      <c r="W111" s="18"/>
      <c r="X111" s="18"/>
      <c r="Y111" s="18"/>
      <c r="Z111" s="18"/>
      <c r="AA111" s="18"/>
      <c r="AB111" s="18">
        <f t="shared" si="3"/>
        <v>1</v>
      </c>
      <c r="AC111" s="18">
        <f t="shared" si="4"/>
        <v>1</v>
      </c>
      <c r="AD111" s="18">
        <f t="shared" si="5"/>
        <v>1</v>
      </c>
      <c r="AE111" s="18">
        <f t="shared" si="6"/>
        <v>1</v>
      </c>
    </row>
    <row r="112">
      <c r="A112" s="9">
        <f>IF(E112="","", IF('Global Precios'!B113="",0,'Global Precios'!B113))</f>
        <v>0</v>
      </c>
      <c r="B112" s="14" t="str">
        <f>IF('Global Precios'!B113="","",'Global Precios'!B113)</f>
        <v/>
      </c>
      <c r="C112" s="18">
        <f>IF('Global Precios'!A113="","",'Global Precios'!A113)</f>
        <v>113</v>
      </c>
      <c r="D112" s="18"/>
      <c r="E112" s="25" t="str">
        <f>IF('Global Precios'!D113="","",'Global Precios'!D113)</f>
        <v>COLLAR CON PAÑUELO CHICO</v>
      </c>
      <c r="F112" s="18"/>
      <c r="G112" s="25">
        <f>IFERROR(VLOOKUP(C112,'BuscarV Stock'!$A$2:$C$478,3,0),"AAA")</f>
        <v>0</v>
      </c>
      <c r="H112" s="25">
        <f t="shared" si="1"/>
        <v>0.21</v>
      </c>
      <c r="I112" s="30">
        <f>IF('Global Precios'!H113="","",'Global Precios'!H113)</f>
        <v>244</v>
      </c>
      <c r="J112" s="82">
        <f>IF('Global Precios'!K113="","",'Global Precios'!K113)</f>
        <v>1</v>
      </c>
      <c r="K112" s="30">
        <f>IF('Global Precios'!Z113="Desactivado",0,IF('Global Precios'!L113="","",'Global Precios'!L113))</f>
        <v>3000</v>
      </c>
      <c r="L112" s="18"/>
      <c r="M112" s="18"/>
      <c r="N112" s="18"/>
      <c r="O112" s="18"/>
      <c r="P112" s="18"/>
      <c r="Q112" s="18"/>
      <c r="R112" s="18" t="str">
        <f>IF('Global Precios'!F113="","",'Global Precios'!F113)</f>
        <v>Pet-shop</v>
      </c>
      <c r="S112" s="18"/>
      <c r="T112" s="18" t="str">
        <f>IF('Global Precios'!E113="","",'Global Precios'!E113)</f>
        <v/>
      </c>
      <c r="U112" s="18"/>
      <c r="V112" s="18">
        <f t="shared" si="2"/>
        <v>0</v>
      </c>
      <c r="W112" s="18"/>
      <c r="X112" s="18"/>
      <c r="Y112" s="18"/>
      <c r="Z112" s="18"/>
      <c r="AA112" s="18"/>
      <c r="AB112" s="18">
        <f t="shared" si="3"/>
        <v>1</v>
      </c>
      <c r="AC112" s="18">
        <f t="shared" si="4"/>
        <v>1</v>
      </c>
      <c r="AD112" s="18">
        <f t="shared" si="5"/>
        <v>1</v>
      </c>
      <c r="AE112" s="18">
        <f t="shared" si="6"/>
        <v>1</v>
      </c>
    </row>
    <row r="113">
      <c r="A113" s="9">
        <f>IF(E113="","", IF('Global Precios'!B114="",0,'Global Precios'!B114))</f>
        <v>0</v>
      </c>
      <c r="B113" s="14" t="str">
        <f>IF('Global Precios'!B114="","",'Global Precios'!B114)</f>
        <v/>
      </c>
      <c r="C113" s="18">
        <f>IF('Global Precios'!A114="","",'Global Precios'!A114)</f>
        <v>114</v>
      </c>
      <c r="D113" s="18"/>
      <c r="E113" s="25" t="str">
        <f>IF('Global Precios'!D114="","",'Global Precios'!D114)</f>
        <v>COLLAR CON PAÑUELO MEDIANO</v>
      </c>
      <c r="F113" s="18"/>
      <c r="G113" s="25">
        <f>IFERROR(VLOOKUP(C113,'BuscarV Stock'!$A$2:$C$478,3,0),"AAA")</f>
        <v>2</v>
      </c>
      <c r="H113" s="25">
        <f t="shared" si="1"/>
        <v>0.21</v>
      </c>
      <c r="I113" s="30">
        <f>IF('Global Precios'!H114="","",'Global Precios'!H114)</f>
        <v>289</v>
      </c>
      <c r="J113" s="82">
        <f>IF('Global Precios'!K114="","",'Global Precios'!K114)</f>
        <v>1</v>
      </c>
      <c r="K113" s="30">
        <f>IF('Global Precios'!Z114="Desactivado",0,IF('Global Precios'!L114="","",'Global Precios'!L114))</f>
        <v>4000</v>
      </c>
      <c r="L113" s="18"/>
      <c r="M113" s="18"/>
      <c r="N113" s="18"/>
      <c r="O113" s="18"/>
      <c r="P113" s="18"/>
      <c r="Q113" s="18"/>
      <c r="R113" s="18" t="str">
        <f>IF('Global Precios'!F114="","",'Global Precios'!F114)</f>
        <v>Pet-shop</v>
      </c>
      <c r="S113" s="18"/>
      <c r="T113" s="18" t="str">
        <f>IF('Global Precios'!E114="","",'Global Precios'!E114)</f>
        <v>Animall</v>
      </c>
      <c r="U113" s="18"/>
      <c r="V113" s="18">
        <f t="shared" si="2"/>
        <v>0</v>
      </c>
      <c r="W113" s="18"/>
      <c r="X113" s="18"/>
      <c r="Y113" s="18"/>
      <c r="Z113" s="18"/>
      <c r="AA113" s="18"/>
      <c r="AB113" s="18">
        <f t="shared" si="3"/>
        <v>1</v>
      </c>
      <c r="AC113" s="18">
        <f t="shared" si="4"/>
        <v>1</v>
      </c>
      <c r="AD113" s="18">
        <f t="shared" si="5"/>
        <v>1</v>
      </c>
      <c r="AE113" s="18">
        <f t="shared" si="6"/>
        <v>1</v>
      </c>
    </row>
    <row r="114">
      <c r="A114" s="9">
        <f>IF(E114="","", IF('Global Precios'!B115="",0,'Global Precios'!B115))</f>
        <v>0</v>
      </c>
      <c r="B114" s="14" t="str">
        <f>IF('Global Precios'!B115="","",'Global Precios'!B115)</f>
        <v/>
      </c>
      <c r="C114" s="18">
        <f>IF('Global Precios'!A115="","",'Global Precios'!A115)</f>
        <v>115</v>
      </c>
      <c r="D114" s="18"/>
      <c r="E114" s="25" t="str">
        <f>IF('Global Precios'!D115="","",'Global Precios'!D115)</f>
        <v>COLLAR CON PAÑUELO GRANDE</v>
      </c>
      <c r="F114" s="18"/>
      <c r="G114" s="25">
        <f>IFERROR(VLOOKUP(C114,'BuscarV Stock'!$A$2:$C$478,3,0),"AAA")</f>
        <v>1</v>
      </c>
      <c r="H114" s="25">
        <f t="shared" si="1"/>
        <v>0.21</v>
      </c>
      <c r="I114" s="30">
        <f>IF('Global Precios'!H115="","",'Global Precios'!H115)</f>
        <v>535</v>
      </c>
      <c r="J114" s="82">
        <f>IF('Global Precios'!K115="","",'Global Precios'!K115)</f>
        <v>1</v>
      </c>
      <c r="K114" s="30">
        <f>IF('Global Precios'!Z115="Desactivado",0,IF('Global Precios'!L115="","",'Global Precios'!L115))</f>
        <v>4500</v>
      </c>
      <c r="L114" s="18"/>
      <c r="M114" s="18"/>
      <c r="N114" s="18"/>
      <c r="O114" s="18"/>
      <c r="P114" s="18"/>
      <c r="Q114" s="18"/>
      <c r="R114" s="18" t="str">
        <f>IF('Global Precios'!F115="","",'Global Precios'!F115)</f>
        <v>Pet-shop</v>
      </c>
      <c r="S114" s="18"/>
      <c r="T114" s="18" t="str">
        <f>IF('Global Precios'!E115="","",'Global Precios'!E115)</f>
        <v>Animall</v>
      </c>
      <c r="U114" s="18"/>
      <c r="V114" s="18">
        <f t="shared" si="2"/>
        <v>0</v>
      </c>
      <c r="W114" s="18"/>
      <c r="X114" s="18"/>
      <c r="Y114" s="18"/>
      <c r="Z114" s="18"/>
      <c r="AA114" s="18"/>
      <c r="AB114" s="18">
        <f t="shared" si="3"/>
        <v>1</v>
      </c>
      <c r="AC114" s="18">
        <f t="shared" si="4"/>
        <v>1</v>
      </c>
      <c r="AD114" s="18">
        <f t="shared" si="5"/>
        <v>1</v>
      </c>
      <c r="AE114" s="18">
        <f t="shared" si="6"/>
        <v>1</v>
      </c>
    </row>
    <row r="115">
      <c r="A115" s="9">
        <f>IF(E115="","", IF('Global Precios'!B116="",0,'Global Precios'!B116))</f>
        <v>0</v>
      </c>
      <c r="B115" s="14" t="str">
        <f>IF('Global Precios'!B116="","",'Global Precios'!B116)</f>
        <v/>
      </c>
      <c r="C115" s="18">
        <f>IF('Global Precios'!A116="","",'Global Precios'!A116)</f>
        <v>116</v>
      </c>
      <c r="D115" s="18"/>
      <c r="E115" s="25" t="str">
        <f>IF('Global Precios'!D116="","",'Global Precios'!D116)</f>
        <v>Collar c/ apliques canis talle</v>
      </c>
      <c r="F115" s="18"/>
      <c r="G115" s="25">
        <f>IFERROR(VLOOKUP(C115,'BuscarV Stock'!$A$2:$C$478,3,0),"AAA")</f>
        <v>0</v>
      </c>
      <c r="H115" s="25">
        <f t="shared" si="1"/>
        <v>0.21</v>
      </c>
      <c r="I115" s="30">
        <f>IF('Global Precios'!H116="","",'Global Precios'!H116)</f>
        <v>535</v>
      </c>
      <c r="J115" s="82">
        <f>IF('Global Precios'!K116="","",'Global Precios'!K116)</f>
        <v>1</v>
      </c>
      <c r="K115" s="30">
        <f>IF('Global Precios'!Z116="Desactivado",0,IF('Global Precios'!L116="","",'Global Precios'!L116))</f>
        <v>0</v>
      </c>
      <c r="L115" s="18"/>
      <c r="M115" s="18"/>
      <c r="N115" s="18"/>
      <c r="O115" s="18"/>
      <c r="P115" s="18"/>
      <c r="Q115" s="18"/>
      <c r="R115" s="18" t="str">
        <f>IF('Global Precios'!F116="","",'Global Precios'!F116)</f>
        <v>Pet-shop</v>
      </c>
      <c r="S115" s="18"/>
      <c r="T115" s="18" t="str">
        <f>IF('Global Precios'!E116="","",'Global Precios'!E116)</f>
        <v/>
      </c>
      <c r="U115" s="18"/>
      <c r="V115" s="18">
        <f t="shared" si="2"/>
        <v>0</v>
      </c>
      <c r="W115" s="18"/>
      <c r="X115" s="18"/>
      <c r="Y115" s="18"/>
      <c r="Z115" s="18"/>
      <c r="AA115" s="18"/>
      <c r="AB115" s="18">
        <f t="shared" si="3"/>
        <v>1</v>
      </c>
      <c r="AC115" s="18">
        <f t="shared" si="4"/>
        <v>1</v>
      </c>
      <c r="AD115" s="18">
        <f t="shared" si="5"/>
        <v>1</v>
      </c>
      <c r="AE115" s="18">
        <f t="shared" si="6"/>
        <v>1</v>
      </c>
    </row>
    <row r="116">
      <c r="A116" s="9">
        <f>IF(E116="","", IF('Global Precios'!B117="",0,'Global Precios'!B117))</f>
        <v>0</v>
      </c>
      <c r="B116" s="14" t="str">
        <f>IF('Global Precios'!B117="","",'Global Precios'!B117)</f>
        <v/>
      </c>
      <c r="C116" s="18">
        <f>IF('Global Precios'!A117="","",'Global Precios'!A117)</f>
        <v>117</v>
      </c>
      <c r="D116" s="18"/>
      <c r="E116" s="25" t="str">
        <f>IF('Global Precios'!D117="","",'Global Precios'!D117)</f>
        <v>Colla cuerina c/moño</v>
      </c>
      <c r="F116" s="18"/>
      <c r="G116" s="25">
        <f>IFERROR(VLOOKUP(C116,'BuscarV Stock'!$A$2:$C$478,3,0),"AAA")</f>
        <v>0</v>
      </c>
      <c r="H116" s="25">
        <f t="shared" si="1"/>
        <v>0.21</v>
      </c>
      <c r="I116" s="30">
        <f>IF('Global Precios'!H117="","",'Global Precios'!H117)</f>
        <v>305</v>
      </c>
      <c r="J116" s="82">
        <f>IF('Global Precios'!K117="","",'Global Precios'!K117)</f>
        <v>1</v>
      </c>
      <c r="K116" s="30">
        <f>IF('Global Precios'!Z117="Desactivado",0,IF('Global Precios'!L117="","",'Global Precios'!L117))</f>
        <v>0</v>
      </c>
      <c r="L116" s="18"/>
      <c r="M116" s="18"/>
      <c r="N116" s="18"/>
      <c r="O116" s="18"/>
      <c r="P116" s="18"/>
      <c r="Q116" s="18"/>
      <c r="R116" s="18" t="str">
        <f>IF('Global Precios'!F117="","",'Global Precios'!F117)</f>
        <v>Pet-shop</v>
      </c>
      <c r="S116" s="18"/>
      <c r="T116" s="18" t="str">
        <f>IF('Global Precios'!E117="","",'Global Precios'!E117)</f>
        <v/>
      </c>
      <c r="U116" s="18"/>
      <c r="V116" s="18">
        <f t="shared" si="2"/>
        <v>0</v>
      </c>
      <c r="W116" s="18"/>
      <c r="X116" s="18"/>
      <c r="Y116" s="18"/>
      <c r="Z116" s="18"/>
      <c r="AA116" s="18"/>
      <c r="AB116" s="18">
        <f t="shared" si="3"/>
        <v>1</v>
      </c>
      <c r="AC116" s="18">
        <f t="shared" si="4"/>
        <v>1</v>
      </c>
      <c r="AD116" s="18">
        <f t="shared" si="5"/>
        <v>1</v>
      </c>
      <c r="AE116" s="18">
        <f t="shared" si="6"/>
        <v>1</v>
      </c>
    </row>
    <row r="117">
      <c r="A117" s="9">
        <f>IF(E117="","", IF('Global Precios'!B118="",0,'Global Precios'!B118))</f>
        <v>0</v>
      </c>
      <c r="B117" s="14" t="str">
        <f>IF('Global Precios'!B118="","",'Global Precios'!B118)</f>
        <v/>
      </c>
      <c r="C117" s="18">
        <f>IF('Global Precios'!A118="","",'Global Precios'!A118)</f>
        <v>118</v>
      </c>
      <c r="D117" s="18"/>
      <c r="E117" s="25" t="str">
        <f>IF('Global Precios'!D118="","",'Global Precios'!D118)</f>
        <v>Collar nylon reforzado talle 6</v>
      </c>
      <c r="F117" s="18"/>
      <c r="G117" s="25">
        <f>IFERROR(VLOOKUP(C117,'BuscarV Stock'!$A$2:$C$478,3,0),"AAA")</f>
        <v>0</v>
      </c>
      <c r="H117" s="25">
        <f t="shared" si="1"/>
        <v>0.21</v>
      </c>
      <c r="I117" s="30">
        <f>IF('Global Precios'!H118="","",'Global Precios'!H118)</f>
        <v>856</v>
      </c>
      <c r="J117" s="82">
        <f>IF('Global Precios'!K118="","",'Global Precios'!K118)</f>
        <v>1</v>
      </c>
      <c r="K117" s="30">
        <f>IF('Global Precios'!Z118="Desactivado",0,IF('Global Precios'!L118="","",'Global Precios'!L118))</f>
        <v>0</v>
      </c>
      <c r="L117" s="18"/>
      <c r="M117" s="18"/>
      <c r="N117" s="18"/>
      <c r="O117" s="18"/>
      <c r="P117" s="18"/>
      <c r="Q117" s="18"/>
      <c r="R117" s="18" t="str">
        <f>IF('Global Precios'!F118="","",'Global Precios'!F118)</f>
        <v>Pet-shop</v>
      </c>
      <c r="S117" s="18"/>
      <c r="T117" s="18" t="str">
        <f>IF('Global Precios'!E118="","",'Global Precios'!E118)</f>
        <v/>
      </c>
      <c r="U117" s="18"/>
      <c r="V117" s="18">
        <f t="shared" si="2"/>
        <v>0</v>
      </c>
      <c r="W117" s="18"/>
      <c r="X117" s="18"/>
      <c r="Y117" s="18"/>
      <c r="Z117" s="18"/>
      <c r="AA117" s="18"/>
      <c r="AB117" s="18">
        <f t="shared" si="3"/>
        <v>1</v>
      </c>
      <c r="AC117" s="18">
        <f t="shared" si="4"/>
        <v>1</v>
      </c>
      <c r="AD117" s="18">
        <f t="shared" si="5"/>
        <v>1</v>
      </c>
      <c r="AE117" s="18">
        <f t="shared" si="6"/>
        <v>1</v>
      </c>
    </row>
    <row r="118">
      <c r="A118" s="9">
        <f>IF(E118="","", IF('Global Precios'!B119="",0,'Global Precios'!B119))</f>
        <v>0</v>
      </c>
      <c r="B118" s="14" t="str">
        <f>IF('Global Precios'!B119="","",'Global Precios'!B119)</f>
        <v/>
      </c>
      <c r="C118" s="18">
        <f>IF('Global Precios'!A119="","",'Global Precios'!A119)</f>
        <v>121</v>
      </c>
      <c r="D118" s="18"/>
      <c r="E118" s="25" t="str">
        <f>IF('Global Precios'!D119="","",'Global Precios'!D119)</f>
        <v>collar nylon  talle 1</v>
      </c>
      <c r="F118" s="18"/>
      <c r="G118" s="25">
        <f>IFERROR(VLOOKUP(C118,'BuscarV Stock'!$A$2:$C$478,3,0),"AAA")</f>
        <v>10</v>
      </c>
      <c r="H118" s="25">
        <f t="shared" si="1"/>
        <v>0.21</v>
      </c>
      <c r="I118" s="30">
        <f>IF('Global Precios'!H119="","",'Global Precios'!H119)</f>
        <v>187</v>
      </c>
      <c r="J118" s="82">
        <f>IF('Global Precios'!K119="","",'Global Precios'!K119)</f>
        <v>1</v>
      </c>
      <c r="K118" s="30">
        <f>IF('Global Precios'!Z119="Desactivado",0,IF('Global Precios'!L119="","",'Global Precios'!L119))</f>
        <v>2000</v>
      </c>
      <c r="L118" s="18"/>
      <c r="M118" s="18"/>
      <c r="N118" s="18"/>
      <c r="O118" s="18"/>
      <c r="P118" s="18"/>
      <c r="Q118" s="18"/>
      <c r="R118" s="18" t="str">
        <f>IF('Global Precios'!F119="","",'Global Precios'!F119)</f>
        <v>Pet-shop</v>
      </c>
      <c r="S118" s="18"/>
      <c r="T118" s="18" t="str">
        <f>IF('Global Precios'!E119="","",'Global Precios'!E119)</f>
        <v/>
      </c>
      <c r="U118" s="18"/>
      <c r="V118" s="18">
        <f t="shared" si="2"/>
        <v>0</v>
      </c>
      <c r="W118" s="18"/>
      <c r="X118" s="18"/>
      <c r="Y118" s="18"/>
      <c r="Z118" s="18"/>
      <c r="AA118" s="18"/>
      <c r="AB118" s="18">
        <f t="shared" si="3"/>
        <v>1</v>
      </c>
      <c r="AC118" s="18">
        <f t="shared" si="4"/>
        <v>1</v>
      </c>
      <c r="AD118" s="18">
        <f t="shared" si="5"/>
        <v>1</v>
      </c>
      <c r="AE118" s="18">
        <f t="shared" si="6"/>
        <v>1</v>
      </c>
    </row>
    <row r="119">
      <c r="A119" s="9">
        <f>IF(E119="","", IF('Global Precios'!B120="",0,'Global Precios'!B120))</f>
        <v>0</v>
      </c>
      <c r="B119" s="14" t="str">
        <f>IF('Global Precios'!B120="","",'Global Precios'!B120)</f>
        <v/>
      </c>
      <c r="C119" s="18">
        <f>IF('Global Precios'!A120="","",'Global Precios'!A120)</f>
        <v>122</v>
      </c>
      <c r="D119" s="18"/>
      <c r="E119" s="25" t="str">
        <f>IF('Global Precios'!D120="","",'Global Precios'!D120)</f>
        <v>collar nylon talle 2</v>
      </c>
      <c r="F119" s="18"/>
      <c r="G119" s="25">
        <f>IFERROR(VLOOKUP(C119,'BuscarV Stock'!$A$2:$C$478,3,0),"AAA")</f>
        <v>9</v>
      </c>
      <c r="H119" s="25">
        <f t="shared" si="1"/>
        <v>0.21</v>
      </c>
      <c r="I119" s="30">
        <f>IF('Global Precios'!H120="","",'Global Precios'!H120)</f>
        <v>195</v>
      </c>
      <c r="J119" s="82">
        <f>IF('Global Precios'!K120="","",'Global Precios'!K120)</f>
        <v>1</v>
      </c>
      <c r="K119" s="30">
        <f>IF('Global Precios'!Z120="Desactivado",0,IF('Global Precios'!L120="","",'Global Precios'!L120))</f>
        <v>2000</v>
      </c>
      <c r="L119" s="18"/>
      <c r="M119" s="18"/>
      <c r="N119" s="18"/>
      <c r="O119" s="18"/>
      <c r="P119" s="18"/>
      <c r="Q119" s="18"/>
      <c r="R119" s="18" t="str">
        <f>IF('Global Precios'!F120="","",'Global Precios'!F120)</f>
        <v>Pet-shop</v>
      </c>
      <c r="S119" s="18"/>
      <c r="T119" s="18" t="str">
        <f>IF('Global Precios'!E120="","",'Global Precios'!E120)</f>
        <v/>
      </c>
      <c r="U119" s="18"/>
      <c r="V119" s="18">
        <f t="shared" si="2"/>
        <v>0</v>
      </c>
      <c r="W119" s="18"/>
      <c r="X119" s="18"/>
      <c r="Y119" s="18"/>
      <c r="Z119" s="18"/>
      <c r="AA119" s="18"/>
      <c r="AB119" s="18">
        <f t="shared" si="3"/>
        <v>1</v>
      </c>
      <c r="AC119" s="18">
        <f t="shared" si="4"/>
        <v>1</v>
      </c>
      <c r="AD119" s="18">
        <f t="shared" si="5"/>
        <v>1</v>
      </c>
      <c r="AE119" s="18">
        <f t="shared" si="6"/>
        <v>1</v>
      </c>
    </row>
    <row r="120">
      <c r="A120" s="9">
        <f>IF(E120="","", IF('Global Precios'!B121="",0,'Global Precios'!B121))</f>
        <v>0</v>
      </c>
      <c r="B120" s="14" t="str">
        <f>IF('Global Precios'!B121="","",'Global Precios'!B121)</f>
        <v/>
      </c>
      <c r="C120" s="18">
        <f>IF('Global Precios'!A121="","",'Global Precios'!A121)</f>
        <v>123</v>
      </c>
      <c r="D120" s="18"/>
      <c r="E120" s="25" t="str">
        <f>IF('Global Precios'!D121="","",'Global Precios'!D121)</f>
        <v>collar nylon talle 3</v>
      </c>
      <c r="F120" s="18"/>
      <c r="G120" s="25">
        <f>IFERROR(VLOOKUP(C120,'BuscarV Stock'!$A$2:$C$478,3,0),"AAA")</f>
        <v>3</v>
      </c>
      <c r="H120" s="25">
        <f t="shared" si="1"/>
        <v>0.21</v>
      </c>
      <c r="I120" s="30">
        <f>IF('Global Precios'!H121="","",'Global Precios'!H121)</f>
        <v>227</v>
      </c>
      <c r="J120" s="82">
        <f>IF('Global Precios'!K121="","",'Global Precios'!K121)</f>
        <v>1</v>
      </c>
      <c r="K120" s="30">
        <f>IF('Global Precios'!Z121="Desactivado",0,IF('Global Precios'!L121="","",'Global Precios'!L121))</f>
        <v>2500</v>
      </c>
      <c r="L120" s="18"/>
      <c r="M120" s="18"/>
      <c r="N120" s="18"/>
      <c r="O120" s="18"/>
      <c r="P120" s="18"/>
      <c r="Q120" s="18"/>
      <c r="R120" s="18" t="str">
        <f>IF('Global Precios'!F121="","",'Global Precios'!F121)</f>
        <v>Pet-shop</v>
      </c>
      <c r="S120" s="18"/>
      <c r="T120" s="18" t="str">
        <f>IF('Global Precios'!E121="","",'Global Precios'!E121)</f>
        <v/>
      </c>
      <c r="U120" s="18"/>
      <c r="V120" s="18">
        <f t="shared" si="2"/>
        <v>0</v>
      </c>
      <c r="W120" s="18"/>
      <c r="X120" s="18"/>
      <c r="Y120" s="18"/>
      <c r="Z120" s="18"/>
      <c r="AA120" s="18"/>
      <c r="AB120" s="18">
        <f t="shared" si="3"/>
        <v>1</v>
      </c>
      <c r="AC120" s="18">
        <f t="shared" si="4"/>
        <v>1</v>
      </c>
      <c r="AD120" s="18">
        <f t="shared" si="5"/>
        <v>1</v>
      </c>
      <c r="AE120" s="18">
        <f t="shared" si="6"/>
        <v>1</v>
      </c>
    </row>
    <row r="121">
      <c r="A121" s="9">
        <f>IF(E121="","", IF('Global Precios'!B122="",0,'Global Precios'!B122))</f>
        <v>0</v>
      </c>
      <c r="B121" s="14" t="str">
        <f>IF('Global Precios'!B122="","",'Global Precios'!B122)</f>
        <v/>
      </c>
      <c r="C121" s="18">
        <f>IF('Global Precios'!A122="","",'Global Precios'!A122)</f>
        <v>124</v>
      </c>
      <c r="D121" s="18"/>
      <c r="E121" s="25" t="str">
        <f>IF('Global Precios'!D122="","",'Global Precios'!D122)</f>
        <v>collar nylon talle 4</v>
      </c>
      <c r="F121" s="18"/>
      <c r="G121" s="25">
        <f>IFERROR(VLOOKUP(C121,'BuscarV Stock'!$A$2:$C$478,3,0),"AAA")</f>
        <v>4</v>
      </c>
      <c r="H121" s="25">
        <f t="shared" si="1"/>
        <v>0.21</v>
      </c>
      <c r="I121" s="30">
        <f>IF('Global Precios'!H122="","",'Global Precios'!H122)</f>
        <v>233</v>
      </c>
      <c r="J121" s="82">
        <f>IF('Global Precios'!K122="","",'Global Precios'!K122)</f>
        <v>1</v>
      </c>
      <c r="K121" s="30">
        <f>IF('Global Precios'!Z122="Desactivado",0,IF('Global Precios'!L122="","",'Global Precios'!L122))</f>
        <v>2500</v>
      </c>
      <c r="L121" s="18"/>
      <c r="M121" s="18"/>
      <c r="N121" s="18"/>
      <c r="O121" s="18"/>
      <c r="P121" s="18"/>
      <c r="Q121" s="18"/>
      <c r="R121" s="18" t="str">
        <f>IF('Global Precios'!F122="","",'Global Precios'!F122)</f>
        <v>Pet-shop</v>
      </c>
      <c r="S121" s="18"/>
      <c r="T121" s="18" t="str">
        <f>IF('Global Precios'!E122="","",'Global Precios'!E122)</f>
        <v/>
      </c>
      <c r="U121" s="18"/>
      <c r="V121" s="18">
        <f t="shared" si="2"/>
        <v>0</v>
      </c>
      <c r="W121" s="18"/>
      <c r="X121" s="18"/>
      <c r="Y121" s="18"/>
      <c r="Z121" s="18"/>
      <c r="AA121" s="18"/>
      <c r="AB121" s="18">
        <f t="shared" si="3"/>
        <v>1</v>
      </c>
      <c r="AC121" s="18">
        <f t="shared" si="4"/>
        <v>1</v>
      </c>
      <c r="AD121" s="18">
        <f t="shared" si="5"/>
        <v>1</v>
      </c>
      <c r="AE121" s="18">
        <f t="shared" si="6"/>
        <v>1</v>
      </c>
    </row>
    <row r="122">
      <c r="A122" s="9">
        <f>IF(E122="","", IF('Global Precios'!B123="",0,'Global Precios'!B123))</f>
        <v>0</v>
      </c>
      <c r="B122" s="14" t="str">
        <f>IF('Global Precios'!B123="","",'Global Precios'!B123)</f>
        <v/>
      </c>
      <c r="C122" s="18">
        <f>IF('Global Precios'!A123="","",'Global Precios'!A123)</f>
        <v>125</v>
      </c>
      <c r="D122" s="18"/>
      <c r="E122" s="25" t="str">
        <f>IF('Global Precios'!D123="","",'Global Precios'!D123)</f>
        <v>collar nylon talle 5</v>
      </c>
      <c r="F122" s="18"/>
      <c r="G122" s="25">
        <f>IFERROR(VLOOKUP(C122,'BuscarV Stock'!$A$2:$C$478,3,0),"AAA")</f>
        <v>3</v>
      </c>
      <c r="H122" s="25">
        <f t="shared" si="1"/>
        <v>0.21</v>
      </c>
      <c r="I122" s="30">
        <f>IF('Global Precios'!H123="","",'Global Precios'!H123)</f>
        <v>291</v>
      </c>
      <c r="J122" s="82">
        <f>IF('Global Precios'!K123="","",'Global Precios'!K123)</f>
        <v>1</v>
      </c>
      <c r="K122" s="30">
        <f>IF('Global Precios'!Z123="Desactivado",0,IF('Global Precios'!L123="","",'Global Precios'!L123))</f>
        <v>3500</v>
      </c>
      <c r="L122" s="18"/>
      <c r="M122" s="18"/>
      <c r="N122" s="18"/>
      <c r="O122" s="18"/>
      <c r="P122" s="18"/>
      <c r="Q122" s="18"/>
      <c r="R122" s="18" t="str">
        <f>IF('Global Precios'!F123="","",'Global Precios'!F123)</f>
        <v>Pet-shop</v>
      </c>
      <c r="S122" s="18"/>
      <c r="T122" s="18" t="str">
        <f>IF('Global Precios'!E123="","",'Global Precios'!E123)</f>
        <v/>
      </c>
      <c r="U122" s="18"/>
      <c r="V122" s="18">
        <f t="shared" si="2"/>
        <v>0</v>
      </c>
      <c r="W122" s="18"/>
      <c r="X122" s="18"/>
      <c r="Y122" s="18"/>
      <c r="Z122" s="18"/>
      <c r="AA122" s="18"/>
      <c r="AB122" s="18">
        <f t="shared" si="3"/>
        <v>1</v>
      </c>
      <c r="AC122" s="18">
        <f t="shared" si="4"/>
        <v>1</v>
      </c>
      <c r="AD122" s="18">
        <f t="shared" si="5"/>
        <v>1</v>
      </c>
      <c r="AE122" s="18">
        <f t="shared" si="6"/>
        <v>1</v>
      </c>
    </row>
    <row r="123">
      <c r="A123" s="9">
        <f>IF(E123="","", IF('Global Precios'!B124="",0,'Global Precios'!B124))</f>
        <v>0</v>
      </c>
      <c r="B123" s="14" t="str">
        <f>IF('Global Precios'!B124="","",'Global Precios'!B124)</f>
        <v/>
      </c>
      <c r="C123" s="18">
        <f>IF('Global Precios'!A124="","",'Global Precios'!A124)</f>
        <v>126</v>
      </c>
      <c r="D123" s="18"/>
      <c r="E123" s="25" t="str">
        <f>IF('Global Precios'!D124="","",'Global Precios'!D124)</f>
        <v>COLLAR NYLON N°6</v>
      </c>
      <c r="F123" s="18"/>
      <c r="G123" s="25">
        <f>IFERROR(VLOOKUP(C123,'BuscarV Stock'!$A$2:$C$478,3,0),"AAA")</f>
        <v>2</v>
      </c>
      <c r="H123" s="25">
        <f t="shared" si="1"/>
        <v>0.21</v>
      </c>
      <c r="I123" s="30">
        <f>IF('Global Precios'!H124="","",'Global Precios'!H124)</f>
        <v>305</v>
      </c>
      <c r="J123" s="82">
        <f>IF('Global Precios'!K124="","",'Global Precios'!K124)</f>
        <v>1</v>
      </c>
      <c r="K123" s="30">
        <f>IF('Global Precios'!Z124="Desactivado",0,IF('Global Precios'!L124="","",'Global Precios'!L124))</f>
        <v>3500</v>
      </c>
      <c r="L123" s="18"/>
      <c r="M123" s="18"/>
      <c r="N123" s="18"/>
      <c r="O123" s="18"/>
      <c r="P123" s="18"/>
      <c r="Q123" s="18"/>
      <c r="R123" s="18" t="str">
        <f>IF('Global Precios'!F124="","",'Global Precios'!F124)</f>
        <v>Pet-shop</v>
      </c>
      <c r="S123" s="18"/>
      <c r="T123" s="18" t="str">
        <f>IF('Global Precios'!E124="","",'Global Precios'!E124)</f>
        <v>Animall</v>
      </c>
      <c r="U123" s="18"/>
      <c r="V123" s="18">
        <f t="shared" si="2"/>
        <v>0</v>
      </c>
      <c r="W123" s="18"/>
      <c r="X123" s="18"/>
      <c r="Y123" s="18"/>
      <c r="Z123" s="18"/>
      <c r="AA123" s="18"/>
      <c r="AB123" s="18">
        <f t="shared" si="3"/>
        <v>1</v>
      </c>
      <c r="AC123" s="18">
        <f t="shared" si="4"/>
        <v>1</v>
      </c>
      <c r="AD123" s="18">
        <f t="shared" si="5"/>
        <v>1</v>
      </c>
      <c r="AE123" s="18">
        <f t="shared" si="6"/>
        <v>1</v>
      </c>
    </row>
    <row r="124">
      <c r="A124" s="9">
        <f>IF(E124="","", IF('Global Precios'!B125="",0,'Global Precios'!B125))</f>
        <v>0</v>
      </c>
      <c r="B124" s="14" t="str">
        <f>IF('Global Precios'!B125="","",'Global Precios'!B125)</f>
        <v/>
      </c>
      <c r="C124" s="18">
        <f>IF('Global Precios'!A125="","",'Global Precios'!A125)</f>
        <v>127</v>
      </c>
      <c r="D124" s="18"/>
      <c r="E124" s="25" t="str">
        <f>IF('Global Precios'!D125="","",'Global Precios'!D125)</f>
        <v>COLLAR NYLON N°8</v>
      </c>
      <c r="F124" s="18"/>
      <c r="G124" s="25">
        <f>IFERROR(VLOOKUP(C124,'BuscarV Stock'!$A$2:$C$478,3,0),"AAA")</f>
        <v>0</v>
      </c>
      <c r="H124" s="25">
        <f t="shared" si="1"/>
        <v>0.21</v>
      </c>
      <c r="I124" s="30">
        <f>IF('Global Precios'!H125="","",'Global Precios'!H125)</f>
        <v>963</v>
      </c>
      <c r="J124" s="82">
        <f>IF('Global Precios'!K125="","",'Global Precios'!K125)</f>
        <v>1</v>
      </c>
      <c r="K124" s="30">
        <f>IF('Global Precios'!Z125="Desactivado",0,IF('Global Precios'!L125="","",'Global Precios'!L125))</f>
        <v>4000</v>
      </c>
      <c r="L124" s="18"/>
      <c r="M124" s="18"/>
      <c r="N124" s="18"/>
      <c r="O124" s="18"/>
      <c r="P124" s="18"/>
      <c r="Q124" s="18"/>
      <c r="R124" s="18" t="str">
        <f>IF('Global Precios'!F125="","",'Global Precios'!F125)</f>
        <v>Pet-shop</v>
      </c>
      <c r="S124" s="18"/>
      <c r="T124" s="18" t="str">
        <f>IF('Global Precios'!E125="","",'Global Precios'!E125)</f>
        <v>Animall</v>
      </c>
      <c r="U124" s="18"/>
      <c r="V124" s="18">
        <f t="shared" si="2"/>
        <v>0</v>
      </c>
      <c r="W124" s="18"/>
      <c r="X124" s="18"/>
      <c r="Y124" s="18"/>
      <c r="Z124" s="18"/>
      <c r="AA124" s="18"/>
      <c r="AB124" s="18">
        <f t="shared" si="3"/>
        <v>1</v>
      </c>
      <c r="AC124" s="18">
        <f t="shared" si="4"/>
        <v>1</v>
      </c>
      <c r="AD124" s="18">
        <f t="shared" si="5"/>
        <v>1</v>
      </c>
      <c r="AE124" s="18">
        <f t="shared" si="6"/>
        <v>1</v>
      </c>
    </row>
    <row r="125">
      <c r="A125" s="9">
        <f>IF(E125="","", IF('Global Precios'!B126="",0,'Global Precios'!B126))</f>
        <v>0</v>
      </c>
      <c r="B125" s="14" t="str">
        <f>IF('Global Precios'!B126="","",'Global Precios'!B126)</f>
        <v/>
      </c>
      <c r="C125" s="18">
        <f>IF('Global Precios'!A126="","",'Global Precios'!A126)</f>
        <v>128</v>
      </c>
      <c r="D125" s="18"/>
      <c r="E125" s="25" t="str">
        <f>IF('Global Precios'!D126="","",'Global Precios'!D126)</f>
        <v>collar nylon blondi talle 9</v>
      </c>
      <c r="F125" s="18"/>
      <c r="G125" s="25">
        <f>IFERROR(VLOOKUP(C125,'BuscarV Stock'!$A$2:$C$478,3,0),"AAA")</f>
        <v>1</v>
      </c>
      <c r="H125" s="25">
        <f t="shared" si="1"/>
        <v>0.21</v>
      </c>
      <c r="I125" s="30">
        <f>IF('Global Precios'!H126="","",'Global Precios'!H126)</f>
        <v>1284</v>
      </c>
      <c r="J125" s="82">
        <f>IF('Global Precios'!K126="","",'Global Precios'!K126)</f>
        <v>1</v>
      </c>
      <c r="K125" s="30">
        <f>IF('Global Precios'!Z126="Desactivado",0,IF('Global Precios'!L126="","",'Global Precios'!L126))</f>
        <v>0</v>
      </c>
      <c r="L125" s="18"/>
      <c r="M125" s="18"/>
      <c r="N125" s="18"/>
      <c r="O125" s="18"/>
      <c r="P125" s="18"/>
      <c r="Q125" s="18"/>
      <c r="R125" s="18" t="str">
        <f>IF('Global Precios'!F126="","",'Global Precios'!F126)</f>
        <v>Pet-shop</v>
      </c>
      <c r="S125" s="18"/>
      <c r="T125" s="18" t="str">
        <f>IF('Global Precios'!E126="","",'Global Precios'!E126)</f>
        <v/>
      </c>
      <c r="U125" s="18"/>
      <c r="V125" s="18">
        <f t="shared" si="2"/>
        <v>0</v>
      </c>
      <c r="W125" s="18"/>
      <c r="X125" s="18"/>
      <c r="Y125" s="18"/>
      <c r="Z125" s="18"/>
      <c r="AA125" s="18"/>
      <c r="AB125" s="18">
        <f t="shared" si="3"/>
        <v>1</v>
      </c>
      <c r="AC125" s="18">
        <f t="shared" si="4"/>
        <v>1</v>
      </c>
      <c r="AD125" s="18">
        <f t="shared" si="5"/>
        <v>1</v>
      </c>
      <c r="AE125" s="18">
        <f t="shared" si="6"/>
        <v>1</v>
      </c>
    </row>
    <row r="126">
      <c r="A126" s="9">
        <f>IF(E126="","", IF('Global Precios'!B127="",0,'Global Precios'!B127))</f>
        <v>0</v>
      </c>
      <c r="B126" s="14" t="str">
        <f>IF('Global Precios'!B127="","",'Global Precios'!B127)</f>
        <v/>
      </c>
      <c r="C126" s="18">
        <f>IF('Global Precios'!A127="","",'Global Precios'!A127)</f>
        <v>129</v>
      </c>
      <c r="D126" s="18"/>
      <c r="E126" s="25" t="str">
        <f>IF('Global Precios'!D127="","",'Global Precios'!D127)</f>
        <v>collares  con cascabel</v>
      </c>
      <c r="F126" s="18"/>
      <c r="G126" s="25">
        <f>IFERROR(VLOOKUP(C126,'BuscarV Stock'!$A$2:$C$478,3,0),"AAA")</f>
        <v>10</v>
      </c>
      <c r="H126" s="25">
        <f t="shared" si="1"/>
        <v>0.21</v>
      </c>
      <c r="I126" s="30">
        <f>IF('Global Precios'!H127="","",'Global Precios'!H127)</f>
        <v>214</v>
      </c>
      <c r="J126" s="82">
        <f>IF('Global Precios'!K127="","",'Global Precios'!K127)</f>
        <v>1</v>
      </c>
      <c r="K126" s="30">
        <f>IF('Global Precios'!Z127="Desactivado",0,IF('Global Precios'!L127="","",'Global Precios'!L127))</f>
        <v>0</v>
      </c>
      <c r="L126" s="18"/>
      <c r="M126" s="18"/>
      <c r="N126" s="18"/>
      <c r="O126" s="18"/>
      <c r="P126" s="18"/>
      <c r="Q126" s="18"/>
      <c r="R126" s="18" t="str">
        <f>IF('Global Precios'!F127="","",'Global Precios'!F127)</f>
        <v>Pet-shop</v>
      </c>
      <c r="S126" s="18"/>
      <c r="T126" s="18" t="str">
        <f>IF('Global Precios'!E127="","",'Global Precios'!E127)</f>
        <v/>
      </c>
      <c r="U126" s="18"/>
      <c r="V126" s="18">
        <f t="shared" si="2"/>
        <v>0</v>
      </c>
      <c r="W126" s="18"/>
      <c r="X126" s="18"/>
      <c r="Y126" s="18"/>
      <c r="Z126" s="18"/>
      <c r="AA126" s="18"/>
      <c r="AB126" s="18">
        <f t="shared" si="3"/>
        <v>1</v>
      </c>
      <c r="AC126" s="18">
        <f t="shared" si="4"/>
        <v>1</v>
      </c>
      <c r="AD126" s="18">
        <f t="shared" si="5"/>
        <v>1</v>
      </c>
      <c r="AE126" s="18">
        <f t="shared" si="6"/>
        <v>1</v>
      </c>
    </row>
    <row r="127">
      <c r="A127" s="9">
        <f>IF(E127="","", IF('Global Precios'!B128="",0,'Global Precios'!B128))</f>
        <v>0</v>
      </c>
      <c r="B127" s="14" t="str">
        <f>IF('Global Precios'!B128="","",'Global Precios'!B128)</f>
        <v/>
      </c>
      <c r="C127" s="18">
        <f>IF('Global Precios'!A128="","",'Global Precios'!A128)</f>
        <v>130</v>
      </c>
      <c r="D127" s="18"/>
      <c r="E127" s="25" t="str">
        <f>IF('Global Precios'!D128="","",'Global Precios'!D128)</f>
        <v>Collar y correa blondi animal print</v>
      </c>
      <c r="F127" s="18"/>
      <c r="G127" s="25">
        <f>IFERROR(VLOOKUP(C127,'BuscarV Stock'!$A$2:$C$478,3,0),"AAA")</f>
        <v>1</v>
      </c>
      <c r="H127" s="25">
        <f t="shared" si="1"/>
        <v>0.21</v>
      </c>
      <c r="I127" s="30">
        <f>IF('Global Precios'!H128="","",'Global Precios'!H128)</f>
        <v>749</v>
      </c>
      <c r="J127" s="82">
        <f>IF('Global Precios'!K128="","",'Global Precios'!K128)</f>
        <v>1</v>
      </c>
      <c r="K127" s="30">
        <f>IF('Global Precios'!Z128="Desactivado",0,IF('Global Precios'!L128="","",'Global Precios'!L128))</f>
        <v>6500</v>
      </c>
      <c r="L127" s="18"/>
      <c r="M127" s="18"/>
      <c r="N127" s="18"/>
      <c r="O127" s="18"/>
      <c r="P127" s="18"/>
      <c r="Q127" s="18"/>
      <c r="R127" s="18" t="str">
        <f>IF('Global Precios'!F128="","",'Global Precios'!F128)</f>
        <v>Pet-shop</v>
      </c>
      <c r="S127" s="18"/>
      <c r="T127" s="18" t="str">
        <f>IF('Global Precios'!E128="","",'Global Precios'!E128)</f>
        <v/>
      </c>
      <c r="U127" s="18"/>
      <c r="V127" s="18">
        <f t="shared" si="2"/>
        <v>0</v>
      </c>
      <c r="W127" s="18"/>
      <c r="X127" s="18"/>
      <c r="Y127" s="18"/>
      <c r="Z127" s="18"/>
      <c r="AA127" s="18"/>
      <c r="AB127" s="18">
        <f t="shared" si="3"/>
        <v>1</v>
      </c>
      <c r="AC127" s="18">
        <f t="shared" si="4"/>
        <v>1</v>
      </c>
      <c r="AD127" s="18">
        <f t="shared" si="5"/>
        <v>1</v>
      </c>
      <c r="AE127" s="18">
        <f t="shared" si="6"/>
        <v>1</v>
      </c>
    </row>
    <row r="128">
      <c r="A128" s="9">
        <f>IF(E128="","", IF('Global Precios'!B129="",0,'Global Precios'!B129))</f>
        <v>0</v>
      </c>
      <c r="B128" s="14" t="str">
        <f>IF('Global Precios'!B129="","",'Global Precios'!B129)</f>
        <v/>
      </c>
      <c r="C128" s="18">
        <f>IF('Global Precios'!A129="","",'Global Precios'!A129)</f>
        <v>131</v>
      </c>
      <c r="D128" s="18"/>
      <c r="E128" s="25" t="str">
        <f>IF('Global Precios'!D129="","",'Global Precios'!D129)</f>
        <v>Pretal+correa regulable talle 1</v>
      </c>
      <c r="F128" s="18"/>
      <c r="G128" s="25">
        <f>IFERROR(VLOOKUP(C128,'BuscarV Stock'!$A$2:$C$478,3,0),"AAA")</f>
        <v>1</v>
      </c>
      <c r="H128" s="25">
        <f t="shared" si="1"/>
        <v>0.21</v>
      </c>
      <c r="I128" s="30">
        <f>IF('Global Precios'!H129="","",'Global Precios'!H129)</f>
        <v>599</v>
      </c>
      <c r="J128" s="82">
        <f>IF('Global Precios'!K129="","",'Global Precios'!K129)</f>
        <v>1</v>
      </c>
      <c r="K128" s="30">
        <f>IF('Global Precios'!Z129="Desactivado",0,IF('Global Precios'!L129="","",'Global Precios'!L129))</f>
        <v>0</v>
      </c>
      <c r="L128" s="18"/>
      <c r="M128" s="18"/>
      <c r="N128" s="18"/>
      <c r="O128" s="18"/>
      <c r="P128" s="18"/>
      <c r="Q128" s="18"/>
      <c r="R128" s="18" t="str">
        <f>IF('Global Precios'!F129="","",'Global Precios'!F129)</f>
        <v>Pet-shop</v>
      </c>
      <c r="S128" s="18"/>
      <c r="T128" s="18" t="str">
        <f>IF('Global Precios'!E129="","",'Global Precios'!E129)</f>
        <v/>
      </c>
      <c r="U128" s="18"/>
      <c r="V128" s="18">
        <f t="shared" si="2"/>
        <v>0</v>
      </c>
      <c r="W128" s="18"/>
      <c r="X128" s="18"/>
      <c r="Y128" s="18"/>
      <c r="Z128" s="18"/>
      <c r="AA128" s="18"/>
      <c r="AB128" s="18">
        <f t="shared" si="3"/>
        <v>1</v>
      </c>
      <c r="AC128" s="18">
        <f t="shared" si="4"/>
        <v>1</v>
      </c>
      <c r="AD128" s="18">
        <f t="shared" si="5"/>
        <v>1</v>
      </c>
      <c r="AE128" s="18">
        <f t="shared" si="6"/>
        <v>1</v>
      </c>
    </row>
    <row r="129">
      <c r="A129" s="9">
        <f>IF(E129="","", IF('Global Precios'!B130="",0,'Global Precios'!B130))</f>
        <v>0</v>
      </c>
      <c r="B129" s="14" t="str">
        <f>IF('Global Precios'!B130="","",'Global Precios'!B130)</f>
        <v/>
      </c>
      <c r="C129" s="18">
        <f>IF('Global Precios'!A130="","",'Global Precios'!A130)</f>
        <v>132</v>
      </c>
      <c r="D129" s="18"/>
      <c r="E129" s="25" t="str">
        <f>IF('Global Precios'!D130="","",'Global Precios'!D130)</f>
        <v>Pretal nylon talle 3</v>
      </c>
      <c r="F129" s="18"/>
      <c r="G129" s="25">
        <f>IFERROR(VLOOKUP(C129,'BuscarV Stock'!$A$2:$C$478,3,0),"AAA")</f>
        <v>1</v>
      </c>
      <c r="H129" s="25">
        <f t="shared" si="1"/>
        <v>0.21</v>
      </c>
      <c r="I129" s="30">
        <f>IF('Global Precios'!H130="","",'Global Precios'!H130)</f>
        <v>360</v>
      </c>
      <c r="J129" s="82">
        <f>IF('Global Precios'!K130="","",'Global Precios'!K130)</f>
        <v>1</v>
      </c>
      <c r="K129" s="30">
        <f>IF('Global Precios'!Z130="Desactivado",0,IF('Global Precios'!L130="","",'Global Precios'!L130))</f>
        <v>3500</v>
      </c>
      <c r="L129" s="18"/>
      <c r="M129" s="18"/>
      <c r="N129" s="18"/>
      <c r="O129" s="18"/>
      <c r="P129" s="18"/>
      <c r="Q129" s="18"/>
      <c r="R129" s="18" t="str">
        <f>IF('Global Precios'!F130="","",'Global Precios'!F130)</f>
        <v>Pet-shop</v>
      </c>
      <c r="S129" s="18"/>
      <c r="T129" s="18" t="str">
        <f>IF('Global Precios'!E130="","",'Global Precios'!E130)</f>
        <v/>
      </c>
      <c r="U129" s="18"/>
      <c r="V129" s="18">
        <f t="shared" si="2"/>
        <v>0</v>
      </c>
      <c r="W129" s="18"/>
      <c r="X129" s="18"/>
      <c r="Y129" s="18"/>
      <c r="Z129" s="18"/>
      <c r="AA129" s="18"/>
      <c r="AB129" s="18">
        <f t="shared" si="3"/>
        <v>1</v>
      </c>
      <c r="AC129" s="18">
        <f t="shared" si="4"/>
        <v>1</v>
      </c>
      <c r="AD129" s="18">
        <f t="shared" si="5"/>
        <v>1</v>
      </c>
      <c r="AE129" s="18">
        <f t="shared" si="6"/>
        <v>1</v>
      </c>
    </row>
    <row r="130">
      <c r="A130" s="9">
        <f>IF(E130="","", IF('Global Precios'!B131="",0,'Global Precios'!B131))</f>
        <v>0</v>
      </c>
      <c r="B130" s="14" t="str">
        <f>IF('Global Precios'!B131="","",'Global Precios'!B131)</f>
        <v/>
      </c>
      <c r="C130" s="18">
        <f>IF('Global Precios'!A131="","",'Global Precios'!A131)</f>
        <v>133</v>
      </c>
      <c r="D130" s="18"/>
      <c r="E130" s="25" t="str">
        <f>IF('Global Precios'!D131="","",'Global Precios'!D131)</f>
        <v>Pretal nylon talle6</v>
      </c>
      <c r="F130" s="18"/>
      <c r="G130" s="25">
        <f>IFERROR(VLOOKUP(C130,'BuscarV Stock'!$A$2:$C$478,3,0),"AAA")</f>
        <v>1</v>
      </c>
      <c r="H130" s="25">
        <f t="shared" si="1"/>
        <v>0.21</v>
      </c>
      <c r="I130" s="30">
        <f>IF('Global Precios'!H131="","",'Global Precios'!H131)</f>
        <v>508</v>
      </c>
      <c r="J130" s="82">
        <f>IF('Global Precios'!K131="","",'Global Precios'!K131)</f>
        <v>1</v>
      </c>
      <c r="K130" s="30">
        <f>IF('Global Precios'!Z131="Desactivado",0,IF('Global Precios'!L131="","",'Global Precios'!L131))</f>
        <v>5500</v>
      </c>
      <c r="L130" s="18"/>
      <c r="M130" s="18"/>
      <c r="N130" s="18"/>
      <c r="O130" s="18"/>
      <c r="P130" s="18"/>
      <c r="Q130" s="18"/>
      <c r="R130" s="18" t="str">
        <f>IF('Global Precios'!F131="","",'Global Precios'!F131)</f>
        <v>Pet-shop</v>
      </c>
      <c r="S130" s="18"/>
      <c r="T130" s="18" t="str">
        <f>IF('Global Precios'!E131="","",'Global Precios'!E131)</f>
        <v/>
      </c>
      <c r="U130" s="18"/>
      <c r="V130" s="18">
        <f t="shared" si="2"/>
        <v>0</v>
      </c>
      <c r="W130" s="18"/>
      <c r="X130" s="18"/>
      <c r="Y130" s="18"/>
      <c r="Z130" s="18"/>
      <c r="AA130" s="18"/>
      <c r="AB130" s="18">
        <f t="shared" si="3"/>
        <v>1</v>
      </c>
      <c r="AC130" s="18">
        <f t="shared" si="4"/>
        <v>1</v>
      </c>
      <c r="AD130" s="18">
        <f t="shared" si="5"/>
        <v>1</v>
      </c>
      <c r="AE130" s="18">
        <f t="shared" si="6"/>
        <v>1</v>
      </c>
    </row>
    <row r="131">
      <c r="A131" s="9">
        <f>IF(E131="","", IF('Global Precios'!B132="",0,'Global Precios'!B132))</f>
        <v>0</v>
      </c>
      <c r="B131" s="14" t="str">
        <f>IF('Global Precios'!B132="","",'Global Precios'!B132)</f>
        <v/>
      </c>
      <c r="C131" s="18">
        <f>IF('Global Precios'!A132="","",'Global Precios'!A132)</f>
        <v>136</v>
      </c>
      <c r="D131" s="18"/>
      <c r="E131" s="25" t="str">
        <f>IF('Global Precios'!D132="","",'Global Precios'!D132)</f>
        <v>Correa Nylon talle 1</v>
      </c>
      <c r="F131" s="18"/>
      <c r="G131" s="25">
        <f>IFERROR(VLOOKUP(C131,'BuscarV Stock'!$A$2:$C$478,3,0),"AAA")</f>
        <v>4</v>
      </c>
      <c r="H131" s="25">
        <f t="shared" si="1"/>
        <v>0.21</v>
      </c>
      <c r="I131" s="30">
        <f>IF('Global Precios'!H132="","",'Global Precios'!H132)</f>
        <v>403</v>
      </c>
      <c r="J131" s="82">
        <f>IF('Global Precios'!K132="","",'Global Precios'!K132)</f>
        <v>1</v>
      </c>
      <c r="K131" s="30">
        <f>IF('Global Precios'!Z132="Desactivado",0,IF('Global Precios'!L132="","",'Global Precios'!L132))</f>
        <v>4500</v>
      </c>
      <c r="L131" s="18"/>
      <c r="M131" s="18"/>
      <c r="N131" s="18"/>
      <c r="O131" s="18"/>
      <c r="P131" s="18"/>
      <c r="Q131" s="18"/>
      <c r="R131" s="18" t="str">
        <f>IF('Global Precios'!F132="","",'Global Precios'!F132)</f>
        <v>Pet-shop</v>
      </c>
      <c r="S131" s="18"/>
      <c r="T131" s="18" t="str">
        <f>IF('Global Precios'!E132="","",'Global Precios'!E132)</f>
        <v/>
      </c>
      <c r="U131" s="18"/>
      <c r="V131" s="18">
        <f t="shared" si="2"/>
        <v>0</v>
      </c>
      <c r="W131" s="18"/>
      <c r="X131" s="18"/>
      <c r="Y131" s="18"/>
      <c r="Z131" s="18"/>
      <c r="AA131" s="18"/>
      <c r="AB131" s="18">
        <f t="shared" si="3"/>
        <v>1</v>
      </c>
      <c r="AC131" s="18">
        <f t="shared" si="4"/>
        <v>1</v>
      </c>
      <c r="AD131" s="18">
        <f t="shared" si="5"/>
        <v>1</v>
      </c>
      <c r="AE131" s="18">
        <f t="shared" si="6"/>
        <v>1</v>
      </c>
    </row>
    <row r="132">
      <c r="A132" s="9">
        <f>IF(E132="","", IF('Global Precios'!B133="",0,'Global Precios'!B133))</f>
        <v>0</v>
      </c>
      <c r="B132" s="14" t="str">
        <f>IF('Global Precios'!B133="","",'Global Precios'!B133)</f>
        <v/>
      </c>
      <c r="C132" s="18">
        <f>IF('Global Precios'!A133="","",'Global Precios'!A133)</f>
        <v>137</v>
      </c>
      <c r="D132" s="18"/>
      <c r="E132" s="25" t="str">
        <f>IF('Global Precios'!D133="","",'Global Precios'!D133)</f>
        <v>Correa Nylon talle 2</v>
      </c>
      <c r="F132" s="18"/>
      <c r="G132" s="25">
        <f>IFERROR(VLOOKUP(C132,'BuscarV Stock'!$A$2:$C$478,3,0),"AAA")</f>
        <v>2</v>
      </c>
      <c r="H132" s="25">
        <f t="shared" si="1"/>
        <v>0.21</v>
      </c>
      <c r="I132" s="30">
        <f>IF('Global Precios'!H133="","",'Global Precios'!H133)</f>
        <v>427</v>
      </c>
      <c r="J132" s="82">
        <f>IF('Global Precios'!K133="","",'Global Precios'!K133)</f>
        <v>1</v>
      </c>
      <c r="K132" s="30">
        <f>IF('Global Precios'!Z133="Desactivado",0,IF('Global Precios'!L133="","",'Global Precios'!L133))</f>
        <v>4500</v>
      </c>
      <c r="L132" s="18"/>
      <c r="M132" s="18"/>
      <c r="N132" s="18"/>
      <c r="O132" s="18"/>
      <c r="P132" s="18"/>
      <c r="Q132" s="18"/>
      <c r="R132" s="18" t="str">
        <f>IF('Global Precios'!F133="","",'Global Precios'!F133)</f>
        <v>Pet-shop</v>
      </c>
      <c r="S132" s="18"/>
      <c r="T132" s="18" t="str">
        <f>IF('Global Precios'!E133="","",'Global Precios'!E133)</f>
        <v/>
      </c>
      <c r="U132" s="18"/>
      <c r="V132" s="18">
        <f t="shared" si="2"/>
        <v>0</v>
      </c>
      <c r="W132" s="18"/>
      <c r="X132" s="18"/>
      <c r="Y132" s="18"/>
      <c r="Z132" s="18"/>
      <c r="AA132" s="18"/>
      <c r="AB132" s="18">
        <f t="shared" si="3"/>
        <v>1</v>
      </c>
      <c r="AC132" s="18">
        <f t="shared" si="4"/>
        <v>1</v>
      </c>
      <c r="AD132" s="18">
        <f t="shared" si="5"/>
        <v>1</v>
      </c>
      <c r="AE132" s="18">
        <f t="shared" si="6"/>
        <v>1</v>
      </c>
    </row>
    <row r="133">
      <c r="A133" s="9">
        <f>IF(E133="","", IF('Global Precios'!B134="",0,'Global Precios'!B134))</f>
        <v>0</v>
      </c>
      <c r="B133" s="14" t="str">
        <f>IF('Global Precios'!B134="","",'Global Precios'!B134)</f>
        <v/>
      </c>
      <c r="C133" s="18">
        <f>IF('Global Precios'!A134="","",'Global Precios'!A134)</f>
        <v>138</v>
      </c>
      <c r="D133" s="18"/>
      <c r="E133" s="25" t="str">
        <f>IF('Global Precios'!D134="","",'Global Precios'!D134)</f>
        <v>Correa Nylon talle 3</v>
      </c>
      <c r="F133" s="18"/>
      <c r="G133" s="25">
        <f>IFERROR(VLOOKUP(C133,'BuscarV Stock'!$A$2:$C$478,3,0),"AAA")</f>
        <v>3</v>
      </c>
      <c r="H133" s="25">
        <f t="shared" si="1"/>
        <v>0.21</v>
      </c>
      <c r="I133" s="30">
        <f>IF('Global Precios'!H134="","",'Global Precios'!H134)</f>
        <v>626</v>
      </c>
      <c r="J133" s="82">
        <f>IF('Global Precios'!K134="","",'Global Precios'!K134)</f>
        <v>1</v>
      </c>
      <c r="K133" s="30">
        <f>IF('Global Precios'!Z134="Desactivado",0,IF('Global Precios'!L134="","",'Global Precios'!L134))</f>
        <v>6000</v>
      </c>
      <c r="L133" s="18"/>
      <c r="M133" s="18"/>
      <c r="N133" s="18"/>
      <c r="O133" s="18"/>
      <c r="P133" s="18"/>
      <c r="Q133" s="18"/>
      <c r="R133" s="18" t="str">
        <f>IF('Global Precios'!F134="","",'Global Precios'!F134)</f>
        <v>Pet-shop</v>
      </c>
      <c r="S133" s="18"/>
      <c r="T133" s="18" t="str">
        <f>IF('Global Precios'!E134="","",'Global Precios'!E134)</f>
        <v/>
      </c>
      <c r="U133" s="18"/>
      <c r="V133" s="18">
        <f t="shared" si="2"/>
        <v>0</v>
      </c>
      <c r="W133" s="18"/>
      <c r="X133" s="18"/>
      <c r="Y133" s="18"/>
      <c r="Z133" s="18"/>
      <c r="AA133" s="18"/>
      <c r="AB133" s="18">
        <f t="shared" si="3"/>
        <v>1</v>
      </c>
      <c r="AC133" s="18">
        <f t="shared" si="4"/>
        <v>1</v>
      </c>
      <c r="AD133" s="18">
        <f t="shared" si="5"/>
        <v>1</v>
      </c>
      <c r="AE133" s="18">
        <f t="shared" si="6"/>
        <v>1</v>
      </c>
    </row>
    <row r="134">
      <c r="A134" s="9">
        <f>IF(E134="","", IF('Global Precios'!B135="",0,'Global Precios'!B135))</f>
        <v>0</v>
      </c>
      <c r="B134" s="14" t="str">
        <f>IF('Global Precios'!B135="","",'Global Precios'!B135)</f>
        <v/>
      </c>
      <c r="C134" s="18">
        <f>IF('Global Precios'!A135="","",'Global Precios'!A135)</f>
        <v>139</v>
      </c>
      <c r="D134" s="18"/>
      <c r="E134" s="25" t="str">
        <f>IF('Global Precios'!D135="","",'Global Precios'!D135)</f>
        <v>Correa Elastizada azul universal</v>
      </c>
      <c r="F134" s="18"/>
      <c r="G134" s="25">
        <f>IFERROR(VLOOKUP(C134,'BuscarV Stock'!$A$2:$C$478,3,0),"AAA")</f>
        <v>1</v>
      </c>
      <c r="H134" s="25">
        <f t="shared" si="1"/>
        <v>0.21</v>
      </c>
      <c r="I134" s="30">
        <f>IF('Global Precios'!H135="","",'Global Precios'!H135)</f>
        <v>1160</v>
      </c>
      <c r="J134" s="82">
        <f>IF('Global Precios'!K135="","",'Global Precios'!K135)</f>
        <v>1</v>
      </c>
      <c r="K134" s="30">
        <f>IF('Global Precios'!Z135="Desactivado",0,IF('Global Precios'!L135="","",'Global Precios'!L135))</f>
        <v>0</v>
      </c>
      <c r="L134" s="18"/>
      <c r="M134" s="18"/>
      <c r="N134" s="18"/>
      <c r="O134" s="18"/>
      <c r="P134" s="18"/>
      <c r="Q134" s="18"/>
      <c r="R134" s="18" t="str">
        <f>IF('Global Precios'!F135="","",'Global Precios'!F135)</f>
        <v>Pet-shop</v>
      </c>
      <c r="S134" s="18"/>
      <c r="T134" s="18" t="str">
        <f>IF('Global Precios'!E135="","",'Global Precios'!E135)</f>
        <v/>
      </c>
      <c r="U134" s="18"/>
      <c r="V134" s="18">
        <f t="shared" si="2"/>
        <v>0</v>
      </c>
      <c r="W134" s="18"/>
      <c r="X134" s="18"/>
      <c r="Y134" s="18"/>
      <c r="Z134" s="18"/>
      <c r="AA134" s="18"/>
      <c r="AB134" s="18">
        <f t="shared" si="3"/>
        <v>1</v>
      </c>
      <c r="AC134" s="18">
        <f t="shared" si="4"/>
        <v>1</v>
      </c>
      <c r="AD134" s="18">
        <f t="shared" si="5"/>
        <v>1</v>
      </c>
      <c r="AE134" s="18">
        <f t="shared" si="6"/>
        <v>1</v>
      </c>
    </row>
    <row r="135">
      <c r="A135" s="9">
        <f>IF(E135="","", IF('Global Precios'!B136="",0,'Global Precios'!B136))</f>
        <v>0</v>
      </c>
      <c r="B135" s="14" t="str">
        <f>IF('Global Precios'!B136="","",'Global Precios'!B136)</f>
        <v/>
      </c>
      <c r="C135" s="18">
        <f>IF('Global Precios'!A136="","",'Global Precios'!A136)</f>
        <v>140</v>
      </c>
      <c r="D135" s="18"/>
      <c r="E135" s="25" t="str">
        <f>IF('Global Precios'!D136="","",'Global Precios'!D136)</f>
        <v>Poncho Talle 3 cani</v>
      </c>
      <c r="F135" s="18"/>
      <c r="G135" s="25">
        <f>IFERROR(VLOOKUP(C135,'BuscarV Stock'!$A$2:$C$478,3,0),"AAA")</f>
        <v>3</v>
      </c>
      <c r="H135" s="25">
        <f t="shared" si="1"/>
        <v>0.21</v>
      </c>
      <c r="I135" s="30">
        <f>IF('Global Precios'!H136="","",'Global Precios'!H136)</f>
        <v>513</v>
      </c>
      <c r="J135" s="82">
        <f>IF('Global Precios'!K136="","",'Global Precios'!K136)</f>
        <v>0.8</v>
      </c>
      <c r="K135" s="30">
        <f>IF('Global Precios'!Z136="Desactivado",0,IF('Global Precios'!L136="","",'Global Precios'!L136))</f>
        <v>4500</v>
      </c>
      <c r="L135" s="18"/>
      <c r="M135" s="18"/>
      <c r="N135" s="18"/>
      <c r="O135" s="18"/>
      <c r="P135" s="18"/>
      <c r="Q135" s="18"/>
      <c r="R135" s="18" t="str">
        <f>IF('Global Precios'!F136="","",'Global Precios'!F136)</f>
        <v>Pet-shop</v>
      </c>
      <c r="S135" s="18"/>
      <c r="T135" s="18" t="str">
        <f>IF('Global Precios'!E136="","",'Global Precios'!E136)</f>
        <v/>
      </c>
      <c r="U135" s="18"/>
      <c r="V135" s="18">
        <f t="shared" si="2"/>
        <v>0</v>
      </c>
      <c r="W135" s="18"/>
      <c r="X135" s="18"/>
      <c r="Y135" s="18"/>
      <c r="Z135" s="18"/>
      <c r="AA135" s="18"/>
      <c r="AB135" s="18">
        <f t="shared" si="3"/>
        <v>1</v>
      </c>
      <c r="AC135" s="18">
        <f t="shared" si="4"/>
        <v>1</v>
      </c>
      <c r="AD135" s="18">
        <f t="shared" si="5"/>
        <v>1</v>
      </c>
      <c r="AE135" s="18">
        <f t="shared" si="6"/>
        <v>1</v>
      </c>
    </row>
    <row r="136">
      <c r="A136" s="9">
        <f>IF(E136="","", IF('Global Precios'!B137="",0,'Global Precios'!B137))</f>
        <v>0</v>
      </c>
      <c r="B136" s="14" t="str">
        <f>IF('Global Precios'!B137="","",'Global Precios'!B137)</f>
        <v/>
      </c>
      <c r="C136" s="18">
        <f>IF('Global Precios'!A137="","",'Global Precios'!A137)</f>
        <v>141</v>
      </c>
      <c r="D136" s="18"/>
      <c r="E136" s="25" t="str">
        <f>IF('Global Precios'!D137="","",'Global Precios'!D137)</f>
        <v>Poncho talle 5 cani</v>
      </c>
      <c r="F136" s="18"/>
      <c r="G136" s="25">
        <f>IFERROR(VLOOKUP(C136,'BuscarV Stock'!$A$2:$C$478,3,0),"AAA")</f>
        <v>4</v>
      </c>
      <c r="H136" s="25">
        <f t="shared" si="1"/>
        <v>0.21</v>
      </c>
      <c r="I136" s="30">
        <f>IF('Global Precios'!H137="","",'Global Precios'!H137)</f>
        <v>616</v>
      </c>
      <c r="J136" s="82">
        <f>IF('Global Precios'!K137="","",'Global Precios'!K137)</f>
        <v>0.8</v>
      </c>
      <c r="K136" s="30">
        <f>IF('Global Precios'!Z137="Desactivado",0,IF('Global Precios'!L137="","",'Global Precios'!L137))</f>
        <v>5000</v>
      </c>
      <c r="L136" s="18"/>
      <c r="M136" s="18"/>
      <c r="N136" s="18"/>
      <c r="O136" s="18"/>
      <c r="P136" s="18"/>
      <c r="Q136" s="18"/>
      <c r="R136" s="18" t="str">
        <f>IF('Global Precios'!F137="","",'Global Precios'!F137)</f>
        <v>Pet-shop</v>
      </c>
      <c r="S136" s="18"/>
      <c r="T136" s="18" t="str">
        <f>IF('Global Precios'!E137="","",'Global Precios'!E137)</f>
        <v/>
      </c>
      <c r="U136" s="18"/>
      <c r="V136" s="18">
        <f t="shared" si="2"/>
        <v>0</v>
      </c>
      <c r="W136" s="18"/>
      <c r="X136" s="18"/>
      <c r="Y136" s="18"/>
      <c r="Z136" s="18"/>
      <c r="AA136" s="18"/>
      <c r="AB136" s="18">
        <f t="shared" si="3"/>
        <v>1</v>
      </c>
      <c r="AC136" s="18">
        <f t="shared" si="4"/>
        <v>1</v>
      </c>
      <c r="AD136" s="18">
        <f t="shared" si="5"/>
        <v>1</v>
      </c>
      <c r="AE136" s="18">
        <f t="shared" si="6"/>
        <v>1</v>
      </c>
    </row>
    <row r="137">
      <c r="A137" s="9">
        <f>IF(E137="","", IF('Global Precios'!B138="",0,'Global Precios'!B138))</f>
        <v>0</v>
      </c>
      <c r="B137" s="14" t="str">
        <f>IF('Global Precios'!B138="","",'Global Precios'!B138)</f>
        <v/>
      </c>
      <c r="C137" s="18">
        <f>IF('Global Precios'!A138="","",'Global Precios'!A138)</f>
        <v>142</v>
      </c>
      <c r="D137" s="18"/>
      <c r="E137" s="25" t="str">
        <f>IF('Global Precios'!D138="","",'Global Precios'!D138)</f>
        <v>Poncho talle 6 cani</v>
      </c>
      <c r="F137" s="18"/>
      <c r="G137" s="25">
        <f>IFERROR(VLOOKUP(C137,'BuscarV Stock'!$A$2:$C$478,3,0),"AAA")</f>
        <v>1</v>
      </c>
      <c r="H137" s="25">
        <f t="shared" si="1"/>
        <v>0.21</v>
      </c>
      <c r="I137" s="30">
        <f>IF('Global Precios'!H138="","",'Global Precios'!H138)</f>
        <v>689</v>
      </c>
      <c r="J137" s="82">
        <f>IF('Global Precios'!K138="","",'Global Precios'!K138)</f>
        <v>1</v>
      </c>
      <c r="K137" s="30">
        <f>IF('Global Precios'!Z138="Desactivado",0,IF('Global Precios'!L138="","",'Global Precios'!L138))</f>
        <v>6000</v>
      </c>
      <c r="L137" s="18"/>
      <c r="M137" s="18"/>
      <c r="N137" s="18"/>
      <c r="O137" s="18"/>
      <c r="P137" s="18"/>
      <c r="Q137" s="18"/>
      <c r="R137" s="18" t="str">
        <f>IF('Global Precios'!F138="","",'Global Precios'!F138)</f>
        <v>Pet-shop</v>
      </c>
      <c r="S137" s="18"/>
      <c r="T137" s="18" t="str">
        <f>IF('Global Precios'!E138="","",'Global Precios'!E138)</f>
        <v/>
      </c>
      <c r="U137" s="18"/>
      <c r="V137" s="18">
        <f t="shared" si="2"/>
        <v>0</v>
      </c>
      <c r="W137" s="18"/>
      <c r="X137" s="18"/>
      <c r="Y137" s="18"/>
      <c r="Z137" s="18"/>
      <c r="AA137" s="18"/>
      <c r="AB137" s="18">
        <f t="shared" si="3"/>
        <v>1</v>
      </c>
      <c r="AC137" s="18">
        <f t="shared" si="4"/>
        <v>1</v>
      </c>
      <c r="AD137" s="18">
        <f t="shared" si="5"/>
        <v>1</v>
      </c>
      <c r="AE137" s="18">
        <f t="shared" si="6"/>
        <v>1</v>
      </c>
    </row>
    <row r="138">
      <c r="A138" s="9">
        <f>IF(E138="","", IF('Global Precios'!B139="",0,'Global Precios'!B139))</f>
        <v>0</v>
      </c>
      <c r="B138" s="14" t="str">
        <f>IF('Global Precios'!B139="","",'Global Precios'!B139)</f>
        <v/>
      </c>
      <c r="C138" s="18">
        <f>IF('Global Precios'!A139="","",'Global Precios'!A139)</f>
        <v>143</v>
      </c>
      <c r="D138" s="18"/>
      <c r="E138" s="25" t="str">
        <f>IF('Global Precios'!D139="","",'Global Precios'!D139)</f>
        <v>Poncho talle 7 cani</v>
      </c>
      <c r="F138" s="18"/>
      <c r="G138" s="25">
        <f>IFERROR(VLOOKUP(C138,'BuscarV Stock'!$A$2:$C$478,3,0),"AAA")</f>
        <v>2</v>
      </c>
      <c r="H138" s="25">
        <f t="shared" si="1"/>
        <v>0.21</v>
      </c>
      <c r="I138" s="30">
        <f>IF('Global Precios'!H139="","",'Global Precios'!H139)</f>
        <v>763</v>
      </c>
      <c r="J138" s="82">
        <f>IF('Global Precios'!K139="","",'Global Precios'!K139)</f>
        <v>0.8</v>
      </c>
      <c r="K138" s="30">
        <f>IF('Global Precios'!Z139="Desactivado",0,IF('Global Precios'!L139="","",'Global Precios'!L139))</f>
        <v>6000</v>
      </c>
      <c r="L138" s="18"/>
      <c r="M138" s="18"/>
      <c r="N138" s="18"/>
      <c r="O138" s="18"/>
      <c r="P138" s="18"/>
      <c r="Q138" s="18"/>
      <c r="R138" s="18" t="str">
        <f>IF('Global Precios'!F139="","",'Global Precios'!F139)</f>
        <v>Pet-shop</v>
      </c>
      <c r="S138" s="18"/>
      <c r="T138" s="18" t="str">
        <f>IF('Global Precios'!E139="","",'Global Precios'!E139)</f>
        <v/>
      </c>
      <c r="U138" s="18"/>
      <c r="V138" s="18">
        <f t="shared" si="2"/>
        <v>0</v>
      </c>
      <c r="W138" s="18"/>
      <c r="X138" s="18"/>
      <c r="Y138" s="18"/>
      <c r="Z138" s="18"/>
      <c r="AA138" s="18"/>
      <c r="AB138" s="18">
        <f t="shared" si="3"/>
        <v>1</v>
      </c>
      <c r="AC138" s="18">
        <f t="shared" si="4"/>
        <v>1</v>
      </c>
      <c r="AD138" s="18">
        <f t="shared" si="5"/>
        <v>1</v>
      </c>
      <c r="AE138" s="18">
        <f t="shared" si="6"/>
        <v>1</v>
      </c>
    </row>
    <row r="139">
      <c r="A139" s="9">
        <f>IF(E139="","", IF('Global Precios'!B140="",0,'Global Precios'!B140))</f>
        <v>0</v>
      </c>
      <c r="B139" s="14" t="str">
        <f>IF('Global Precios'!B140="","",'Global Precios'!B140)</f>
        <v/>
      </c>
      <c r="C139" s="18">
        <f>IF('Global Precios'!A140="","",'Global Precios'!A140)</f>
        <v>144</v>
      </c>
      <c r="D139" s="18"/>
      <c r="E139" s="25" t="str">
        <f>IF('Global Precios'!D140="","",'Global Precios'!D140)</f>
        <v>Poncho Talle 8 cani</v>
      </c>
      <c r="F139" s="18"/>
      <c r="G139" s="25">
        <f>IFERROR(VLOOKUP(C139,'BuscarV Stock'!$A$2:$C$478,3,0),"AAA")</f>
        <v>1</v>
      </c>
      <c r="H139" s="25">
        <f t="shared" si="1"/>
        <v>0.21</v>
      </c>
      <c r="I139" s="30">
        <f>IF('Global Precios'!H140="","",'Global Precios'!H140)</f>
        <v>817</v>
      </c>
      <c r="J139" s="82">
        <f>IF('Global Precios'!K140="","",'Global Precios'!K140)</f>
        <v>0.8</v>
      </c>
      <c r="K139" s="30">
        <f>IF('Global Precios'!Z140="Desactivado",0,IF('Global Precios'!L140="","",'Global Precios'!L140))</f>
        <v>7000</v>
      </c>
      <c r="L139" s="18"/>
      <c r="M139" s="18"/>
      <c r="N139" s="18"/>
      <c r="O139" s="18"/>
      <c r="P139" s="18"/>
      <c r="Q139" s="18"/>
      <c r="R139" s="18" t="str">
        <f>IF('Global Precios'!F140="","",'Global Precios'!F140)</f>
        <v>Pet-shop</v>
      </c>
      <c r="S139" s="18"/>
      <c r="T139" s="18" t="str">
        <f>IF('Global Precios'!E140="","",'Global Precios'!E140)</f>
        <v/>
      </c>
      <c r="U139" s="18"/>
      <c r="V139" s="18">
        <f t="shared" si="2"/>
        <v>0</v>
      </c>
      <c r="W139" s="18"/>
      <c r="X139" s="18"/>
      <c r="Y139" s="18"/>
      <c r="Z139" s="18"/>
      <c r="AA139" s="18"/>
      <c r="AB139" s="18">
        <f t="shared" si="3"/>
        <v>1</v>
      </c>
      <c r="AC139" s="18">
        <f t="shared" si="4"/>
        <v>1</v>
      </c>
      <c r="AD139" s="18">
        <f t="shared" si="5"/>
        <v>1</v>
      </c>
      <c r="AE139" s="18">
        <f t="shared" si="6"/>
        <v>1</v>
      </c>
    </row>
    <row r="140">
      <c r="A140" s="9">
        <f>IF(E140="","", IF('Global Precios'!B141="",0,'Global Precios'!B141))</f>
        <v>0</v>
      </c>
      <c r="B140" s="14" t="str">
        <f>IF('Global Precios'!B141="","",'Global Precios'!B141)</f>
        <v/>
      </c>
      <c r="C140" s="18">
        <f>IF('Global Precios'!A141="","",'Global Precios'!A141)</f>
        <v>145</v>
      </c>
      <c r="D140" s="18"/>
      <c r="E140" s="25" t="str">
        <f>IF('Global Precios'!D141="","",'Global Precios'!D141)</f>
        <v>Poncho Talle 40 blondi</v>
      </c>
      <c r="F140" s="18"/>
      <c r="G140" s="25">
        <f>IFERROR(VLOOKUP(C140,'BuscarV Stock'!$A$2:$C$478,3,0),"AAA")</f>
        <v>1</v>
      </c>
      <c r="H140" s="25">
        <f t="shared" si="1"/>
        <v>0.21</v>
      </c>
      <c r="I140" s="30">
        <f>IF('Global Precios'!H141="","",'Global Precios'!H141)</f>
        <v>610</v>
      </c>
      <c r="J140" s="82">
        <f>IF('Global Precios'!K141="","",'Global Precios'!K141)</f>
        <v>0.8</v>
      </c>
      <c r="K140" s="30">
        <f>IF('Global Precios'!Z141="Desactivado",0,IF('Global Precios'!L141="","",'Global Precios'!L141))</f>
        <v>0</v>
      </c>
      <c r="L140" s="18"/>
      <c r="M140" s="18"/>
      <c r="N140" s="18"/>
      <c r="O140" s="18"/>
      <c r="P140" s="18"/>
      <c r="Q140" s="18"/>
      <c r="R140" s="18" t="str">
        <f>IF('Global Precios'!F141="","",'Global Precios'!F141)</f>
        <v>Pet-shop</v>
      </c>
      <c r="S140" s="18"/>
      <c r="T140" s="18" t="str">
        <f>IF('Global Precios'!E141="","",'Global Precios'!E141)</f>
        <v>Blondi</v>
      </c>
      <c r="U140" s="18"/>
      <c r="V140" s="18">
        <f t="shared" si="2"/>
        <v>0</v>
      </c>
      <c r="W140" s="18"/>
      <c r="X140" s="18"/>
      <c r="Y140" s="18"/>
      <c r="Z140" s="18"/>
      <c r="AA140" s="18"/>
      <c r="AB140" s="18">
        <f t="shared" si="3"/>
        <v>1</v>
      </c>
      <c r="AC140" s="18">
        <f t="shared" si="4"/>
        <v>1</v>
      </c>
      <c r="AD140" s="18">
        <f t="shared" si="5"/>
        <v>1</v>
      </c>
      <c r="AE140" s="18">
        <f t="shared" si="6"/>
        <v>1</v>
      </c>
    </row>
    <row r="141">
      <c r="A141" s="9">
        <f>IF(E141="","", IF('Global Precios'!B142="",0,'Global Precios'!B142))</f>
        <v>0</v>
      </c>
      <c r="B141" s="14" t="str">
        <f>IF('Global Precios'!B142="","",'Global Precios'!B142)</f>
        <v/>
      </c>
      <c r="C141" s="18">
        <f>IF('Global Precios'!A142="","",'Global Precios'!A142)</f>
        <v>146</v>
      </c>
      <c r="D141" s="18"/>
      <c r="E141" s="25" t="str">
        <f>IF('Global Precios'!D142="","",'Global Precios'!D142)</f>
        <v>Poncho Talle 50 blondi</v>
      </c>
      <c r="F141" s="18"/>
      <c r="G141" s="25">
        <f>IFERROR(VLOOKUP(C141,'BuscarV Stock'!$A$2:$C$478,3,0),"AAA")</f>
        <v>2</v>
      </c>
      <c r="H141" s="25">
        <f t="shared" si="1"/>
        <v>0.21</v>
      </c>
      <c r="I141" s="30">
        <f>IF('Global Precios'!H142="","",'Global Precios'!H142)</f>
        <v>732</v>
      </c>
      <c r="J141" s="82">
        <f>IF('Global Precios'!K142="","",'Global Precios'!K142)</f>
        <v>0.8</v>
      </c>
      <c r="K141" s="30">
        <f>IF('Global Precios'!Z142="Desactivado",0,IF('Global Precios'!L142="","",'Global Precios'!L142))</f>
        <v>0</v>
      </c>
      <c r="L141" s="18"/>
      <c r="M141" s="18"/>
      <c r="N141" s="18"/>
      <c r="O141" s="18"/>
      <c r="P141" s="18"/>
      <c r="Q141" s="18"/>
      <c r="R141" s="18" t="str">
        <f>IF('Global Precios'!F142="","",'Global Precios'!F142)</f>
        <v>Pet-shop</v>
      </c>
      <c r="S141" s="18"/>
      <c r="T141" s="18" t="str">
        <f>IF('Global Precios'!E142="","",'Global Precios'!E142)</f>
        <v>Blondi</v>
      </c>
      <c r="U141" s="18"/>
      <c r="V141" s="18">
        <f t="shared" si="2"/>
        <v>0</v>
      </c>
      <c r="W141" s="18"/>
      <c r="X141" s="18"/>
      <c r="Y141" s="18"/>
      <c r="Z141" s="18"/>
      <c r="AA141" s="18"/>
      <c r="AB141" s="18">
        <f t="shared" si="3"/>
        <v>1</v>
      </c>
      <c r="AC141" s="18">
        <f t="shared" si="4"/>
        <v>1</v>
      </c>
      <c r="AD141" s="18">
        <f t="shared" si="5"/>
        <v>1</v>
      </c>
      <c r="AE141" s="18">
        <f t="shared" si="6"/>
        <v>1</v>
      </c>
    </row>
    <row r="142">
      <c r="A142" s="9">
        <f>IF(E142="","", IF('Global Precios'!B143="",0,'Global Precios'!B143))</f>
        <v>0</v>
      </c>
      <c r="B142" s="14" t="str">
        <f>IF('Global Precios'!B143="","",'Global Precios'!B143)</f>
        <v/>
      </c>
      <c r="C142" s="18">
        <f>IF('Global Precios'!A143="","",'Global Precios'!A143)</f>
        <v>147</v>
      </c>
      <c r="D142" s="18"/>
      <c r="E142" s="25" t="str">
        <f>IF('Global Precios'!D143="","",'Global Precios'!D143)</f>
        <v>Cucha Numero 1</v>
      </c>
      <c r="F142" s="18"/>
      <c r="G142" s="25">
        <f>IFERROR(VLOOKUP(C142,'BuscarV Stock'!$A$2:$C$478,3,0),"AAA")</f>
        <v>0</v>
      </c>
      <c r="H142" s="25">
        <f t="shared" si="1"/>
        <v>0.21</v>
      </c>
      <c r="I142" s="30">
        <f>IF('Global Precios'!H143="","",'Global Precios'!H143)</f>
        <v>1605</v>
      </c>
      <c r="J142" s="82">
        <f>IF('Global Precios'!K143="","",'Global Precios'!K143)</f>
        <v>0.7</v>
      </c>
      <c r="K142" s="30">
        <f>IF('Global Precios'!Z143="Desactivado",0,IF('Global Precios'!L143="","",'Global Precios'!L143))</f>
        <v>0</v>
      </c>
      <c r="L142" s="18"/>
      <c r="M142" s="18"/>
      <c r="N142" s="18"/>
      <c r="O142" s="18"/>
      <c r="P142" s="18"/>
      <c r="Q142" s="18"/>
      <c r="R142" s="18" t="str">
        <f>IF('Global Precios'!F143="","",'Global Precios'!F143)</f>
        <v>Pet-shop</v>
      </c>
      <c r="S142" s="18"/>
      <c r="T142" s="18" t="str">
        <f>IF('Global Precios'!E143="","",'Global Precios'!E143)</f>
        <v/>
      </c>
      <c r="U142" s="18"/>
      <c r="V142" s="18">
        <f t="shared" si="2"/>
        <v>0</v>
      </c>
      <c r="W142" s="18"/>
      <c r="X142" s="18"/>
      <c r="Y142" s="18"/>
      <c r="Z142" s="18"/>
      <c r="AA142" s="18"/>
      <c r="AB142" s="18">
        <f t="shared" si="3"/>
        <v>1</v>
      </c>
      <c r="AC142" s="18">
        <f t="shared" si="4"/>
        <v>1</v>
      </c>
      <c r="AD142" s="18">
        <f t="shared" si="5"/>
        <v>1</v>
      </c>
      <c r="AE142" s="18">
        <f t="shared" si="6"/>
        <v>1</v>
      </c>
    </row>
    <row r="143">
      <c r="A143" s="9">
        <f>IF(E143="","", IF('Global Precios'!B144="",0,'Global Precios'!B144))</f>
        <v>0</v>
      </c>
      <c r="B143" s="14" t="str">
        <f>IF('Global Precios'!B144="","",'Global Precios'!B144)</f>
        <v/>
      </c>
      <c r="C143" s="18">
        <f>IF('Global Precios'!A144="","",'Global Precios'!A144)</f>
        <v>148</v>
      </c>
      <c r="D143" s="18"/>
      <c r="E143" s="25" t="str">
        <f>IF('Global Precios'!D144="","",'Global Precios'!D144)</f>
        <v>Cucha Numero 4</v>
      </c>
      <c r="F143" s="18"/>
      <c r="G143" s="25">
        <f>IFERROR(VLOOKUP(C143,'BuscarV Stock'!$A$2:$C$478,3,0),"AAA")</f>
        <v>0</v>
      </c>
      <c r="H143" s="25">
        <f t="shared" si="1"/>
        <v>0.21</v>
      </c>
      <c r="I143" s="30">
        <f>IF('Global Precios'!H144="","",'Global Precios'!H144)</f>
        <v>3745</v>
      </c>
      <c r="J143" s="82">
        <f>IF('Global Precios'!K144="","",'Global Precios'!K144)</f>
        <v>0.7</v>
      </c>
      <c r="K143" s="30">
        <f>IF('Global Precios'!Z144="Desactivado",0,IF('Global Precios'!L144="","",'Global Precios'!L144))</f>
        <v>0</v>
      </c>
      <c r="L143" s="18"/>
      <c r="M143" s="18"/>
      <c r="N143" s="18"/>
      <c r="O143" s="18"/>
      <c r="P143" s="18"/>
      <c r="Q143" s="18"/>
      <c r="R143" s="18" t="str">
        <f>IF('Global Precios'!F144="","",'Global Precios'!F144)</f>
        <v>Pet-shop</v>
      </c>
      <c r="S143" s="18"/>
      <c r="T143" s="18" t="str">
        <f>IF('Global Precios'!E144="","",'Global Precios'!E144)</f>
        <v/>
      </c>
      <c r="U143" s="18"/>
      <c r="V143" s="18">
        <f t="shared" si="2"/>
        <v>0</v>
      </c>
      <c r="W143" s="18"/>
      <c r="X143" s="18"/>
      <c r="Y143" s="18"/>
      <c r="Z143" s="18"/>
      <c r="AA143" s="18"/>
      <c r="AB143" s="18">
        <f t="shared" si="3"/>
        <v>1</v>
      </c>
      <c r="AC143" s="18">
        <f t="shared" si="4"/>
        <v>1</v>
      </c>
      <c r="AD143" s="18">
        <f t="shared" si="5"/>
        <v>1</v>
      </c>
      <c r="AE143" s="18">
        <f t="shared" si="6"/>
        <v>1</v>
      </c>
    </row>
    <row r="144">
      <c r="A144" s="9">
        <f>IF(E144="","", IF('Global Precios'!B145="",0,'Global Precios'!B145))</f>
        <v>0</v>
      </c>
      <c r="B144" s="14" t="str">
        <f>IF('Global Precios'!B145="","",'Global Precios'!B145)</f>
        <v/>
      </c>
      <c r="C144" s="18">
        <f>IF('Global Precios'!A145="","",'Global Precios'!A145)</f>
        <v>149</v>
      </c>
      <c r="D144" s="18"/>
      <c r="E144" s="25" t="str">
        <f>IF('Global Precios'!D145="","",'Global Precios'!D145)</f>
        <v>Baño Perro chico</v>
      </c>
      <c r="F144" s="18"/>
      <c r="G144" s="25">
        <f>IFERROR(VLOOKUP(C144,'BuscarV Stock'!$A$2:$C$478,3,0),"AAA")</f>
        <v>0</v>
      </c>
      <c r="H144" s="25">
        <f t="shared" si="1"/>
        <v>0.21</v>
      </c>
      <c r="I144" s="30">
        <f>IF('Global Precios'!H145="","",'Global Precios'!H145)</f>
        <v>5003.636364</v>
      </c>
      <c r="J144" s="82">
        <f>IF('Global Precios'!K145="","",'Global Precios'!K145)</f>
        <v>1</v>
      </c>
      <c r="K144" s="30">
        <f>IF('Global Precios'!Z145="Desactivado",0,IF('Global Precios'!L145="","",'Global Precios'!L145))</f>
        <v>11000</v>
      </c>
      <c r="L144" s="18"/>
      <c r="M144" s="18"/>
      <c r="N144" s="18"/>
      <c r="O144" s="18"/>
      <c r="P144" s="18"/>
      <c r="Q144" s="18"/>
      <c r="R144" s="18" t="str">
        <f>IF('Global Precios'!F145="","",'Global Precios'!F145)</f>
        <v>Peluquería</v>
      </c>
      <c r="S144" s="18"/>
      <c r="T144" s="18" t="str">
        <f>IF('Global Precios'!E145="","",'Global Precios'!E145)</f>
        <v/>
      </c>
      <c r="U144" s="18"/>
      <c r="V144" s="18">
        <f t="shared" si="2"/>
        <v>0</v>
      </c>
      <c r="W144" s="18"/>
      <c r="X144" s="18"/>
      <c r="Y144" s="18"/>
      <c r="Z144" s="18"/>
      <c r="AA144" s="18"/>
      <c r="AB144" s="18">
        <f t="shared" si="3"/>
        <v>1</v>
      </c>
      <c r="AC144" s="18">
        <f t="shared" si="4"/>
        <v>1</v>
      </c>
      <c r="AD144" s="18">
        <f t="shared" si="5"/>
        <v>1</v>
      </c>
      <c r="AE144" s="18">
        <f t="shared" si="6"/>
        <v>1</v>
      </c>
    </row>
    <row r="145">
      <c r="A145" s="9">
        <f>IF(E145="","", IF('Global Precios'!B146="",0,'Global Precios'!B146))</f>
        <v>0</v>
      </c>
      <c r="B145" s="14" t="str">
        <f>IF('Global Precios'!B146="","",'Global Precios'!B146)</f>
        <v/>
      </c>
      <c r="C145" s="18">
        <f>IF('Global Precios'!A146="","",'Global Precios'!A146)</f>
        <v>150</v>
      </c>
      <c r="D145" s="18"/>
      <c r="E145" s="25" t="str">
        <f>IF('Global Precios'!D146="","",'Global Precios'!D146)</f>
        <v>Baño Perro mediano</v>
      </c>
      <c r="F145" s="18"/>
      <c r="G145" s="25">
        <f>IFERROR(VLOOKUP(C145,'BuscarV Stock'!$A$2:$C$478,3,0),"AAA")</f>
        <v>0</v>
      </c>
      <c r="H145" s="25">
        <f t="shared" si="1"/>
        <v>0.21</v>
      </c>
      <c r="I145" s="30">
        <f>IF('Global Precios'!H146="","",'Global Precios'!H146)</f>
        <v>7005.619835</v>
      </c>
      <c r="J145" s="82">
        <f>IF('Global Precios'!K146="","",'Global Precios'!K146)</f>
        <v>1</v>
      </c>
      <c r="K145" s="30">
        <f>IF('Global Precios'!Z146="Desactivado",0,IF('Global Precios'!L146="","",'Global Precios'!L146))</f>
        <v>14000</v>
      </c>
      <c r="L145" s="18"/>
      <c r="M145" s="18"/>
      <c r="N145" s="18"/>
      <c r="O145" s="18"/>
      <c r="P145" s="18"/>
      <c r="Q145" s="18"/>
      <c r="R145" s="18" t="str">
        <f>IF('Global Precios'!F146="","",'Global Precios'!F146)</f>
        <v>Peluquería</v>
      </c>
      <c r="S145" s="18"/>
      <c r="T145" s="18" t="str">
        <f>IF('Global Precios'!E146="","",'Global Precios'!E146)</f>
        <v/>
      </c>
      <c r="U145" s="18"/>
      <c r="V145" s="18">
        <f t="shared" si="2"/>
        <v>0</v>
      </c>
      <c r="W145" s="18"/>
      <c r="X145" s="18"/>
      <c r="Y145" s="18"/>
      <c r="Z145" s="18"/>
      <c r="AA145" s="18"/>
      <c r="AB145" s="18">
        <f t="shared" si="3"/>
        <v>1</v>
      </c>
      <c r="AC145" s="18">
        <f t="shared" si="4"/>
        <v>1</v>
      </c>
      <c r="AD145" s="18">
        <f t="shared" si="5"/>
        <v>1</v>
      </c>
      <c r="AE145" s="18">
        <f t="shared" si="6"/>
        <v>1</v>
      </c>
    </row>
    <row r="146">
      <c r="A146" s="9">
        <f>IF(E146="","", IF('Global Precios'!B147="",0,'Global Precios'!B147))</f>
        <v>0</v>
      </c>
      <c r="B146" s="14" t="str">
        <f>IF('Global Precios'!B147="","",'Global Precios'!B147)</f>
        <v/>
      </c>
      <c r="C146" s="18">
        <f>IF('Global Precios'!A147="","",'Global Precios'!A147)</f>
        <v>151</v>
      </c>
      <c r="D146" s="18"/>
      <c r="E146" s="25" t="str">
        <f>IF('Global Precios'!D147="","",'Global Precios'!D147)</f>
        <v>Baño Perro grande</v>
      </c>
      <c r="F146" s="18"/>
      <c r="G146" s="25">
        <f>IFERROR(VLOOKUP(C146,'BuscarV Stock'!$A$2:$C$478,3,0),"AAA")</f>
        <v>0</v>
      </c>
      <c r="H146" s="25">
        <f t="shared" si="1"/>
        <v>0.21</v>
      </c>
      <c r="I146" s="30">
        <f>IF('Global Precios'!H147="","",'Global Precios'!H147)</f>
        <v>9007.603306</v>
      </c>
      <c r="J146" s="82">
        <f>IF('Global Precios'!K147="","",'Global Precios'!K147)</f>
        <v>1</v>
      </c>
      <c r="K146" s="30">
        <f>IF('Global Precios'!Z147="Desactivado",0,IF('Global Precios'!L147="","",'Global Precios'!L147))</f>
        <v>21000</v>
      </c>
      <c r="L146" s="18"/>
      <c r="M146" s="18"/>
      <c r="N146" s="18"/>
      <c r="O146" s="18"/>
      <c r="P146" s="18"/>
      <c r="Q146" s="18"/>
      <c r="R146" s="18" t="str">
        <f>IF('Global Precios'!F147="","",'Global Precios'!F147)</f>
        <v>Peluquería</v>
      </c>
      <c r="S146" s="18"/>
      <c r="T146" s="18" t="str">
        <f>IF('Global Precios'!E147="","",'Global Precios'!E147)</f>
        <v/>
      </c>
      <c r="U146" s="18"/>
      <c r="V146" s="18">
        <f t="shared" si="2"/>
        <v>0</v>
      </c>
      <c r="W146" s="18"/>
      <c r="X146" s="18"/>
      <c r="Y146" s="18"/>
      <c r="Z146" s="18"/>
      <c r="AA146" s="18"/>
      <c r="AB146" s="18">
        <f t="shared" si="3"/>
        <v>1</v>
      </c>
      <c r="AC146" s="18">
        <f t="shared" si="4"/>
        <v>1</v>
      </c>
      <c r="AD146" s="18">
        <f t="shared" si="5"/>
        <v>1</v>
      </c>
      <c r="AE146" s="18">
        <f t="shared" si="6"/>
        <v>1</v>
      </c>
    </row>
    <row r="147">
      <c r="A147" s="9">
        <f>IF(E147="","", IF('Global Precios'!B148="",0,'Global Precios'!B148))</f>
        <v>0</v>
      </c>
      <c r="B147" s="14" t="str">
        <f>IF('Global Precios'!B148="","",'Global Precios'!B148)</f>
        <v/>
      </c>
      <c r="C147" s="18">
        <f>IF('Global Precios'!A148="","",'Global Precios'!A148)</f>
        <v>152</v>
      </c>
      <c r="D147" s="18"/>
      <c r="E147" s="25" t="str">
        <f>IF('Global Precios'!D148="","",'Global Precios'!D148)</f>
        <v>Corte y baño perro chico</v>
      </c>
      <c r="F147" s="18"/>
      <c r="G147" s="25">
        <f>IFERROR(VLOOKUP(C147,'BuscarV Stock'!$A$2:$C$478,3,0),"AAA")</f>
        <v>0</v>
      </c>
      <c r="H147" s="25">
        <f t="shared" si="1"/>
        <v>0.21</v>
      </c>
      <c r="I147" s="30">
        <f>IF('Global Precios'!H148="","",'Global Precios'!H148)</f>
        <v>6254.545455</v>
      </c>
      <c r="J147" s="82">
        <f>IF('Global Precios'!K148="","",'Global Precios'!K148)</f>
        <v>1</v>
      </c>
      <c r="K147" s="30">
        <f>IF('Global Precios'!Z148="Desactivado",0,IF('Global Precios'!L148="","",'Global Precios'!L148))</f>
        <v>15000</v>
      </c>
      <c r="L147" s="18"/>
      <c r="M147" s="18"/>
      <c r="N147" s="18"/>
      <c r="O147" s="18"/>
      <c r="P147" s="18"/>
      <c r="Q147" s="18"/>
      <c r="R147" s="18" t="str">
        <f>IF('Global Precios'!F148="","",'Global Precios'!F148)</f>
        <v>Peluquería</v>
      </c>
      <c r="S147" s="18"/>
      <c r="T147" s="18" t="str">
        <f>IF('Global Precios'!E148="","",'Global Precios'!E148)</f>
        <v/>
      </c>
      <c r="U147" s="18"/>
      <c r="V147" s="18">
        <f t="shared" si="2"/>
        <v>0</v>
      </c>
      <c r="W147" s="18"/>
      <c r="X147" s="18"/>
      <c r="Y147" s="18"/>
      <c r="Z147" s="18"/>
      <c r="AA147" s="18"/>
      <c r="AB147" s="18">
        <f t="shared" si="3"/>
        <v>1</v>
      </c>
      <c r="AC147" s="18">
        <f t="shared" si="4"/>
        <v>1</v>
      </c>
      <c r="AD147" s="18">
        <f t="shared" si="5"/>
        <v>1</v>
      </c>
      <c r="AE147" s="18">
        <f t="shared" si="6"/>
        <v>1</v>
      </c>
    </row>
    <row r="148">
      <c r="A148" s="9">
        <f>IF(E148="","", IF('Global Precios'!B149="",0,'Global Precios'!B149))</f>
        <v>0</v>
      </c>
      <c r="B148" s="14" t="str">
        <f>IF('Global Precios'!B149="","",'Global Precios'!B149)</f>
        <v/>
      </c>
      <c r="C148" s="18">
        <f>IF('Global Precios'!A149="","",'Global Precios'!A149)</f>
        <v>153</v>
      </c>
      <c r="D148" s="18"/>
      <c r="E148" s="25" t="str">
        <f>IF('Global Precios'!D149="","",'Global Precios'!D149)</f>
        <v>Corte y baño perro mediano</v>
      </c>
      <c r="F148" s="18"/>
      <c r="G148" s="25">
        <f>IFERROR(VLOOKUP(C148,'BuscarV Stock'!$A$2:$C$478,3,0),"AAA")</f>
        <v>0</v>
      </c>
      <c r="H148" s="25">
        <f t="shared" si="1"/>
        <v>0.21</v>
      </c>
      <c r="I148" s="30">
        <f>IF('Global Precios'!H149="","",'Global Precios'!H149)</f>
        <v>8757.024793</v>
      </c>
      <c r="J148" s="82">
        <f>IF('Global Precios'!K149="","",'Global Precios'!K149)</f>
        <v>1</v>
      </c>
      <c r="K148" s="30">
        <f>IF('Global Precios'!Z149="Desactivado",0,IF('Global Precios'!L149="","",'Global Precios'!L149))</f>
        <v>21000</v>
      </c>
      <c r="L148" s="18"/>
      <c r="M148" s="18"/>
      <c r="N148" s="18"/>
      <c r="O148" s="18"/>
      <c r="P148" s="18"/>
      <c r="Q148" s="18"/>
      <c r="R148" s="18" t="str">
        <f>IF('Global Precios'!F149="","",'Global Precios'!F149)</f>
        <v>Peluquería</v>
      </c>
      <c r="S148" s="18"/>
      <c r="T148" s="18" t="str">
        <f>IF('Global Precios'!E149="","",'Global Precios'!E149)</f>
        <v/>
      </c>
      <c r="U148" s="18"/>
      <c r="V148" s="18">
        <f t="shared" si="2"/>
        <v>0</v>
      </c>
      <c r="W148" s="18"/>
      <c r="X148" s="18"/>
      <c r="Y148" s="18"/>
      <c r="Z148" s="18"/>
      <c r="AA148" s="18"/>
      <c r="AB148" s="18">
        <f t="shared" si="3"/>
        <v>1</v>
      </c>
      <c r="AC148" s="18">
        <f t="shared" si="4"/>
        <v>1</v>
      </c>
      <c r="AD148" s="18">
        <f t="shared" si="5"/>
        <v>1</v>
      </c>
      <c r="AE148" s="18">
        <f t="shared" si="6"/>
        <v>1</v>
      </c>
    </row>
    <row r="149">
      <c r="A149" s="9">
        <f>IF(E149="","", IF('Global Precios'!B150="",0,'Global Precios'!B150))</f>
        <v>0</v>
      </c>
      <c r="B149" s="14" t="str">
        <f>IF('Global Precios'!B150="","",'Global Precios'!B150)</f>
        <v/>
      </c>
      <c r="C149" s="18">
        <f>IF('Global Precios'!A150="","",'Global Precios'!A150)</f>
        <v>154</v>
      </c>
      <c r="D149" s="18"/>
      <c r="E149" s="25" t="str">
        <f>IF('Global Precios'!D150="","",'Global Precios'!D150)</f>
        <v>Corte y baño perro grande</v>
      </c>
      <c r="F149" s="18"/>
      <c r="G149" s="25">
        <f>IFERROR(VLOOKUP(C149,'BuscarV Stock'!$A$2:$C$478,3,0),"AAA")</f>
        <v>0</v>
      </c>
      <c r="H149" s="25">
        <f t="shared" si="1"/>
        <v>0.21</v>
      </c>
      <c r="I149" s="30">
        <f>IF('Global Precios'!H150="","",'Global Precios'!H150)</f>
        <v>11259.50413</v>
      </c>
      <c r="J149" s="82">
        <f>IF('Global Precios'!K150="","",'Global Precios'!K150)</f>
        <v>1</v>
      </c>
      <c r="K149" s="30">
        <f>IF('Global Precios'!Z150="Desactivado",0,IF('Global Precios'!L150="","",'Global Precios'!L150))</f>
        <v>27000</v>
      </c>
      <c r="L149" s="18"/>
      <c r="M149" s="18"/>
      <c r="N149" s="18"/>
      <c r="O149" s="18"/>
      <c r="P149" s="18"/>
      <c r="Q149" s="18"/>
      <c r="R149" s="18" t="str">
        <f>IF('Global Precios'!F150="","",'Global Precios'!F150)</f>
        <v>Peluquería</v>
      </c>
      <c r="S149" s="18"/>
      <c r="T149" s="18" t="str">
        <f>IF('Global Precios'!E150="","",'Global Precios'!E150)</f>
        <v/>
      </c>
      <c r="U149" s="18"/>
      <c r="V149" s="18">
        <f t="shared" si="2"/>
        <v>0</v>
      </c>
      <c r="W149" s="18"/>
      <c r="X149" s="18"/>
      <c r="Y149" s="18"/>
      <c r="Z149" s="18"/>
      <c r="AA149" s="18"/>
      <c r="AB149" s="18">
        <f t="shared" si="3"/>
        <v>1</v>
      </c>
      <c r="AC149" s="18">
        <f t="shared" si="4"/>
        <v>1</v>
      </c>
      <c r="AD149" s="18">
        <f t="shared" si="5"/>
        <v>1</v>
      </c>
      <c r="AE149" s="18">
        <f t="shared" si="6"/>
        <v>1</v>
      </c>
    </row>
    <row r="150">
      <c r="A150" s="9">
        <f>IF(E150="","", IF('Global Precios'!B151="",0,'Global Precios'!B151))</f>
        <v>0</v>
      </c>
      <c r="B150" s="14" t="str">
        <f>IF('Global Precios'!B151="","",'Global Precios'!B151)</f>
        <v/>
      </c>
      <c r="C150" s="18">
        <f>IF('Global Precios'!A151="","",'Global Precios'!A151)</f>
        <v>155</v>
      </c>
      <c r="D150" s="18"/>
      <c r="E150" s="25" t="str">
        <f>IF('Global Precios'!D151="","",'Global Precios'!D151)</f>
        <v>Castración Gato MACHO</v>
      </c>
      <c r="F150" s="18"/>
      <c r="G150" s="25">
        <f>IFERROR(VLOOKUP(C150,'BuscarV Stock'!$A$2:$C$478,3,0),"AAA")</f>
        <v>0</v>
      </c>
      <c r="H150" s="25">
        <f t="shared" si="1"/>
        <v>0.21</v>
      </c>
      <c r="I150" s="30">
        <f>IF('Global Precios'!H151="","",'Global Precios'!H151)</f>
        <v>60485.12397</v>
      </c>
      <c r="J150" s="18" t="str">
        <f>IF('Global Precios'!K151="","",'Global Precios'!K151)</f>
        <v/>
      </c>
      <c r="K150" s="30">
        <f>IF('Global Precios'!Z151="Desactivado",0,IF('Global Precios'!L151="","",'Global Precios'!L151))</f>
        <v>73000</v>
      </c>
      <c r="L150" s="18"/>
      <c r="M150" s="18"/>
      <c r="N150" s="18"/>
      <c r="O150" s="18"/>
      <c r="P150" s="18"/>
      <c r="Q150" s="18"/>
      <c r="R150" s="18" t="str">
        <f>IF('Global Precios'!F151="","",'Global Precios'!F151)</f>
        <v>Clinica</v>
      </c>
      <c r="S150" s="18"/>
      <c r="T150" s="18" t="str">
        <f>IF('Global Precios'!E151="","",'Global Precios'!E151)</f>
        <v>Arlekyn</v>
      </c>
      <c r="U150" s="18"/>
      <c r="V150" s="18">
        <f t="shared" si="2"/>
        <v>0</v>
      </c>
      <c r="W150" s="18"/>
      <c r="X150" s="18"/>
      <c r="Y150" s="18"/>
      <c r="Z150" s="18"/>
      <c r="AA150" s="18"/>
      <c r="AB150" s="18">
        <f t="shared" si="3"/>
        <v>1</v>
      </c>
      <c r="AC150" s="18">
        <f t="shared" si="4"/>
        <v>1</v>
      </c>
      <c r="AD150" s="18">
        <f t="shared" si="5"/>
        <v>1</v>
      </c>
      <c r="AE150" s="18">
        <f t="shared" si="6"/>
        <v>1</v>
      </c>
    </row>
    <row r="151">
      <c r="A151" s="9">
        <f>IF(E151="","", IF('Global Precios'!B152="",0,'Global Precios'!B152))</f>
        <v>0</v>
      </c>
      <c r="B151" s="14" t="str">
        <f>IF('Global Precios'!B152="","",'Global Precios'!B152)</f>
        <v/>
      </c>
      <c r="C151" s="18">
        <f>IF('Global Precios'!A152="","",'Global Precios'!A152)</f>
        <v>156</v>
      </c>
      <c r="D151" s="18"/>
      <c r="E151" s="25" t="str">
        <f>IF('Global Precios'!D152="","",'Global Precios'!D152)</f>
        <v>Castración perro MACHO hasta 10 kg</v>
      </c>
      <c r="F151" s="18"/>
      <c r="G151" s="25">
        <f>IFERROR(VLOOKUP(C151,'BuscarV Stock'!$A$2:$C$478,3,0),"AAA")</f>
        <v>0</v>
      </c>
      <c r="H151" s="25">
        <f t="shared" si="1"/>
        <v>0.21</v>
      </c>
      <c r="I151" s="30">
        <f>IF('Global Precios'!H152="","",'Global Precios'!H152)</f>
        <v>68046.28099</v>
      </c>
      <c r="J151" s="18" t="str">
        <f>IF('Global Precios'!K152="","",'Global Precios'!K152)</f>
        <v/>
      </c>
      <c r="K151" s="30">
        <f>IF('Global Precios'!Z152="Desactivado",0,IF('Global Precios'!L152="","",'Global Precios'!L152))</f>
        <v>82000</v>
      </c>
      <c r="L151" s="18"/>
      <c r="M151" s="18"/>
      <c r="N151" s="18"/>
      <c r="O151" s="18"/>
      <c r="P151" s="18"/>
      <c r="Q151" s="18"/>
      <c r="R151" s="18" t="str">
        <f>IF('Global Precios'!F152="","",'Global Precios'!F152)</f>
        <v>Clinica</v>
      </c>
      <c r="S151" s="18"/>
      <c r="T151" s="18" t="str">
        <f>IF('Global Precios'!E152="","",'Global Precios'!E152)</f>
        <v>Arlekyn</v>
      </c>
      <c r="U151" s="18"/>
      <c r="V151" s="18">
        <f t="shared" si="2"/>
        <v>0</v>
      </c>
      <c r="W151" s="18"/>
      <c r="X151" s="18"/>
      <c r="Y151" s="18"/>
      <c r="Z151" s="18"/>
      <c r="AA151" s="18"/>
      <c r="AB151" s="18">
        <f t="shared" si="3"/>
        <v>1</v>
      </c>
      <c r="AC151" s="18">
        <f t="shared" si="4"/>
        <v>1</v>
      </c>
      <c r="AD151" s="18">
        <f t="shared" si="5"/>
        <v>1</v>
      </c>
      <c r="AE151" s="18">
        <f t="shared" si="6"/>
        <v>1</v>
      </c>
    </row>
    <row r="152">
      <c r="A152" s="9">
        <f>IF(E152="","", IF('Global Precios'!B153="",0,'Global Precios'!B153))</f>
        <v>0</v>
      </c>
      <c r="B152" s="14" t="str">
        <f>IF('Global Precios'!B153="","",'Global Precios'!B153)</f>
        <v/>
      </c>
      <c r="C152" s="18">
        <f>IF('Global Precios'!A153="","",'Global Precios'!A153)</f>
        <v>157</v>
      </c>
      <c r="D152" s="18"/>
      <c r="E152" s="25" t="str">
        <f>IF('Global Precios'!D153="","",'Global Precios'!D153)</f>
        <v>Castración perro MACHO hasta 20 kg</v>
      </c>
      <c r="F152" s="18"/>
      <c r="G152" s="25">
        <f>IFERROR(VLOOKUP(C152,'BuscarV Stock'!$A$2:$C$478,3,0),"AAA")</f>
        <v>0</v>
      </c>
      <c r="H152" s="25">
        <f t="shared" si="1"/>
        <v>0.21</v>
      </c>
      <c r="I152" s="30">
        <f>IF('Global Precios'!H153="","",'Global Precios'!H153)</f>
        <v>75614.04959</v>
      </c>
      <c r="J152" s="18" t="str">
        <f>IF('Global Precios'!K153="","",'Global Precios'!K153)</f>
        <v/>
      </c>
      <c r="K152" s="30">
        <f>IF('Global Precios'!Z153="Desactivado",0,IF('Global Precios'!L153="","",'Global Precios'!L153))</f>
        <v>91000</v>
      </c>
      <c r="L152" s="18"/>
      <c r="M152" s="18"/>
      <c r="N152" s="18"/>
      <c r="O152" s="18"/>
      <c r="P152" s="18"/>
      <c r="Q152" s="18"/>
      <c r="R152" s="18" t="str">
        <f>IF('Global Precios'!F153="","",'Global Precios'!F153)</f>
        <v>Clinica</v>
      </c>
      <c r="S152" s="18"/>
      <c r="T152" s="18" t="str">
        <f>IF('Global Precios'!E153="","",'Global Precios'!E153)</f>
        <v>Arlekyn</v>
      </c>
      <c r="U152" s="18"/>
      <c r="V152" s="18">
        <f t="shared" si="2"/>
        <v>0</v>
      </c>
      <c r="W152" s="18"/>
      <c r="X152" s="18"/>
      <c r="Y152" s="18"/>
      <c r="Z152" s="18"/>
      <c r="AA152" s="18"/>
      <c r="AB152" s="18">
        <f t="shared" si="3"/>
        <v>1</v>
      </c>
      <c r="AC152" s="18">
        <f t="shared" si="4"/>
        <v>1</v>
      </c>
      <c r="AD152" s="18">
        <f t="shared" si="5"/>
        <v>1</v>
      </c>
      <c r="AE152" s="18">
        <f t="shared" si="6"/>
        <v>1</v>
      </c>
    </row>
    <row r="153">
      <c r="A153" s="9">
        <f>IF(E153="","", IF('Global Precios'!B154="",0,'Global Precios'!B154))</f>
        <v>0</v>
      </c>
      <c r="B153" s="14" t="str">
        <f>IF('Global Precios'!B154="","",'Global Precios'!B154)</f>
        <v/>
      </c>
      <c r="C153" s="18">
        <f>IF('Global Precios'!A154="","",'Global Precios'!A154)</f>
        <v>158</v>
      </c>
      <c r="D153" s="18"/>
      <c r="E153" s="25" t="str">
        <f>IF('Global Precios'!D154="","",'Global Precios'!D154)</f>
        <v>Castración perro MACHO hasta 30 kg</v>
      </c>
      <c r="F153" s="18"/>
      <c r="G153" s="25">
        <f>IFERROR(VLOOKUP(C153,'BuscarV Stock'!$A$2:$C$478,3,0),"AAA")</f>
        <v>0</v>
      </c>
      <c r="H153" s="25">
        <f t="shared" si="1"/>
        <v>0.21</v>
      </c>
      <c r="I153" s="30">
        <f>IF('Global Precios'!H154="","",'Global Precios'!H154)</f>
        <v>83171.07438</v>
      </c>
      <c r="J153" s="18" t="str">
        <f>IF('Global Precios'!K154="","",'Global Precios'!K154)</f>
        <v/>
      </c>
      <c r="K153" s="30">
        <f>IF('Global Precios'!Z154="Desactivado",0,IF('Global Precios'!L154="","",'Global Precios'!L154))</f>
        <v>101000</v>
      </c>
      <c r="L153" s="18"/>
      <c r="M153" s="18"/>
      <c r="N153" s="18"/>
      <c r="O153" s="18"/>
      <c r="P153" s="18"/>
      <c r="Q153" s="18"/>
      <c r="R153" s="18" t="str">
        <f>IF('Global Precios'!F154="","",'Global Precios'!F154)</f>
        <v>Clinica</v>
      </c>
      <c r="S153" s="18"/>
      <c r="T153" s="18" t="str">
        <f>IF('Global Precios'!E154="","",'Global Precios'!E154)</f>
        <v>Arlekyn</v>
      </c>
      <c r="U153" s="18"/>
      <c r="V153" s="18">
        <f t="shared" si="2"/>
        <v>0</v>
      </c>
      <c r="W153" s="18"/>
      <c r="X153" s="18"/>
      <c r="Y153" s="18"/>
      <c r="Z153" s="18"/>
      <c r="AA153" s="18"/>
      <c r="AB153" s="18">
        <f t="shared" si="3"/>
        <v>1</v>
      </c>
      <c r="AC153" s="18">
        <f t="shared" si="4"/>
        <v>1</v>
      </c>
      <c r="AD153" s="18">
        <f t="shared" si="5"/>
        <v>1</v>
      </c>
      <c r="AE153" s="18">
        <f t="shared" si="6"/>
        <v>1</v>
      </c>
    </row>
    <row r="154">
      <c r="A154" s="9">
        <f>IF(E154="","", IF('Global Precios'!B155="",0,'Global Precios'!B155))</f>
        <v>0</v>
      </c>
      <c r="B154" s="14" t="str">
        <f>IF('Global Precios'!B155="","",'Global Precios'!B155)</f>
        <v/>
      </c>
      <c r="C154" s="18">
        <f>IF('Global Precios'!A155="","",'Global Precios'!A155)</f>
        <v>159</v>
      </c>
      <c r="D154" s="18"/>
      <c r="E154" s="25" t="str">
        <f>IF('Global Precios'!D155="","",'Global Precios'!D155)</f>
        <v>Castración perro MACHO hasta 40 kg</v>
      </c>
      <c r="F154" s="18"/>
      <c r="G154" s="25">
        <f>IFERROR(VLOOKUP(C154,'BuscarV Stock'!$A$2:$C$478,3,0),"AAA")</f>
        <v>0</v>
      </c>
      <c r="H154" s="25">
        <f t="shared" si="1"/>
        <v>0.21</v>
      </c>
      <c r="I154" s="30">
        <f>IF('Global Precios'!H155="","",'Global Precios'!H155)</f>
        <v>90736.36364</v>
      </c>
      <c r="J154" s="18" t="str">
        <f>IF('Global Precios'!K155="","",'Global Precios'!K155)</f>
        <v/>
      </c>
      <c r="K154" s="30">
        <f>IF('Global Precios'!Z155="Desactivado",0,IF('Global Precios'!L155="","",'Global Precios'!L155))</f>
        <v>110000</v>
      </c>
      <c r="L154" s="18"/>
      <c r="M154" s="18"/>
      <c r="N154" s="18"/>
      <c r="O154" s="18"/>
      <c r="P154" s="18"/>
      <c r="Q154" s="18"/>
      <c r="R154" s="18" t="str">
        <f>IF('Global Precios'!F155="","",'Global Precios'!F155)</f>
        <v>Clinica</v>
      </c>
      <c r="S154" s="18"/>
      <c r="T154" s="18" t="str">
        <f>IF('Global Precios'!E155="","",'Global Precios'!E155)</f>
        <v>Arlekyn</v>
      </c>
      <c r="U154" s="18"/>
      <c r="V154" s="18">
        <f t="shared" si="2"/>
        <v>0</v>
      </c>
      <c r="W154" s="18"/>
      <c r="X154" s="18"/>
      <c r="Y154" s="18"/>
      <c r="Z154" s="18"/>
      <c r="AA154" s="18"/>
      <c r="AB154" s="18">
        <f t="shared" si="3"/>
        <v>1</v>
      </c>
      <c r="AC154" s="18">
        <f t="shared" si="4"/>
        <v>1</v>
      </c>
      <c r="AD154" s="18">
        <f t="shared" si="5"/>
        <v>1</v>
      </c>
      <c r="AE154" s="18">
        <f t="shared" si="6"/>
        <v>1</v>
      </c>
    </row>
    <row r="155">
      <c r="A155" s="9">
        <f>IF(E155="","", IF('Global Precios'!B156="",0,'Global Precios'!B156))</f>
        <v>0</v>
      </c>
      <c r="B155" s="14" t="str">
        <f>IF('Global Precios'!B156="","",'Global Precios'!B156)</f>
        <v/>
      </c>
      <c r="C155" s="18">
        <f>IF('Global Precios'!A156="","",'Global Precios'!A156)</f>
        <v>160</v>
      </c>
      <c r="D155" s="18"/>
      <c r="E155" s="25" t="str">
        <f>IF('Global Precios'!D156="","",'Global Precios'!D156)</f>
        <v>Castración perro MACHO hasta 50 kg</v>
      </c>
      <c r="F155" s="18"/>
      <c r="G155" s="25">
        <f>IFERROR(VLOOKUP(C155,'BuscarV Stock'!$A$2:$C$478,3,0),"AAA")</f>
        <v>0</v>
      </c>
      <c r="H155" s="25">
        <f t="shared" si="1"/>
        <v>0.21</v>
      </c>
      <c r="I155" s="30">
        <f>IF('Global Precios'!H156="","",'Global Precios'!H156)</f>
        <v>98288.42975</v>
      </c>
      <c r="J155" s="18" t="str">
        <f>IF('Global Precios'!K156="","",'Global Precios'!K156)</f>
        <v/>
      </c>
      <c r="K155" s="30">
        <f>IF('Global Precios'!Z156="Desactivado",0,IF('Global Precios'!L156="","",'Global Precios'!L156))</f>
        <v>119000</v>
      </c>
      <c r="L155" s="18"/>
      <c r="M155" s="18"/>
      <c r="N155" s="18"/>
      <c r="O155" s="18"/>
      <c r="P155" s="18"/>
      <c r="Q155" s="18"/>
      <c r="R155" s="18" t="str">
        <f>IF('Global Precios'!F156="","",'Global Precios'!F156)</f>
        <v>Clinica</v>
      </c>
      <c r="S155" s="18"/>
      <c r="T155" s="18" t="str">
        <f>IF('Global Precios'!E156="","",'Global Precios'!E156)</f>
        <v>Arlekyn</v>
      </c>
      <c r="U155" s="18"/>
      <c r="V155" s="18">
        <f t="shared" si="2"/>
        <v>0</v>
      </c>
      <c r="W155" s="18"/>
      <c r="X155" s="18"/>
      <c r="Y155" s="18"/>
      <c r="Z155" s="18"/>
      <c r="AA155" s="18"/>
      <c r="AB155" s="18">
        <f t="shared" si="3"/>
        <v>1</v>
      </c>
      <c r="AC155" s="18">
        <f t="shared" si="4"/>
        <v>1</v>
      </c>
      <c r="AD155" s="18">
        <f t="shared" si="5"/>
        <v>1</v>
      </c>
      <c r="AE155" s="18">
        <f t="shared" si="6"/>
        <v>1</v>
      </c>
    </row>
    <row r="156">
      <c r="A156" s="9">
        <f>IF(E156="","", IF('Global Precios'!B157="",0,'Global Precios'!B157))</f>
        <v>0</v>
      </c>
      <c r="B156" s="14" t="str">
        <f>IF('Global Precios'!B157="","",'Global Precios'!B157)</f>
        <v/>
      </c>
      <c r="C156" s="18">
        <f>IF('Global Precios'!A157="","",'Global Precios'!A157)</f>
        <v>161</v>
      </c>
      <c r="D156" s="18"/>
      <c r="E156" s="25" t="str">
        <f>IF('Global Precios'!D157="","",'Global Precios'!D157)</f>
        <v>Castración perro MACHO 60 kg</v>
      </c>
      <c r="F156" s="18"/>
      <c r="G156" s="25">
        <f>IFERROR(VLOOKUP(C156,'BuscarV Stock'!$A$2:$C$478,3,0),"AAA")</f>
        <v>0</v>
      </c>
      <c r="H156" s="25">
        <f t="shared" si="1"/>
        <v>0.21</v>
      </c>
      <c r="I156" s="30">
        <f>IF('Global Precios'!H157="","",'Global Precios'!H157)</f>
        <v>105860.3306</v>
      </c>
      <c r="J156" s="18" t="str">
        <f>IF('Global Precios'!K157="","",'Global Precios'!K157)</f>
        <v/>
      </c>
      <c r="K156" s="30">
        <f>IF('Global Precios'!Z157="Desactivado",0,IF('Global Precios'!L157="","",'Global Precios'!L157))</f>
        <v>128000</v>
      </c>
      <c r="L156" s="18"/>
      <c r="M156" s="18"/>
      <c r="N156" s="18"/>
      <c r="O156" s="18"/>
      <c r="P156" s="18"/>
      <c r="Q156" s="18"/>
      <c r="R156" s="18" t="str">
        <f>IF('Global Precios'!F157="","",'Global Precios'!F157)</f>
        <v>Clinica</v>
      </c>
      <c r="S156" s="18"/>
      <c r="T156" s="18" t="str">
        <f>IF('Global Precios'!E157="","",'Global Precios'!E157)</f>
        <v>Arlekyn</v>
      </c>
      <c r="U156" s="18"/>
      <c r="V156" s="18">
        <f t="shared" si="2"/>
        <v>0</v>
      </c>
      <c r="W156" s="18"/>
      <c r="X156" s="18"/>
      <c r="Y156" s="18"/>
      <c r="Z156" s="18"/>
      <c r="AA156" s="18"/>
      <c r="AB156" s="18">
        <f t="shared" si="3"/>
        <v>1</v>
      </c>
      <c r="AC156" s="18">
        <f t="shared" si="4"/>
        <v>1</v>
      </c>
      <c r="AD156" s="18">
        <f t="shared" si="5"/>
        <v>1</v>
      </c>
      <c r="AE156" s="18">
        <f t="shared" si="6"/>
        <v>1</v>
      </c>
    </row>
    <row r="157">
      <c r="A157" s="9">
        <f>IF(E157="","", IF('Global Precios'!B158="",0,'Global Precios'!B158))</f>
        <v>0</v>
      </c>
      <c r="B157" s="14" t="str">
        <f>IF('Global Precios'!B158="","",'Global Precios'!B158)</f>
        <v/>
      </c>
      <c r="C157" s="18">
        <f>IF('Global Precios'!A158="","",'Global Precios'!A158)</f>
        <v>162</v>
      </c>
      <c r="D157" s="18"/>
      <c r="E157" s="25" t="str">
        <f>IF('Global Precios'!D158="","",'Global Precios'!D158)</f>
        <v>Inyectable</v>
      </c>
      <c r="F157" s="18"/>
      <c r="G157" s="25">
        <f>IFERROR(VLOOKUP(C157,'BuscarV Stock'!$A$2:$C$478,3,0),"AAA")</f>
        <v>0</v>
      </c>
      <c r="H157" s="25">
        <f t="shared" si="1"/>
        <v>0.21</v>
      </c>
      <c r="I157" s="30">
        <f>IF('Global Precios'!H158="","",'Global Precios'!H158)</f>
        <v>3785.123967</v>
      </c>
      <c r="J157" s="18" t="str">
        <f>IF('Global Precios'!K158="","",'Global Precios'!K158)</f>
        <v/>
      </c>
      <c r="K157" s="30">
        <f>IF('Global Precios'!Z158="Desactivado",0,IF('Global Precios'!L158="","",'Global Precios'!L158))</f>
        <v>4500</v>
      </c>
      <c r="L157" s="18"/>
      <c r="M157" s="18"/>
      <c r="N157" s="18"/>
      <c r="O157" s="18"/>
      <c r="P157" s="18"/>
      <c r="Q157" s="18"/>
      <c r="R157" s="18" t="str">
        <f>IF('Global Precios'!F158="","",'Global Precios'!F158)</f>
        <v>Clinica</v>
      </c>
      <c r="S157" s="18"/>
      <c r="T157" s="18" t="str">
        <f>IF('Global Precios'!E158="","",'Global Precios'!E158)</f>
        <v>Arlekyn</v>
      </c>
      <c r="U157" s="18"/>
      <c r="V157" s="18">
        <f t="shared" si="2"/>
        <v>0</v>
      </c>
      <c r="W157" s="18"/>
      <c r="X157" s="18"/>
      <c r="Y157" s="18"/>
      <c r="Z157" s="18"/>
      <c r="AA157" s="18"/>
      <c r="AB157" s="18">
        <f t="shared" si="3"/>
        <v>1</v>
      </c>
      <c r="AC157" s="18">
        <f t="shared" si="4"/>
        <v>1</v>
      </c>
      <c r="AD157" s="18">
        <f t="shared" si="5"/>
        <v>1</v>
      </c>
      <c r="AE157" s="18">
        <f t="shared" si="6"/>
        <v>1</v>
      </c>
    </row>
    <row r="158">
      <c r="A158" s="9">
        <f>IF(E158="","", IF('Global Precios'!B159="",0,'Global Precios'!B159))</f>
        <v>0</v>
      </c>
      <c r="B158" s="14" t="str">
        <f>IF('Global Precios'!B159="","",'Global Precios'!B159)</f>
        <v/>
      </c>
      <c r="C158" s="18">
        <f>IF('Global Precios'!A159="","",'Global Precios'!A159)</f>
        <v>163</v>
      </c>
      <c r="D158" s="18"/>
      <c r="E158" s="25" t="str">
        <f>IF('Global Precios'!D159="","",'Global Precios'!D159)</f>
        <v>Insumos Veterinarios</v>
      </c>
      <c r="F158" s="18"/>
      <c r="G158" s="25">
        <f>IFERROR(VLOOKUP(C158,'BuscarV Stock'!$A$2:$C$478,3,0),"AAA")</f>
        <v>0</v>
      </c>
      <c r="H158" s="25">
        <f t="shared" si="1"/>
        <v>0.21</v>
      </c>
      <c r="I158" s="30">
        <f>IF('Global Precios'!H159="","",'Global Precios'!H159)</f>
        <v>0.826446281</v>
      </c>
      <c r="J158" s="82">
        <f>IF('Global Precios'!K159="","",'Global Precios'!K159)</f>
        <v>0.01</v>
      </c>
      <c r="K158" s="30">
        <f>IF('Global Precios'!Z159="Desactivado",0,IF('Global Precios'!L159="","",'Global Precios'!L159))</f>
        <v>0</v>
      </c>
      <c r="L158" s="18"/>
      <c r="M158" s="18"/>
      <c r="N158" s="18"/>
      <c r="O158" s="18"/>
      <c r="P158" s="18"/>
      <c r="Q158" s="18"/>
      <c r="R158" s="18" t="str">
        <f>IF('Global Precios'!F159="","",'Global Precios'!F159)</f>
        <v>Insumos</v>
      </c>
      <c r="S158" s="18"/>
      <c r="T158" s="18" t="str">
        <f>IF('Global Precios'!E159="","",'Global Precios'!E159)</f>
        <v>Arlekyn</v>
      </c>
      <c r="U158" s="18"/>
      <c r="V158" s="18">
        <f t="shared" si="2"/>
        <v>0</v>
      </c>
      <c r="W158" s="18"/>
      <c r="X158" s="18"/>
      <c r="Y158" s="18"/>
      <c r="Z158" s="18"/>
      <c r="AA158" s="18"/>
      <c r="AB158" s="18">
        <f t="shared" si="3"/>
        <v>1</v>
      </c>
      <c r="AC158" s="18">
        <f t="shared" si="4"/>
        <v>1</v>
      </c>
      <c r="AD158" s="18">
        <f t="shared" si="5"/>
        <v>1</v>
      </c>
      <c r="AE158" s="18">
        <f t="shared" si="6"/>
        <v>1</v>
      </c>
    </row>
    <row r="159">
      <c r="A159" s="9">
        <f>IF(E159="","", IF('Global Precios'!B160="",0,'Global Precios'!B160))</f>
        <v>0</v>
      </c>
      <c r="B159" s="14" t="str">
        <f>IF('Global Precios'!B160="","",'Global Precios'!B160)</f>
        <v/>
      </c>
      <c r="C159" s="18">
        <f>IF('Global Precios'!A160="","",'Global Precios'!A160)</f>
        <v>164</v>
      </c>
      <c r="D159" s="18"/>
      <c r="E159" s="25" t="str">
        <f>IF('Global Precios'!D160="","",'Global Precios'!D160)</f>
        <v>Vacuna Quantum (Sextuple)</v>
      </c>
      <c r="F159" s="18"/>
      <c r="G159" s="25">
        <f>IFERROR(VLOOKUP(C159,'BuscarV Stock'!$A$2:$C$478,3,0),"AAA")</f>
        <v>0</v>
      </c>
      <c r="H159" s="25">
        <f t="shared" si="1"/>
        <v>0.21</v>
      </c>
      <c r="I159" s="30">
        <f>IF('Global Precios'!H160="","",'Global Precios'!H160)</f>
        <v>7871.900826</v>
      </c>
      <c r="J159" s="82">
        <f>IF('Global Precios'!K160="","",'Global Precios'!K160)</f>
        <v>1.6</v>
      </c>
      <c r="K159" s="30">
        <f>IF('Global Precios'!Z160="Desactivado",0,IF('Global Precios'!L160="","",'Global Precios'!L160))</f>
        <v>25000</v>
      </c>
      <c r="L159" s="18"/>
      <c r="M159" s="18"/>
      <c r="N159" s="18"/>
      <c r="O159" s="18"/>
      <c r="P159" s="18"/>
      <c r="Q159" s="18"/>
      <c r="R159" s="18" t="str">
        <f>IF('Global Precios'!F160="","",'Global Precios'!F160)</f>
        <v>Medicamentos</v>
      </c>
      <c r="S159" s="18"/>
      <c r="T159" s="18" t="str">
        <f>IF('Global Precios'!E160="","",'Global Precios'!E160)</f>
        <v>Quantum</v>
      </c>
      <c r="U159" s="18"/>
      <c r="V159" s="18">
        <f t="shared" si="2"/>
        <v>0</v>
      </c>
      <c r="W159" s="18"/>
      <c r="X159" s="18"/>
      <c r="Y159" s="18"/>
      <c r="Z159" s="18"/>
      <c r="AA159" s="18"/>
      <c r="AB159" s="18">
        <f t="shared" si="3"/>
        <v>1</v>
      </c>
      <c r="AC159" s="18">
        <f t="shared" si="4"/>
        <v>1</v>
      </c>
      <c r="AD159" s="18">
        <f t="shared" si="5"/>
        <v>1</v>
      </c>
      <c r="AE159" s="18">
        <f t="shared" si="6"/>
        <v>1</v>
      </c>
    </row>
    <row r="160">
      <c r="A160" s="9">
        <f>IF(E160="","", IF('Global Precios'!B161="",0,'Global Precios'!B161))</f>
        <v>0</v>
      </c>
      <c r="B160" s="14" t="str">
        <f>IF('Global Precios'!B161="","",'Global Precios'!B161)</f>
        <v/>
      </c>
      <c r="C160" s="18">
        <f>IF('Global Precios'!A161="","",'Global Precios'!A161)</f>
        <v>165</v>
      </c>
      <c r="D160" s="18"/>
      <c r="E160" s="25" t="str">
        <f>IF('Global Precios'!D161="","",'Global Precios'!D161)</f>
        <v>Vacuna antirrabica</v>
      </c>
      <c r="F160" s="18"/>
      <c r="G160" s="25">
        <f>IFERROR(VLOOKUP(C160,'BuscarV Stock'!$A$2:$C$478,3,0),"AAA")</f>
        <v>0</v>
      </c>
      <c r="H160" s="25">
        <f t="shared" si="1"/>
        <v>0.21</v>
      </c>
      <c r="I160" s="30">
        <f>IF('Global Precios'!H161="","",'Global Precios'!H161)</f>
        <v>7165.289256</v>
      </c>
      <c r="J160" s="82">
        <f>IF('Global Precios'!K161="","",'Global Precios'!K161)</f>
        <v>1.7</v>
      </c>
      <c r="K160" s="30">
        <f>IF('Global Precios'!Z161="Desactivado",0,IF('Global Precios'!L161="","",'Global Precios'!L161))</f>
        <v>23000</v>
      </c>
      <c r="L160" s="18"/>
      <c r="M160" s="18"/>
      <c r="N160" s="18"/>
      <c r="O160" s="18"/>
      <c r="P160" s="18"/>
      <c r="Q160" s="18"/>
      <c r="R160" s="18" t="str">
        <f>IF('Global Precios'!F161="","",'Global Precios'!F161)</f>
        <v>Medicamentos</v>
      </c>
      <c r="S160" s="18"/>
      <c r="T160" s="18" t="str">
        <f>IF('Global Precios'!E161="","",'Global Precios'!E161)</f>
        <v/>
      </c>
      <c r="U160" s="18"/>
      <c r="V160" s="18">
        <f t="shared" si="2"/>
        <v>0</v>
      </c>
      <c r="W160" s="18"/>
      <c r="X160" s="18"/>
      <c r="Y160" s="18"/>
      <c r="Z160" s="18"/>
      <c r="AA160" s="18"/>
      <c r="AB160" s="18">
        <f t="shared" si="3"/>
        <v>1</v>
      </c>
      <c r="AC160" s="18">
        <f t="shared" si="4"/>
        <v>1</v>
      </c>
      <c r="AD160" s="18">
        <f t="shared" si="5"/>
        <v>1</v>
      </c>
      <c r="AE160" s="18">
        <f t="shared" si="6"/>
        <v>1</v>
      </c>
    </row>
    <row r="161">
      <c r="A161" s="9">
        <f>IF(E161="","", IF('Global Precios'!B162="",0,'Global Precios'!B162))</f>
        <v>0</v>
      </c>
      <c r="B161" s="14" t="str">
        <f>IF('Global Precios'!B162="","",'Global Precios'!B162)</f>
        <v/>
      </c>
      <c r="C161" s="18">
        <f>IF('Global Precios'!A162="","",'Global Precios'!A162)</f>
        <v>1660</v>
      </c>
      <c r="D161" s="18"/>
      <c r="E161" s="25" t="str">
        <f>IF('Global Precios'!D162="","",'Global Precios'!D162)</f>
        <v>Vacuna DHPPI (quintuple)</v>
      </c>
      <c r="F161" s="18"/>
      <c r="G161" s="25">
        <f>IFERROR(VLOOKUP(C161,'BuscarV Stock'!$A$2:$C$478,3,0),"AAA")</f>
        <v>0</v>
      </c>
      <c r="H161" s="25">
        <f t="shared" si="1"/>
        <v>0.21</v>
      </c>
      <c r="I161" s="30">
        <f>IF('Global Precios'!H162="","",'Global Precios'!H162)</f>
        <v>7933.884298</v>
      </c>
      <c r="J161" s="82">
        <f>IF('Global Precios'!K162="","",'Global Precios'!K162)</f>
        <v>1.4</v>
      </c>
      <c r="K161" s="30">
        <f>IF('Global Precios'!Z162="Desactivado",0,IF('Global Precios'!L162="","",'Global Precios'!L162))</f>
        <v>23000</v>
      </c>
      <c r="L161" s="18"/>
      <c r="M161" s="18"/>
      <c r="N161" s="18"/>
      <c r="O161" s="18"/>
      <c r="P161" s="18"/>
      <c r="Q161" s="18"/>
      <c r="R161" s="18" t="str">
        <f>IF('Global Precios'!F162="","",'Global Precios'!F162)</f>
        <v>Medicamentos</v>
      </c>
      <c r="S161" s="18"/>
      <c r="T161" s="18" t="str">
        <f>IF('Global Precios'!E162="","",'Global Precios'!E162)</f>
        <v>DHPPI</v>
      </c>
      <c r="U161" s="18"/>
      <c r="V161" s="18">
        <f t="shared" si="2"/>
        <v>0</v>
      </c>
      <c r="W161" s="18"/>
      <c r="X161" s="18"/>
      <c r="Y161" s="18"/>
      <c r="Z161" s="18"/>
      <c r="AA161" s="18"/>
      <c r="AB161" s="18">
        <f t="shared" si="3"/>
        <v>1</v>
      </c>
      <c r="AC161" s="18">
        <f t="shared" si="4"/>
        <v>1</v>
      </c>
      <c r="AD161" s="18">
        <f t="shared" si="5"/>
        <v>1</v>
      </c>
      <c r="AE161" s="18">
        <f t="shared" si="6"/>
        <v>1</v>
      </c>
    </row>
    <row r="162">
      <c r="A162" s="9">
        <f>IF(E162="","", IF('Global Precios'!B163="",0,'Global Precios'!B163))</f>
        <v>0</v>
      </c>
      <c r="B162" s="14" t="str">
        <f>IF('Global Precios'!B163="","",'Global Precios'!B163)</f>
        <v/>
      </c>
      <c r="C162" s="18">
        <f>IF('Global Precios'!A163="","",'Global Precios'!A163)</f>
        <v>166</v>
      </c>
      <c r="D162" s="18"/>
      <c r="E162" s="25" t="str">
        <f>IF('Global Precios'!D163="","",'Global Precios'!D163)</f>
        <v>Antiparasitario Alfa-C x comprimido</v>
      </c>
      <c r="F162" s="18"/>
      <c r="G162" s="25">
        <f>IFERROR(VLOOKUP(C162,'BuscarV Stock'!$A$2:$C$478,3,0),"AAA")</f>
        <v>230</v>
      </c>
      <c r="H162" s="25">
        <f t="shared" si="1"/>
        <v>0.21</v>
      </c>
      <c r="I162" s="30">
        <f>IF('Global Precios'!H163="","",'Global Precios'!H163)</f>
        <v>364.4628099</v>
      </c>
      <c r="J162" s="82">
        <f>IF('Global Precios'!K163="","",'Global Precios'!K163)</f>
        <v>1</v>
      </c>
      <c r="K162" s="30">
        <f>IF('Global Precios'!Z163="Desactivado",0,IF('Global Precios'!L163="","",'Global Precios'!L163))</f>
        <v>1000</v>
      </c>
      <c r="L162" s="18"/>
      <c r="M162" s="18"/>
      <c r="N162" s="18"/>
      <c r="O162" s="18"/>
      <c r="P162" s="18"/>
      <c r="Q162" s="18"/>
      <c r="R162" s="18" t="str">
        <f>IF('Global Precios'!F163="","",'Global Precios'!F163)</f>
        <v>Medicamentos</v>
      </c>
      <c r="S162" s="18"/>
      <c r="T162" s="18" t="str">
        <f>IF('Global Precios'!E163="","",'Global Precios'!E163)</f>
        <v/>
      </c>
      <c r="U162" s="18"/>
      <c r="V162" s="18">
        <f t="shared" si="2"/>
        <v>0</v>
      </c>
      <c r="W162" s="18"/>
      <c r="X162" s="18"/>
      <c r="Y162" s="18"/>
      <c r="Z162" s="18"/>
      <c r="AA162" s="18"/>
      <c r="AB162" s="18">
        <f t="shared" si="3"/>
        <v>1</v>
      </c>
      <c r="AC162" s="18">
        <f t="shared" si="4"/>
        <v>1</v>
      </c>
      <c r="AD162" s="18">
        <f t="shared" si="5"/>
        <v>1</v>
      </c>
      <c r="AE162" s="18">
        <f t="shared" si="6"/>
        <v>1</v>
      </c>
    </row>
    <row r="163">
      <c r="A163" s="9">
        <f>IF(E163="","", IF('Global Precios'!B164="",0,'Global Precios'!B164))</f>
        <v>0</v>
      </c>
      <c r="B163" s="14" t="str">
        <f>IF('Global Precios'!B164="","",'Global Precios'!B164)</f>
        <v/>
      </c>
      <c r="C163" s="18">
        <f>IF('Global Precios'!A164="","",'Global Precios'!A164)</f>
        <v>167</v>
      </c>
      <c r="D163" s="18"/>
      <c r="E163" s="25" t="str">
        <f>IF('Global Precios'!D164="","",'Global Precios'!D164)</f>
        <v>Interpets suspención 15 ml</v>
      </c>
      <c r="F163" s="18"/>
      <c r="G163" s="25">
        <f>IFERROR(VLOOKUP(C163,'BuscarV Stock'!$A$2:$C$478,3,0),"AAA")</f>
        <v>0</v>
      </c>
      <c r="H163" s="25">
        <f t="shared" si="1"/>
        <v>0.21</v>
      </c>
      <c r="I163" s="30">
        <f>IF('Global Precios'!H164="","",'Global Precios'!H164)</f>
        <v>1025.619835</v>
      </c>
      <c r="J163" s="82">
        <f>IF('Global Precios'!K164="","",'Global Precios'!K164)</f>
        <v>1</v>
      </c>
      <c r="K163" s="30">
        <f>IF('Global Precios'!Z164="Desactivado",0,IF('Global Precios'!L164="","",'Global Precios'!L164))</f>
        <v>0</v>
      </c>
      <c r="L163" s="18"/>
      <c r="M163" s="18"/>
      <c r="N163" s="18"/>
      <c r="O163" s="18"/>
      <c r="P163" s="18"/>
      <c r="Q163" s="18"/>
      <c r="R163" s="18" t="str">
        <f>IF('Global Precios'!F164="","",'Global Precios'!F164)</f>
        <v>Medicamentos</v>
      </c>
      <c r="S163" s="18"/>
      <c r="T163" s="18" t="str">
        <f>IF('Global Precios'!E164="","",'Global Precios'!E164)</f>
        <v/>
      </c>
      <c r="U163" s="18"/>
      <c r="V163" s="18">
        <f t="shared" si="2"/>
        <v>0</v>
      </c>
      <c r="W163" s="18"/>
      <c r="X163" s="18"/>
      <c r="Y163" s="18"/>
      <c r="Z163" s="18"/>
      <c r="AA163" s="18"/>
      <c r="AB163" s="18">
        <f t="shared" si="3"/>
        <v>1</v>
      </c>
      <c r="AC163" s="18">
        <f t="shared" si="4"/>
        <v>1</v>
      </c>
      <c r="AD163" s="18">
        <f t="shared" si="5"/>
        <v>1</v>
      </c>
      <c r="AE163" s="18">
        <f t="shared" si="6"/>
        <v>1</v>
      </c>
    </row>
    <row r="164">
      <c r="A164" s="9">
        <f>IF(E164="","", IF('Global Precios'!B165="",0,'Global Precios'!B165))</f>
        <v>0</v>
      </c>
      <c r="B164" s="14" t="str">
        <f>IF('Global Precios'!B165="","",'Global Precios'!B165)</f>
        <v/>
      </c>
      <c r="C164" s="18">
        <f>IF('Global Precios'!A165="","",'Global Precios'!A165)</f>
        <v>168</v>
      </c>
      <c r="D164" s="18"/>
      <c r="E164" s="25" t="str">
        <f>IF('Global Precios'!D165="","",'Global Precios'!D165)</f>
        <v>Golosinas palitos</v>
      </c>
      <c r="F164" s="18"/>
      <c r="G164" s="25">
        <f>IFERROR(VLOOKUP(C164,'BuscarV Stock'!$A$2:$C$478,3,0),"AAA")</f>
        <v>0</v>
      </c>
      <c r="H164" s="25">
        <f t="shared" si="1"/>
        <v>0.21</v>
      </c>
      <c r="I164" s="30">
        <f>IF('Global Precios'!H165="","",'Global Precios'!H165)</f>
        <v>6</v>
      </c>
      <c r="J164" s="82">
        <f>IF('Global Precios'!K165="","",'Global Precios'!K165)</f>
        <v>1.5</v>
      </c>
      <c r="K164" s="30">
        <f>IF('Global Precios'!Z165="Desactivado",0,IF('Global Precios'!L165="","",'Global Precios'!L165))</f>
        <v>0</v>
      </c>
      <c r="L164" s="18"/>
      <c r="M164" s="18"/>
      <c r="N164" s="18"/>
      <c r="O164" s="18"/>
      <c r="P164" s="18"/>
      <c r="Q164" s="18"/>
      <c r="R164" s="18" t="str">
        <f>IF('Global Precios'!F165="","",'Global Precios'!F165)</f>
        <v>Pet-shop</v>
      </c>
      <c r="S164" s="18"/>
      <c r="T164" s="18" t="str">
        <f>IF('Global Precios'!E165="","",'Global Precios'!E165)</f>
        <v/>
      </c>
      <c r="U164" s="18"/>
      <c r="V164" s="18">
        <f t="shared" si="2"/>
        <v>0</v>
      </c>
      <c r="W164" s="18"/>
      <c r="X164" s="18"/>
      <c r="Y164" s="18"/>
      <c r="Z164" s="18"/>
      <c r="AA164" s="18"/>
      <c r="AB164" s="18">
        <f t="shared" si="3"/>
        <v>1</v>
      </c>
      <c r="AC164" s="18">
        <f t="shared" si="4"/>
        <v>1</v>
      </c>
      <c r="AD164" s="18">
        <f t="shared" si="5"/>
        <v>1</v>
      </c>
      <c r="AE164" s="18">
        <f t="shared" si="6"/>
        <v>1</v>
      </c>
    </row>
    <row r="165">
      <c r="A165" s="9">
        <f>IF(E165="","", IF('Global Precios'!B166="",0,'Global Precios'!B166))</f>
        <v>0</v>
      </c>
      <c r="B165" s="14" t="str">
        <f>IF('Global Precios'!B166="","",'Global Precios'!B166)</f>
        <v/>
      </c>
      <c r="C165" s="18">
        <f>IF('Global Precios'!A166="","",'Global Precios'!A166)</f>
        <v>169</v>
      </c>
      <c r="D165" s="18"/>
      <c r="E165" s="25" t="str">
        <f>IF('Global Precios'!D166="","",'Global Precios'!D166)</f>
        <v>Bandeja + palita</v>
      </c>
      <c r="F165" s="18"/>
      <c r="G165" s="25">
        <f>IFERROR(VLOOKUP(C165,'BuscarV Stock'!$A$2:$C$478,3,0),"AAA")</f>
        <v>1</v>
      </c>
      <c r="H165" s="25">
        <f t="shared" si="1"/>
        <v>0.21</v>
      </c>
      <c r="I165" s="30">
        <f>IF('Global Precios'!H166="","",'Global Precios'!H166)</f>
        <v>471</v>
      </c>
      <c r="J165" s="82">
        <f>IF('Global Precios'!K166="","",'Global Precios'!K166)</f>
        <v>1</v>
      </c>
      <c r="K165" s="30">
        <f>IF('Global Precios'!Z166="Desactivado",0,IF('Global Precios'!L166="","",'Global Precios'!L166))</f>
        <v>5000</v>
      </c>
      <c r="L165" s="18"/>
      <c r="M165" s="18"/>
      <c r="N165" s="18"/>
      <c r="O165" s="18"/>
      <c r="P165" s="18"/>
      <c r="Q165" s="18"/>
      <c r="R165" s="18" t="str">
        <f>IF('Global Precios'!F166="","",'Global Precios'!F166)</f>
        <v>Pet-shop</v>
      </c>
      <c r="S165" s="18"/>
      <c r="T165" s="18" t="str">
        <f>IF('Global Precios'!E166="","",'Global Precios'!E166)</f>
        <v/>
      </c>
      <c r="U165" s="18"/>
      <c r="V165" s="18">
        <f t="shared" si="2"/>
        <v>0</v>
      </c>
      <c r="W165" s="18"/>
      <c r="X165" s="18"/>
      <c r="Y165" s="18"/>
      <c r="Z165" s="18"/>
      <c r="AA165" s="18"/>
      <c r="AB165" s="18">
        <f t="shared" si="3"/>
        <v>1</v>
      </c>
      <c r="AC165" s="18">
        <f t="shared" si="4"/>
        <v>1</v>
      </c>
      <c r="AD165" s="18">
        <f t="shared" si="5"/>
        <v>1</v>
      </c>
      <c r="AE165" s="18">
        <f t="shared" si="6"/>
        <v>1</v>
      </c>
    </row>
    <row r="166">
      <c r="A166" s="9">
        <f>IF(E166="","", IF('Global Precios'!B167="",0,'Global Precios'!B167))</f>
        <v>0</v>
      </c>
      <c r="B166" s="14" t="str">
        <f>IF('Global Precios'!B167="","",'Global Precios'!B167)</f>
        <v/>
      </c>
      <c r="C166" s="18">
        <f>IF('Global Precios'!A167="","",'Global Precios'!A167)</f>
        <v>170</v>
      </c>
      <c r="D166" s="18"/>
      <c r="E166" s="25" t="str">
        <f>IF('Global Precios'!D167="","",'Global Precios'!D167)</f>
        <v>Bandeja  </v>
      </c>
      <c r="F166" s="18"/>
      <c r="G166" s="25">
        <f>IFERROR(VLOOKUP(C166,'BuscarV Stock'!$A$2:$C$478,3,0),"AAA")</f>
        <v>1</v>
      </c>
      <c r="H166" s="25">
        <f t="shared" si="1"/>
        <v>0.21</v>
      </c>
      <c r="I166" s="30">
        <f>IF('Global Precios'!H167="","",'Global Precios'!H167)</f>
        <v>336</v>
      </c>
      <c r="J166" s="82">
        <f>IF('Global Precios'!K167="","",'Global Precios'!K167)</f>
        <v>1</v>
      </c>
      <c r="K166" s="30">
        <f>IF('Global Precios'!Z167="Desactivado",0,IF('Global Precios'!L167="","",'Global Precios'!L167))</f>
        <v>3500</v>
      </c>
      <c r="L166" s="18"/>
      <c r="M166" s="18"/>
      <c r="N166" s="18"/>
      <c r="O166" s="18"/>
      <c r="P166" s="18"/>
      <c r="Q166" s="18"/>
      <c r="R166" s="18" t="str">
        <f>IF('Global Precios'!F167="","",'Global Precios'!F167)</f>
        <v>Pet-shop</v>
      </c>
      <c r="S166" s="18"/>
      <c r="T166" s="18" t="str">
        <f>IF('Global Precios'!E167="","",'Global Precios'!E167)</f>
        <v/>
      </c>
      <c r="U166" s="18"/>
      <c r="V166" s="18">
        <f t="shared" si="2"/>
        <v>0</v>
      </c>
      <c r="W166" s="18"/>
      <c r="X166" s="18"/>
      <c r="Y166" s="18"/>
      <c r="Z166" s="18"/>
      <c r="AA166" s="18"/>
      <c r="AB166" s="18">
        <f t="shared" si="3"/>
        <v>1</v>
      </c>
      <c r="AC166" s="18">
        <f t="shared" si="4"/>
        <v>1</v>
      </c>
      <c r="AD166" s="18">
        <f t="shared" si="5"/>
        <v>1</v>
      </c>
      <c r="AE166" s="18">
        <f t="shared" si="6"/>
        <v>1</v>
      </c>
    </row>
    <row r="167">
      <c r="A167" s="9">
        <f>IF(E167="","", IF('Global Precios'!B168="",0,'Global Precios'!B168))</f>
        <v>0</v>
      </c>
      <c r="B167" s="14" t="str">
        <f>IF('Global Precios'!B168="","",'Global Precios'!B168)</f>
        <v/>
      </c>
      <c r="C167" s="18">
        <f>IF('Global Precios'!A168="","",'Global Precios'!A168)</f>
        <v>171</v>
      </c>
      <c r="D167" s="18"/>
      <c r="E167" s="25" t="str">
        <f>IF('Global Precios'!D168="","",'Global Precios'!D168)</f>
        <v>Pretal gato</v>
      </c>
      <c r="F167" s="18"/>
      <c r="G167" s="25">
        <f>IFERROR(VLOOKUP(C167,'BuscarV Stock'!$A$2:$C$478,3,0),"AAA")</f>
        <v>1</v>
      </c>
      <c r="H167" s="25">
        <f t="shared" si="1"/>
        <v>0.21</v>
      </c>
      <c r="I167" s="30">
        <f>IF('Global Precios'!H168="","",'Global Precios'!H168)</f>
        <v>696</v>
      </c>
      <c r="J167" s="82">
        <f>IF('Global Precios'!K168="","",'Global Precios'!K168)</f>
        <v>1</v>
      </c>
      <c r="K167" s="30">
        <f>IF('Global Precios'!Z168="Desactivado",0,IF('Global Precios'!L168="","",'Global Precios'!L168))</f>
        <v>4500</v>
      </c>
      <c r="L167" s="18"/>
      <c r="M167" s="18"/>
      <c r="N167" s="18"/>
      <c r="O167" s="18"/>
      <c r="P167" s="18"/>
      <c r="Q167" s="18"/>
      <c r="R167" s="18" t="str">
        <f>IF('Global Precios'!F168="","",'Global Precios'!F168)</f>
        <v>Pet-shop</v>
      </c>
      <c r="S167" s="18"/>
      <c r="T167" s="18" t="str">
        <f>IF('Global Precios'!E168="","",'Global Precios'!E168)</f>
        <v/>
      </c>
      <c r="U167" s="18"/>
      <c r="V167" s="18">
        <f t="shared" si="2"/>
        <v>0</v>
      </c>
      <c r="W167" s="18"/>
      <c r="X167" s="18"/>
      <c r="Y167" s="18"/>
      <c r="Z167" s="18"/>
      <c r="AA167" s="18"/>
      <c r="AB167" s="18">
        <f t="shared" si="3"/>
        <v>1</v>
      </c>
      <c r="AC167" s="18">
        <f t="shared" si="4"/>
        <v>1</v>
      </c>
      <c r="AD167" s="18">
        <f t="shared" si="5"/>
        <v>1</v>
      </c>
      <c r="AE167" s="18">
        <f t="shared" si="6"/>
        <v>1</v>
      </c>
    </row>
    <row r="168">
      <c r="A168" s="9">
        <f>IF(E168="","", IF('Global Precios'!B169="",0,'Global Precios'!B169))</f>
        <v>0</v>
      </c>
      <c r="B168" s="14" t="str">
        <f>IF('Global Precios'!B169="","",'Global Precios'!B169)</f>
        <v/>
      </c>
      <c r="C168" s="18">
        <f>IF('Global Precios'!A169="","",'Global Precios'!A169)</f>
        <v>172</v>
      </c>
      <c r="D168" s="18"/>
      <c r="E168" s="25" t="str">
        <f>IF('Global Precios'!D169="","",'Global Precios'!D169)</f>
        <v>Juguete chico gato</v>
      </c>
      <c r="F168" s="18"/>
      <c r="G168" s="25">
        <f>IFERROR(VLOOKUP(C168,'BuscarV Stock'!$A$2:$C$478,3,0),"AAA")</f>
        <v>0</v>
      </c>
      <c r="H168" s="25">
        <f t="shared" si="1"/>
        <v>0.21</v>
      </c>
      <c r="I168" s="30">
        <f>IF('Global Precios'!H169="","",'Global Precios'!H169)</f>
        <v>269</v>
      </c>
      <c r="J168" s="82">
        <f>IF('Global Precios'!K169="","",'Global Precios'!K169)</f>
        <v>1</v>
      </c>
      <c r="K168" s="30">
        <f>IF('Global Precios'!Z169="Desactivado",0,IF('Global Precios'!L169="","",'Global Precios'!L169))</f>
        <v>0</v>
      </c>
      <c r="L168" s="18"/>
      <c r="M168" s="18"/>
      <c r="N168" s="18"/>
      <c r="O168" s="18"/>
      <c r="P168" s="18"/>
      <c r="Q168" s="18"/>
      <c r="R168" s="18" t="str">
        <f>IF('Global Precios'!F169="","",'Global Precios'!F169)</f>
        <v>Pet-shop</v>
      </c>
      <c r="S168" s="18"/>
      <c r="T168" s="18" t="str">
        <f>IF('Global Precios'!E169="","",'Global Precios'!E169)</f>
        <v/>
      </c>
      <c r="U168" s="18"/>
      <c r="V168" s="18">
        <f t="shared" si="2"/>
        <v>0</v>
      </c>
      <c r="W168" s="18"/>
      <c r="X168" s="18"/>
      <c r="Y168" s="18"/>
      <c r="Z168" s="18"/>
      <c r="AA168" s="18"/>
      <c r="AB168" s="18">
        <f t="shared" si="3"/>
        <v>1</v>
      </c>
      <c r="AC168" s="18">
        <f t="shared" si="4"/>
        <v>1</v>
      </c>
      <c r="AD168" s="18">
        <f t="shared" si="5"/>
        <v>1</v>
      </c>
      <c r="AE168" s="18">
        <f t="shared" si="6"/>
        <v>1</v>
      </c>
    </row>
    <row r="169">
      <c r="A169" s="9">
        <f>IF(E169="","", IF('Global Precios'!B170="",0,'Global Precios'!B170))</f>
        <v>0</v>
      </c>
      <c r="B169" s="14" t="str">
        <f>IF('Global Precios'!B170="","",'Global Precios'!B170)</f>
        <v/>
      </c>
      <c r="C169" s="18">
        <f>IF('Global Precios'!A170="","",'Global Precios'!A170)</f>
        <v>173</v>
      </c>
      <c r="D169" s="18"/>
      <c r="E169" s="25" t="str">
        <f>IF('Global Precios'!D170="","",'Global Precios'!D170)</f>
        <v>Comedero chico</v>
      </c>
      <c r="F169" s="18"/>
      <c r="G169" s="25">
        <f>IFERROR(VLOOKUP(C169,'BuscarV Stock'!$A$2:$C$478,3,0),"AAA")</f>
        <v>9</v>
      </c>
      <c r="H169" s="25">
        <f t="shared" si="1"/>
        <v>0.21</v>
      </c>
      <c r="I169" s="30">
        <f>IF('Global Precios'!H170="","",'Global Precios'!H170)</f>
        <v>97</v>
      </c>
      <c r="J169" s="82">
        <f>IF('Global Precios'!K170="","",'Global Precios'!K170)</f>
        <v>1</v>
      </c>
      <c r="K169" s="30">
        <f>IF('Global Precios'!Z170="Desactivado",0,IF('Global Precios'!L170="","",'Global Precios'!L170))</f>
        <v>1000</v>
      </c>
      <c r="L169" s="18"/>
      <c r="M169" s="18"/>
      <c r="N169" s="18"/>
      <c r="O169" s="18"/>
      <c r="P169" s="18"/>
      <c r="Q169" s="18"/>
      <c r="R169" s="18" t="str">
        <f>IF('Global Precios'!F170="","",'Global Precios'!F170)</f>
        <v>Pet-shop</v>
      </c>
      <c r="S169" s="18"/>
      <c r="T169" s="18" t="str">
        <f>IF('Global Precios'!E170="","",'Global Precios'!E170)</f>
        <v/>
      </c>
      <c r="U169" s="18"/>
      <c r="V169" s="18">
        <f t="shared" si="2"/>
        <v>0</v>
      </c>
      <c r="W169" s="18"/>
      <c r="X169" s="18"/>
      <c r="Y169" s="18"/>
      <c r="Z169" s="18"/>
      <c r="AA169" s="18"/>
      <c r="AB169" s="18">
        <f t="shared" si="3"/>
        <v>1</v>
      </c>
      <c r="AC169" s="18">
        <f t="shared" si="4"/>
        <v>1</v>
      </c>
      <c r="AD169" s="18">
        <f t="shared" si="5"/>
        <v>1</v>
      </c>
      <c r="AE169" s="18">
        <f t="shared" si="6"/>
        <v>1</v>
      </c>
    </row>
    <row r="170">
      <c r="A170" s="9">
        <f>IF(E170="","", IF('Global Precios'!B171="",0,'Global Precios'!B171))</f>
        <v>0</v>
      </c>
      <c r="B170" s="14" t="str">
        <f>IF('Global Precios'!B171="","",'Global Precios'!B171)</f>
        <v/>
      </c>
      <c r="C170" s="18">
        <f>IF('Global Precios'!A171="","",'Global Precios'!A171)</f>
        <v>174</v>
      </c>
      <c r="D170" s="18"/>
      <c r="E170" s="25" t="str">
        <f>IF('Global Precios'!D171="","",'Global Precios'!D171)</f>
        <v>EXTRACCION SANGUÍNEA,TOMA DE MUESTRAS</v>
      </c>
      <c r="F170" s="18"/>
      <c r="G170" s="25">
        <f>IFERROR(VLOOKUP(C170,'BuscarV Stock'!$A$2:$C$478,3,0),"AAA")</f>
        <v>0</v>
      </c>
      <c r="H170" s="25">
        <f t="shared" si="1"/>
        <v>0.21</v>
      </c>
      <c r="I170" s="30">
        <f>IF('Global Precios'!H171="","",'Global Precios'!H171)</f>
        <v>3752.892562</v>
      </c>
      <c r="J170" s="18" t="str">
        <f>IF('Global Precios'!K171="","",'Global Precios'!K171)</f>
        <v/>
      </c>
      <c r="K170" s="30">
        <f>IF('Global Precios'!Z171="Desactivado",0,IF('Global Precios'!L171="","",'Global Precios'!L171))</f>
        <v>4500</v>
      </c>
      <c r="L170" s="18"/>
      <c r="M170" s="18"/>
      <c r="N170" s="18"/>
      <c r="O170" s="18"/>
      <c r="P170" s="18"/>
      <c r="Q170" s="18"/>
      <c r="R170" s="18" t="str">
        <f>IF('Global Precios'!F171="","",'Global Precios'!F171)</f>
        <v>Clinica</v>
      </c>
      <c r="S170" s="18"/>
      <c r="T170" s="18" t="str">
        <f>IF('Global Precios'!E171="","",'Global Precios'!E171)</f>
        <v/>
      </c>
      <c r="U170" s="18"/>
      <c r="V170" s="18">
        <f t="shared" si="2"/>
        <v>0</v>
      </c>
      <c r="W170" s="18"/>
      <c r="X170" s="18"/>
      <c r="Y170" s="18"/>
      <c r="Z170" s="18"/>
      <c r="AA170" s="18"/>
      <c r="AB170" s="18">
        <f t="shared" si="3"/>
        <v>1</v>
      </c>
      <c r="AC170" s="18">
        <f t="shared" si="4"/>
        <v>1</v>
      </c>
      <c r="AD170" s="18">
        <f t="shared" si="5"/>
        <v>1</v>
      </c>
      <c r="AE170" s="18">
        <f t="shared" si="6"/>
        <v>1</v>
      </c>
    </row>
    <row r="171">
      <c r="A171" s="9">
        <f>IF(E171="","", IF('Global Precios'!B172="",0,'Global Precios'!B172))</f>
        <v>0</v>
      </c>
      <c r="B171" s="14" t="str">
        <f>IF('Global Precios'!B172="","",'Global Precios'!B172)</f>
        <v/>
      </c>
      <c r="C171" s="18">
        <f>IF('Global Precios'!A172="","",'Global Precios'!A172)</f>
        <v>175</v>
      </c>
      <c r="D171" s="18"/>
      <c r="E171" s="25" t="str">
        <f>IF('Global Precios'!D172="","",'Global Precios'!D172)</f>
        <v>SUELTO X 1 KG - EXCELLENT PUPPY(r.med. y grandes) </v>
      </c>
      <c r="F171" s="18"/>
      <c r="G171" s="25">
        <f>IFERROR(VLOOKUP(C171,'BuscarV Stock'!$A$2:$C$478,3,0),"AAA")</f>
        <v>2</v>
      </c>
      <c r="H171" s="25">
        <f t="shared" si="1"/>
        <v>0.21</v>
      </c>
      <c r="I171" s="30">
        <f>IF('Global Precios'!H172="","",'Global Precios'!H172)</f>
        <v>3327.823691</v>
      </c>
      <c r="J171" s="82">
        <f>IF('Global Precios'!K172="","",'Global Precios'!K172)</f>
        <v>0.4</v>
      </c>
      <c r="K171" s="30">
        <f>IF('Global Precios'!Z172="Desactivado",0,IF('Global Precios'!L172="","",'Global Precios'!L172))</f>
        <v>0</v>
      </c>
      <c r="L171" s="18"/>
      <c r="M171" s="18"/>
      <c r="N171" s="18"/>
      <c r="O171" s="18"/>
      <c r="P171" s="18"/>
      <c r="Q171" s="18"/>
      <c r="R171" s="18" t="str">
        <f>IF('Global Precios'!F172="","",'Global Precios'!F172)</f>
        <v>Alimentos</v>
      </c>
      <c r="S171" s="18"/>
      <c r="T171" s="18" t="str">
        <f>IF('Global Precios'!E172="","",'Global Precios'!E172)</f>
        <v>Excellent</v>
      </c>
      <c r="U171" s="18"/>
      <c r="V171" s="18">
        <f t="shared" si="2"/>
        <v>0</v>
      </c>
      <c r="W171" s="18"/>
      <c r="X171" s="18"/>
      <c r="Y171" s="18"/>
      <c r="Z171" s="18"/>
      <c r="AA171" s="18"/>
      <c r="AB171" s="18">
        <f t="shared" si="3"/>
        <v>1</v>
      </c>
      <c r="AC171" s="18">
        <f t="shared" si="4"/>
        <v>1</v>
      </c>
      <c r="AD171" s="18">
        <f t="shared" si="5"/>
        <v>1</v>
      </c>
      <c r="AE171" s="18">
        <f t="shared" si="6"/>
        <v>1</v>
      </c>
    </row>
    <row r="172">
      <c r="A172" s="9">
        <f>IF(E172="","", IF('Global Precios'!B173="",0,'Global Precios'!B173))</f>
        <v>0</v>
      </c>
      <c r="B172" s="14" t="str">
        <f>IF('Global Precios'!B173="","",'Global Precios'!B173)</f>
        <v/>
      </c>
      <c r="C172" s="18">
        <f>IF('Global Precios'!A173="","",'Global Precios'!A173)</f>
        <v>176</v>
      </c>
      <c r="D172" s="18"/>
      <c r="E172" s="25" t="str">
        <f>IF('Global Precios'!D173="","",'Global Precios'!D173)</f>
        <v>SUELTO X 1 KG - EXCELLENT ADULT.(r. med y grandes)</v>
      </c>
      <c r="F172" s="18"/>
      <c r="G172" s="25">
        <f>IFERROR(VLOOKUP(C172,'BuscarV Stock'!$A$2:$C$478,3,0),"AAA")</f>
        <v>0</v>
      </c>
      <c r="H172" s="25">
        <f t="shared" si="1"/>
        <v>0.21</v>
      </c>
      <c r="I172" s="30">
        <f>IF('Global Precios'!H173="","",'Global Precios'!H173)</f>
        <v>1189.311295</v>
      </c>
      <c r="J172" s="82">
        <f>IF('Global Precios'!K173="","",'Global Precios'!K173)</f>
        <v>0.4</v>
      </c>
      <c r="K172" s="30">
        <f>IF('Global Precios'!Z173="Desactivado",0,IF('Global Precios'!L173="","",'Global Precios'!L173))</f>
        <v>0</v>
      </c>
      <c r="L172" s="18"/>
      <c r="M172" s="18"/>
      <c r="N172" s="18"/>
      <c r="O172" s="18"/>
      <c r="P172" s="18"/>
      <c r="Q172" s="18"/>
      <c r="R172" s="18" t="str">
        <f>IF('Global Precios'!F173="","",'Global Precios'!F173)</f>
        <v>Alimentos</v>
      </c>
      <c r="S172" s="18"/>
      <c r="T172" s="18" t="str">
        <f>IF('Global Precios'!E173="","",'Global Precios'!E173)</f>
        <v>Excellent</v>
      </c>
      <c r="U172" s="18"/>
      <c r="V172" s="18">
        <f t="shared" si="2"/>
        <v>0</v>
      </c>
      <c r="W172" s="18"/>
      <c r="X172" s="18"/>
      <c r="Y172" s="18"/>
      <c r="Z172" s="18"/>
      <c r="AA172" s="18"/>
      <c r="AB172" s="18">
        <f t="shared" si="3"/>
        <v>1</v>
      </c>
      <c r="AC172" s="18">
        <f t="shared" si="4"/>
        <v>1</v>
      </c>
      <c r="AD172" s="18">
        <f t="shared" si="5"/>
        <v>1</v>
      </c>
      <c r="AE172" s="18">
        <f t="shared" si="6"/>
        <v>1</v>
      </c>
    </row>
    <row r="173">
      <c r="A173" s="9">
        <f>IF(E173="","", IF('Global Precios'!B174="",0,'Global Precios'!B174))</f>
        <v>0</v>
      </c>
      <c r="B173" s="14" t="str">
        <f>IF('Global Precios'!B174="","",'Global Precios'!B174)</f>
        <v/>
      </c>
      <c r="C173" s="18">
        <f>IF('Global Precios'!A174="","",'Global Precios'!A174)</f>
        <v>177</v>
      </c>
      <c r="D173" s="18"/>
      <c r="E173" s="25" t="str">
        <f>IF('Global Precios'!D174="","",'Global Precios'!D174)</f>
        <v>SUELTO X 1 KG - EXCELLENT KITTEN</v>
      </c>
      <c r="F173" s="18"/>
      <c r="G173" s="25">
        <f>IFERROR(VLOOKUP(C173,'BuscarV Stock'!$A$2:$C$478,3,0),"AAA")</f>
        <v>3</v>
      </c>
      <c r="H173" s="25">
        <f t="shared" si="1"/>
        <v>0.21</v>
      </c>
      <c r="I173" s="30">
        <f>IF('Global Precios'!H174="","",'Global Precios'!H174)</f>
        <v>7314.049587</v>
      </c>
      <c r="J173" s="82">
        <f>IF('Global Precios'!K174="","",'Global Precios'!K174)</f>
        <v>0.4</v>
      </c>
      <c r="K173" s="30">
        <f>IF('Global Precios'!Z174="Desactivado",0,IF('Global Precios'!L174="","",'Global Precios'!L174))</f>
        <v>12000</v>
      </c>
      <c r="L173" s="18"/>
      <c r="M173" s="18"/>
      <c r="N173" s="18"/>
      <c r="O173" s="18"/>
      <c r="P173" s="18"/>
      <c r="Q173" s="18"/>
      <c r="R173" s="18" t="str">
        <f>IF('Global Precios'!F174="","",'Global Precios'!F174)</f>
        <v>Alimentos</v>
      </c>
      <c r="S173" s="18"/>
      <c r="T173" s="18" t="str">
        <f>IF('Global Precios'!E174="","",'Global Precios'!E174)</f>
        <v>Excellent</v>
      </c>
      <c r="U173" s="18"/>
      <c r="V173" s="18">
        <f t="shared" si="2"/>
        <v>0</v>
      </c>
      <c r="W173" s="18"/>
      <c r="X173" s="18"/>
      <c r="Y173" s="18"/>
      <c r="Z173" s="18"/>
      <c r="AA173" s="18"/>
      <c r="AB173" s="18">
        <f t="shared" si="3"/>
        <v>1</v>
      </c>
      <c r="AC173" s="18">
        <f t="shared" si="4"/>
        <v>1</v>
      </c>
      <c r="AD173" s="18">
        <f t="shared" si="5"/>
        <v>1</v>
      </c>
      <c r="AE173" s="18">
        <f t="shared" si="6"/>
        <v>1</v>
      </c>
    </row>
    <row r="174">
      <c r="A174" s="9">
        <f>IF(E174="","", IF('Global Precios'!B175="",0,'Global Precios'!B175))</f>
        <v>0</v>
      </c>
      <c r="B174" s="14" t="str">
        <f>IF('Global Precios'!B175="","",'Global Precios'!B175)</f>
        <v/>
      </c>
      <c r="C174" s="18">
        <f>IF('Global Precios'!A175="","",'Global Precios'!A175)</f>
        <v>178</v>
      </c>
      <c r="D174" s="18"/>
      <c r="E174" s="25" t="str">
        <f>IF('Global Precios'!D175="","",'Global Precios'!D175)</f>
        <v>SUELTO X 1 KG - EXCELLENT ADULT CAT</v>
      </c>
      <c r="F174" s="18"/>
      <c r="G174" s="25">
        <f>IFERROR(VLOOKUP(C174,'BuscarV Stock'!$A$2:$C$478,3,0),"AAA")</f>
        <v>8</v>
      </c>
      <c r="H174" s="25">
        <f t="shared" si="1"/>
        <v>0.21</v>
      </c>
      <c r="I174" s="30">
        <f>IF('Global Precios'!H175="","",'Global Precios'!H175)</f>
        <v>6611.570248</v>
      </c>
      <c r="J174" s="82">
        <f>IF('Global Precios'!K175="","",'Global Precios'!K175)</f>
        <v>0.4</v>
      </c>
      <c r="K174" s="30">
        <f>IF('Global Precios'!Z175="Desactivado",0,IF('Global Precios'!L175="","",'Global Precios'!L175))</f>
        <v>10000</v>
      </c>
      <c r="L174" s="18"/>
      <c r="M174" s="18"/>
      <c r="N174" s="18"/>
      <c r="O174" s="18"/>
      <c r="P174" s="18"/>
      <c r="Q174" s="18"/>
      <c r="R174" s="18" t="str">
        <f>IF('Global Precios'!F175="","",'Global Precios'!F175)</f>
        <v>Alimentos</v>
      </c>
      <c r="S174" s="18"/>
      <c r="T174" s="18" t="str">
        <f>IF('Global Precios'!E175="","",'Global Precios'!E175)</f>
        <v>Excellent</v>
      </c>
      <c r="U174" s="18"/>
      <c r="V174" s="18">
        <f t="shared" si="2"/>
        <v>0</v>
      </c>
      <c r="W174" s="18"/>
      <c r="X174" s="18"/>
      <c r="Y174" s="18"/>
      <c r="Z174" s="18"/>
      <c r="AA174" s="18"/>
      <c r="AB174" s="18">
        <f t="shared" si="3"/>
        <v>1</v>
      </c>
      <c r="AC174" s="18">
        <f t="shared" si="4"/>
        <v>1</v>
      </c>
      <c r="AD174" s="18">
        <f t="shared" si="5"/>
        <v>1</v>
      </c>
      <c r="AE174" s="18">
        <f t="shared" si="6"/>
        <v>1</v>
      </c>
    </row>
    <row r="175">
      <c r="A175" s="9">
        <f>IF(E175="","", IF('Global Precios'!B176="",0,'Global Precios'!B176))</f>
        <v>0</v>
      </c>
      <c r="B175" s="14" t="str">
        <f>IF('Global Precios'!B176="","",'Global Precios'!B176)</f>
        <v/>
      </c>
      <c r="C175" s="18">
        <f>IF('Global Precios'!A176="","",'Global Precios'!A176)</f>
        <v>179</v>
      </c>
      <c r="D175" s="18"/>
      <c r="E175" s="25" t="str">
        <f>IF('Global Precios'!D176="","",'Global Precios'!D176)</f>
        <v>SUELTO X 1 KG - YENU ADULTO(todos los t.)</v>
      </c>
      <c r="F175" s="18"/>
      <c r="G175" s="25">
        <f>IFERROR(VLOOKUP(C175,'BuscarV Stock'!$A$2:$C$478,3,0),"AAA")</f>
        <v>0</v>
      </c>
      <c r="H175" s="25">
        <f t="shared" si="1"/>
        <v>0.21</v>
      </c>
      <c r="I175" s="30">
        <f>IF('Global Precios'!H176="","",'Global Precios'!H176)</f>
        <v>177.442878</v>
      </c>
      <c r="J175" s="82">
        <f>IF('Global Precios'!K176="","",'Global Precios'!K176)</f>
        <v>0.4</v>
      </c>
      <c r="K175" s="30">
        <f>IF('Global Precios'!Z176="Desactivado",0,IF('Global Precios'!L176="","",'Global Precios'!L176))</f>
        <v>0</v>
      </c>
      <c r="L175" s="18"/>
      <c r="M175" s="18"/>
      <c r="N175" s="18"/>
      <c r="O175" s="18"/>
      <c r="P175" s="18"/>
      <c r="Q175" s="18"/>
      <c r="R175" s="18" t="str">
        <f>IF('Global Precios'!F176="","",'Global Precios'!F176)</f>
        <v>Alimentos</v>
      </c>
      <c r="S175" s="18"/>
      <c r="T175" s="18" t="str">
        <f>IF('Global Precios'!E176="","",'Global Precios'!E176)</f>
        <v>YENU</v>
      </c>
      <c r="U175" s="18"/>
      <c r="V175" s="18">
        <f t="shared" si="2"/>
        <v>0</v>
      </c>
      <c r="W175" s="18"/>
      <c r="X175" s="18"/>
      <c r="Y175" s="18"/>
      <c r="Z175" s="18"/>
      <c r="AA175" s="18"/>
      <c r="AB175" s="18">
        <f t="shared" si="3"/>
        <v>1</v>
      </c>
      <c r="AC175" s="18">
        <f t="shared" si="4"/>
        <v>1</v>
      </c>
      <c r="AD175" s="18">
        <f t="shared" si="5"/>
        <v>1</v>
      </c>
      <c r="AE175" s="18">
        <f t="shared" si="6"/>
        <v>1</v>
      </c>
    </row>
    <row r="176">
      <c r="A176" s="9">
        <f>IF(E176="","", IF('Global Precios'!B177="",0,'Global Precios'!B177))</f>
        <v>0</v>
      </c>
      <c r="B176" s="14" t="str">
        <f>IF('Global Precios'!B177="","",'Global Precios'!B177)</f>
        <v/>
      </c>
      <c r="C176" s="18">
        <f>IF('Global Precios'!A177="","",'Global Precios'!A177)</f>
        <v>180</v>
      </c>
      <c r="D176" s="18"/>
      <c r="E176" s="25" t="str">
        <f>IF('Global Precios'!D177="","",'Global Precios'!D177)</f>
        <v>SUELTO X 1 KG - YENU CACHORROS(todos los t)</v>
      </c>
      <c r="F176" s="18"/>
      <c r="G176" s="25">
        <f>IFERROR(VLOOKUP(C176,'BuscarV Stock'!$A$2:$C$478,3,0),"AAA")</f>
        <v>0</v>
      </c>
      <c r="H176" s="25">
        <f t="shared" si="1"/>
        <v>0.21</v>
      </c>
      <c r="I176" s="30">
        <f>IF('Global Precios'!H177="","",'Global Precios'!H177)</f>
        <v>219.0082645</v>
      </c>
      <c r="J176" s="82">
        <f>IF('Global Precios'!K177="","",'Global Precios'!K177)</f>
        <v>0.4</v>
      </c>
      <c r="K176" s="30">
        <f>IF('Global Precios'!Z177="Desactivado",0,IF('Global Precios'!L177="","",'Global Precios'!L177))</f>
        <v>0</v>
      </c>
      <c r="L176" s="18"/>
      <c r="M176" s="18"/>
      <c r="N176" s="18"/>
      <c r="O176" s="18"/>
      <c r="P176" s="18"/>
      <c r="Q176" s="18"/>
      <c r="R176" s="18" t="str">
        <f>IF('Global Precios'!F177="","",'Global Precios'!F177)</f>
        <v>Alimentos</v>
      </c>
      <c r="S176" s="18"/>
      <c r="T176" s="18" t="str">
        <f>IF('Global Precios'!E177="","",'Global Precios'!E177)</f>
        <v>YENU</v>
      </c>
      <c r="U176" s="18"/>
      <c r="V176" s="18">
        <f t="shared" si="2"/>
        <v>0</v>
      </c>
      <c r="W176" s="18"/>
      <c r="X176" s="18"/>
      <c r="Y176" s="18"/>
      <c r="Z176" s="18"/>
      <c r="AA176" s="18"/>
      <c r="AB176" s="18">
        <f t="shared" si="3"/>
        <v>1</v>
      </c>
      <c r="AC176" s="18">
        <f t="shared" si="4"/>
        <v>1</v>
      </c>
      <c r="AD176" s="18">
        <f t="shared" si="5"/>
        <v>1</v>
      </c>
      <c r="AE176" s="18">
        <f t="shared" si="6"/>
        <v>1</v>
      </c>
    </row>
    <row r="177">
      <c r="A177" s="9">
        <f>IF(E177="","", IF('Global Precios'!B178="",0,'Global Precios'!B178))</f>
        <v>0</v>
      </c>
      <c r="B177" s="14" t="str">
        <f>IF('Global Precios'!B178="","",'Global Precios'!B178)</f>
        <v/>
      </c>
      <c r="C177" s="18">
        <f>IF('Global Precios'!A178="","",'Global Precios'!A178)</f>
        <v>181</v>
      </c>
      <c r="D177" s="18"/>
      <c r="E177" s="25" t="str">
        <f>IF('Global Precios'!D178="","",'Global Precios'!D178)</f>
        <v>SUELTO X 1 KG - YENU GATOS ADULTOS</v>
      </c>
      <c r="F177" s="18"/>
      <c r="G177" s="25">
        <f>IFERROR(VLOOKUP(C177,'BuscarV Stock'!$A$2:$C$478,3,0),"AAA")</f>
        <v>0</v>
      </c>
      <c r="H177" s="25">
        <f t="shared" si="1"/>
        <v>0.21</v>
      </c>
      <c r="I177" s="30">
        <f>IF('Global Precios'!H178="","",'Global Precios'!H178)</f>
        <v>325.0688705</v>
      </c>
      <c r="J177" s="82">
        <f>IF('Global Precios'!K178="","",'Global Precios'!K178)</f>
        <v>0.4</v>
      </c>
      <c r="K177" s="30">
        <f>IF('Global Precios'!Z178="Desactivado",0,IF('Global Precios'!L178="","",'Global Precios'!L178))</f>
        <v>0</v>
      </c>
      <c r="L177" s="18"/>
      <c r="M177" s="18"/>
      <c r="N177" s="18"/>
      <c r="O177" s="18"/>
      <c r="P177" s="18"/>
      <c r="Q177" s="18"/>
      <c r="R177" s="18" t="str">
        <f>IF('Global Precios'!F178="","",'Global Precios'!F178)</f>
        <v>Alimentos</v>
      </c>
      <c r="S177" s="18"/>
      <c r="T177" s="18" t="str">
        <f>IF('Global Precios'!E178="","",'Global Precios'!E178)</f>
        <v>YENU</v>
      </c>
      <c r="U177" s="18"/>
      <c r="V177" s="18">
        <f t="shared" si="2"/>
        <v>0</v>
      </c>
      <c r="W177" s="18"/>
      <c r="X177" s="18"/>
      <c r="Y177" s="18"/>
      <c r="Z177" s="18"/>
      <c r="AA177" s="18"/>
      <c r="AB177" s="18">
        <f t="shared" si="3"/>
        <v>1</v>
      </c>
      <c r="AC177" s="18">
        <f t="shared" si="4"/>
        <v>1</v>
      </c>
      <c r="AD177" s="18">
        <f t="shared" si="5"/>
        <v>1</v>
      </c>
      <c r="AE177" s="18">
        <f t="shared" si="6"/>
        <v>1</v>
      </c>
    </row>
    <row r="178">
      <c r="A178" s="9">
        <f>IF(E178="","", IF('Global Precios'!B179="",0,'Global Precios'!B179))</f>
        <v>0</v>
      </c>
      <c r="B178" s="14" t="str">
        <f>IF('Global Precios'!B179="","",'Global Precios'!B179)</f>
        <v/>
      </c>
      <c r="C178" s="18">
        <f>IF('Global Precios'!A179="","",'Global Precios'!A179)</f>
        <v>182</v>
      </c>
      <c r="D178" s="18"/>
      <c r="E178" s="25" t="str">
        <f>IF('Global Precios'!D179="","",'Global Precios'!D179)</f>
        <v>SUELTO X 1 KG - YENU GATOS CACHORROS</v>
      </c>
      <c r="F178" s="18"/>
      <c r="G178" s="25">
        <f>IFERROR(VLOOKUP(C178,'BuscarV Stock'!$A$2:$C$478,3,0),"AAA")</f>
        <v>0</v>
      </c>
      <c r="H178" s="25">
        <f t="shared" si="1"/>
        <v>0.21</v>
      </c>
      <c r="I178" s="30">
        <f>IF('Global Precios'!H179="","",'Global Precios'!H179)</f>
        <v>349.3112948</v>
      </c>
      <c r="J178" s="82">
        <f>IF('Global Precios'!K179="","",'Global Precios'!K179)</f>
        <v>0.4</v>
      </c>
      <c r="K178" s="30">
        <f>IF('Global Precios'!Z179="Desactivado",0,IF('Global Precios'!L179="","",'Global Precios'!L179))</f>
        <v>0</v>
      </c>
      <c r="L178" s="18"/>
      <c r="M178" s="18"/>
      <c r="N178" s="18"/>
      <c r="O178" s="18"/>
      <c r="P178" s="18"/>
      <c r="Q178" s="18"/>
      <c r="R178" s="18" t="str">
        <f>IF('Global Precios'!F179="","",'Global Precios'!F179)</f>
        <v>Alimentos</v>
      </c>
      <c r="S178" s="18"/>
      <c r="T178" s="18" t="str">
        <f>IF('Global Precios'!E179="","",'Global Precios'!E179)</f>
        <v>YENU</v>
      </c>
      <c r="U178" s="18"/>
      <c r="V178" s="18">
        <f t="shared" si="2"/>
        <v>0</v>
      </c>
      <c r="W178" s="18"/>
      <c r="X178" s="18"/>
      <c r="Y178" s="18"/>
      <c r="Z178" s="18"/>
      <c r="AA178" s="18"/>
      <c r="AB178" s="18">
        <f t="shared" si="3"/>
        <v>1</v>
      </c>
      <c r="AC178" s="18">
        <f t="shared" si="4"/>
        <v>1</v>
      </c>
      <c r="AD178" s="18">
        <f t="shared" si="5"/>
        <v>1</v>
      </c>
      <c r="AE178" s="18">
        <f t="shared" si="6"/>
        <v>1</v>
      </c>
    </row>
    <row r="179">
      <c r="A179" s="9">
        <f>IF(E179="","", IF('Global Precios'!B180="",0,'Global Precios'!B180))</f>
        <v>0</v>
      </c>
      <c r="B179" s="14" t="str">
        <f>IF('Global Precios'!B180="","",'Global Precios'!B180)</f>
        <v/>
      </c>
      <c r="C179" s="18">
        <f>IF('Global Precios'!A180="","",'Global Precios'!A180)</f>
        <v>183</v>
      </c>
      <c r="D179" s="18"/>
      <c r="E179" s="25" t="str">
        <f>IF('Global Precios'!D180="","",'Global Precios'!D180)</f>
        <v>SUELTO X 1 KG - AGILITY ADULTO</v>
      </c>
      <c r="F179" s="18"/>
      <c r="G179" s="25">
        <f>IFERROR(VLOOKUP(C179,'BuscarV Stock'!$A$2:$C$478,3,0),"AAA")</f>
        <v>0</v>
      </c>
      <c r="H179" s="25">
        <f t="shared" si="1"/>
        <v>0.21</v>
      </c>
      <c r="I179" s="30">
        <f>IF('Global Precios'!H180="","",'Global Precios'!H180)</f>
        <v>417.3553719</v>
      </c>
      <c r="J179" s="82">
        <f>IF('Global Precios'!K180="","",'Global Precios'!K180)</f>
        <v>0.43</v>
      </c>
      <c r="K179" s="30">
        <f>IF('Global Precios'!Z180="Desactivado",0,IF('Global Precios'!L180="","",'Global Precios'!L180))</f>
        <v>500</v>
      </c>
      <c r="L179" s="18"/>
      <c r="M179" s="18"/>
      <c r="N179" s="18"/>
      <c r="O179" s="18"/>
      <c r="P179" s="18"/>
      <c r="Q179" s="18"/>
      <c r="R179" s="18" t="str">
        <f>IF('Global Precios'!F180="","",'Global Precios'!F180)</f>
        <v>Alimentos</v>
      </c>
      <c r="S179" s="18"/>
      <c r="T179" s="18" t="str">
        <f>IF('Global Precios'!E180="","",'Global Precios'!E180)</f>
        <v>Agility</v>
      </c>
      <c r="U179" s="18"/>
      <c r="V179" s="18">
        <f t="shared" si="2"/>
        <v>0</v>
      </c>
      <c r="W179" s="18"/>
      <c r="X179" s="18"/>
      <c r="Y179" s="18"/>
      <c r="Z179" s="18"/>
      <c r="AA179" s="18"/>
      <c r="AB179" s="18">
        <f t="shared" si="3"/>
        <v>1</v>
      </c>
      <c r="AC179" s="18">
        <f t="shared" si="4"/>
        <v>1</v>
      </c>
      <c r="AD179" s="18">
        <f t="shared" si="5"/>
        <v>1</v>
      </c>
      <c r="AE179" s="18">
        <f t="shared" si="6"/>
        <v>1</v>
      </c>
    </row>
    <row r="180">
      <c r="A180" s="9">
        <f>IF(E180="","", IF('Global Precios'!B181="",0,'Global Precios'!B181))</f>
        <v>0</v>
      </c>
      <c r="B180" s="14" t="str">
        <f>IF('Global Precios'!B181="","",'Global Precios'!B181)</f>
        <v/>
      </c>
      <c r="C180" s="18">
        <f>IF('Global Precios'!A181="","",'Global Precios'!A181)</f>
        <v>184</v>
      </c>
      <c r="D180" s="18"/>
      <c r="E180" s="25" t="str">
        <f>IF('Global Precios'!D181="","",'Global Precios'!D181)</f>
        <v>SUELTO X 1 KG - AGILITY CACHORROS</v>
      </c>
      <c r="F180" s="18"/>
      <c r="G180" s="25">
        <f>IFERROR(VLOOKUP(C180,'BuscarV Stock'!$A$2:$C$478,3,0),"AAA")</f>
        <v>0</v>
      </c>
      <c r="H180" s="25">
        <f t="shared" si="1"/>
        <v>0.21</v>
      </c>
      <c r="I180" s="30">
        <f>IF('Global Precios'!H181="","",'Global Precios'!H181)</f>
        <v>481.4049587</v>
      </c>
      <c r="J180" s="82">
        <f>IF('Global Precios'!K181="","",'Global Precios'!K181)</f>
        <v>0.43</v>
      </c>
      <c r="K180" s="30">
        <f>IF('Global Precios'!Z181="Desactivado",0,IF('Global Precios'!L181="","",'Global Precios'!L181))</f>
        <v>0</v>
      </c>
      <c r="L180" s="18"/>
      <c r="M180" s="18"/>
      <c r="N180" s="18"/>
      <c r="O180" s="18"/>
      <c r="P180" s="18"/>
      <c r="Q180" s="18"/>
      <c r="R180" s="18" t="str">
        <f>IF('Global Precios'!F181="","",'Global Precios'!F181)</f>
        <v>Alimentos</v>
      </c>
      <c r="S180" s="18"/>
      <c r="T180" s="18" t="str">
        <f>IF('Global Precios'!E181="","",'Global Precios'!E181)</f>
        <v>Agility</v>
      </c>
      <c r="U180" s="18"/>
      <c r="V180" s="18">
        <f t="shared" si="2"/>
        <v>0</v>
      </c>
      <c r="W180" s="18"/>
      <c r="X180" s="18"/>
      <c r="Y180" s="18"/>
      <c r="Z180" s="18"/>
      <c r="AA180" s="18"/>
      <c r="AB180" s="18">
        <f t="shared" si="3"/>
        <v>1</v>
      </c>
      <c r="AC180" s="18">
        <f t="shared" si="4"/>
        <v>1</v>
      </c>
      <c r="AD180" s="18">
        <f t="shared" si="5"/>
        <v>1</v>
      </c>
      <c r="AE180" s="18">
        <f t="shared" si="6"/>
        <v>1</v>
      </c>
    </row>
    <row r="181">
      <c r="A181" s="9">
        <f>IF(E181="","", IF('Global Precios'!B182="",0,'Global Precios'!B182))</f>
        <v>0</v>
      </c>
      <c r="B181" s="14" t="str">
        <f>IF('Global Precios'!B182="","",'Global Precios'!B182)</f>
        <v/>
      </c>
      <c r="C181" s="18">
        <f>IF('Global Precios'!A182="","",'Global Precios'!A182)</f>
        <v>185</v>
      </c>
      <c r="D181" s="18"/>
      <c r="E181" s="25" t="str">
        <f>IF('Global Precios'!D182="","",'Global Precios'!D182)</f>
        <v>SUELTO X 1 KG - AGILITY CATS ADULTO</v>
      </c>
      <c r="F181" s="18"/>
      <c r="G181" s="25">
        <f>IFERROR(VLOOKUP(C181,'BuscarV Stock'!$A$2:$C$478,3,0),"AAA")</f>
        <v>0</v>
      </c>
      <c r="H181" s="25">
        <f t="shared" si="1"/>
        <v>0.21</v>
      </c>
      <c r="I181" s="30">
        <f>IF('Global Precios'!H182="","",'Global Precios'!H182)</f>
        <v>1950.413223</v>
      </c>
      <c r="J181" s="82">
        <f>IF('Global Precios'!K182="","",'Global Precios'!K182)</f>
        <v>0.43</v>
      </c>
      <c r="K181" s="30">
        <f>IF('Global Precios'!Z182="Desactivado",0,IF('Global Precios'!L182="","",'Global Precios'!L182))</f>
        <v>3500</v>
      </c>
      <c r="L181" s="18"/>
      <c r="M181" s="18"/>
      <c r="N181" s="18"/>
      <c r="O181" s="18"/>
      <c r="P181" s="18"/>
      <c r="Q181" s="18"/>
      <c r="R181" s="18" t="str">
        <f>IF('Global Precios'!F182="","",'Global Precios'!F182)</f>
        <v>Alimentos</v>
      </c>
      <c r="S181" s="18"/>
      <c r="T181" s="18" t="str">
        <f>IF('Global Precios'!E182="","",'Global Precios'!E182)</f>
        <v>Agility</v>
      </c>
      <c r="U181" s="18"/>
      <c r="V181" s="18">
        <f t="shared" si="2"/>
        <v>0</v>
      </c>
      <c r="W181" s="18"/>
      <c r="X181" s="18"/>
      <c r="Y181" s="18"/>
      <c r="Z181" s="18"/>
      <c r="AA181" s="18"/>
      <c r="AB181" s="18">
        <f t="shared" si="3"/>
        <v>1</v>
      </c>
      <c r="AC181" s="18">
        <f t="shared" si="4"/>
        <v>1</v>
      </c>
      <c r="AD181" s="18">
        <f t="shared" si="5"/>
        <v>1</v>
      </c>
      <c r="AE181" s="18">
        <f t="shared" si="6"/>
        <v>1</v>
      </c>
    </row>
    <row r="182">
      <c r="A182" s="9">
        <f>IF(E182="","", IF('Global Precios'!B183="",0,'Global Precios'!B183))</f>
        <v>0</v>
      </c>
      <c r="B182" s="14" t="str">
        <f>IF('Global Precios'!B183="","",'Global Precios'!B183)</f>
        <v/>
      </c>
      <c r="C182" s="18">
        <f>IF('Global Precios'!A183="","",'Global Precios'!A183)</f>
        <v>186</v>
      </c>
      <c r="D182" s="18"/>
      <c r="E182" s="25" t="str">
        <f>IF('Global Precios'!D183="","",'Global Precios'!D183)</f>
        <v>SUELTO X 1 KG - AGILITY CATS KITTEN</v>
      </c>
      <c r="F182" s="18"/>
      <c r="G182" s="25">
        <f>IFERROR(VLOOKUP(C182,'BuscarV Stock'!$A$2:$C$478,3,0),"AAA")</f>
        <v>0</v>
      </c>
      <c r="H182" s="25">
        <f t="shared" si="1"/>
        <v>0.21</v>
      </c>
      <c r="I182" s="30">
        <f>IF('Global Precios'!H183="","",'Global Precios'!H183)</f>
        <v>852.9752066</v>
      </c>
      <c r="J182" s="82">
        <f>IF('Global Precios'!K183="","",'Global Precios'!K183)</f>
        <v>0.43</v>
      </c>
      <c r="K182" s="30">
        <f>IF('Global Precios'!Z183="Desactivado",0,IF('Global Precios'!L183="","",'Global Precios'!L183))</f>
        <v>0</v>
      </c>
      <c r="L182" s="18"/>
      <c r="M182" s="18"/>
      <c r="N182" s="18"/>
      <c r="O182" s="18"/>
      <c r="P182" s="18"/>
      <c r="Q182" s="18"/>
      <c r="R182" s="18" t="str">
        <f>IF('Global Precios'!F183="","",'Global Precios'!F183)</f>
        <v>Alimentos</v>
      </c>
      <c r="S182" s="18"/>
      <c r="T182" s="18" t="str">
        <f>IF('Global Precios'!E183="","",'Global Precios'!E183)</f>
        <v>Agility</v>
      </c>
      <c r="U182" s="18"/>
      <c r="V182" s="18">
        <f t="shared" si="2"/>
        <v>0</v>
      </c>
      <c r="W182" s="18"/>
      <c r="X182" s="18"/>
      <c r="Y182" s="18"/>
      <c r="Z182" s="18"/>
      <c r="AA182" s="18"/>
      <c r="AB182" s="18">
        <f t="shared" si="3"/>
        <v>1</v>
      </c>
      <c r="AC182" s="18">
        <f t="shared" si="4"/>
        <v>1</v>
      </c>
      <c r="AD182" s="18">
        <f t="shared" si="5"/>
        <v>1</v>
      </c>
      <c r="AE182" s="18">
        <f t="shared" si="6"/>
        <v>1</v>
      </c>
    </row>
    <row r="183">
      <c r="A183" s="9">
        <f>IF(E183="","", IF('Global Precios'!B184="",0,'Global Precios'!B184))</f>
        <v>0</v>
      </c>
      <c r="B183" s="14" t="str">
        <f>IF('Global Precios'!B184="","",'Global Precios'!B184)</f>
        <v/>
      </c>
      <c r="C183" s="18">
        <f>IF('Global Precios'!A184="","",'Global Precios'!A184)</f>
        <v>187</v>
      </c>
      <c r="D183" s="18"/>
      <c r="E183" s="25" t="str">
        <f>IF('Global Precios'!D184="","",'Global Precios'!D184)</f>
        <v>Cirugia</v>
      </c>
      <c r="F183" s="18"/>
      <c r="G183" s="25">
        <f>IFERROR(VLOOKUP(C183,'BuscarV Stock'!$A$2:$C$478,3,0),"AAA")</f>
        <v>0</v>
      </c>
      <c r="H183" s="25">
        <f t="shared" si="1"/>
        <v>0.21</v>
      </c>
      <c r="I183" s="30">
        <f>IF('Global Precios'!H184="","",'Global Precios'!H184)</f>
        <v>88521.4876</v>
      </c>
      <c r="J183" s="82">
        <f>IF('Global Precios'!K184="","",'Global Precios'!K184)</f>
        <v>0.5</v>
      </c>
      <c r="K183" s="30">
        <f>IF('Global Precios'!Z184="Desactivado",0,IF('Global Precios'!L184="","",'Global Precios'!L184))</f>
        <v>161000</v>
      </c>
      <c r="L183" s="18"/>
      <c r="M183" s="18"/>
      <c r="N183" s="18"/>
      <c r="O183" s="18"/>
      <c r="P183" s="18"/>
      <c r="Q183" s="18"/>
      <c r="R183" s="18" t="str">
        <f>IF('Global Precios'!F184="","",'Global Precios'!F184)</f>
        <v>Clinica</v>
      </c>
      <c r="S183" s="18"/>
      <c r="T183" s="18" t="str">
        <f>IF('Global Precios'!E184="","",'Global Precios'!E184)</f>
        <v>Arlekyn</v>
      </c>
      <c r="U183" s="18"/>
      <c r="V183" s="18">
        <f t="shared" si="2"/>
        <v>0</v>
      </c>
      <c r="W183" s="18"/>
      <c r="X183" s="18"/>
      <c r="Y183" s="18"/>
      <c r="Z183" s="18"/>
      <c r="AA183" s="18"/>
      <c r="AB183" s="18">
        <f t="shared" si="3"/>
        <v>1</v>
      </c>
      <c r="AC183" s="18">
        <f t="shared" si="4"/>
        <v>1</v>
      </c>
      <c r="AD183" s="18">
        <f t="shared" si="5"/>
        <v>1</v>
      </c>
      <c r="AE183" s="18">
        <f t="shared" si="6"/>
        <v>1</v>
      </c>
    </row>
    <row r="184">
      <c r="A184" s="9">
        <f>IF(E184="","", IF('Global Precios'!B185="",0,'Global Precios'!B185))</f>
        <v>0</v>
      </c>
      <c r="B184" s="14" t="str">
        <f>IF('Global Precios'!B185="","",'Global Precios'!B185)</f>
        <v/>
      </c>
      <c r="C184" s="18">
        <f>IF('Global Precios'!A185="","",'Global Precios'!A185)</f>
        <v>188</v>
      </c>
      <c r="D184" s="18"/>
      <c r="E184" s="25" t="str">
        <f>IF('Global Precios'!D185="","",'Global Precios'!D185)</f>
        <v>AGILITY CATS URINARY Present: 10kg</v>
      </c>
      <c r="F184" s="18"/>
      <c r="G184" s="25">
        <f>IFERROR(VLOOKUP(C184,'BuscarV Stock'!$A$2:$C$478,3,0),"AAA")</f>
        <v>1</v>
      </c>
      <c r="H184" s="25">
        <f t="shared" si="1"/>
        <v>0.21</v>
      </c>
      <c r="I184" s="30">
        <f>IF('Global Precios'!H185="","",'Global Precios'!H185)</f>
        <v>12252.89256</v>
      </c>
      <c r="J184" s="82">
        <f>IF('Global Precios'!K185="","",'Global Precios'!K185)</f>
        <v>0.33</v>
      </c>
      <c r="K184" s="30">
        <f>IF('Global Precios'!Z185="Desactivado",0,IF('Global Precios'!L185="","",'Global Precios'!L185))</f>
        <v>0</v>
      </c>
      <c r="L184" s="18"/>
      <c r="M184" s="18"/>
      <c r="N184" s="18"/>
      <c r="O184" s="18"/>
      <c r="P184" s="18"/>
      <c r="Q184" s="18"/>
      <c r="R184" s="18" t="str">
        <f>IF('Global Precios'!F185="","",'Global Precios'!F185)</f>
        <v>Alimentos</v>
      </c>
      <c r="S184" s="18"/>
      <c r="T184" s="18" t="str">
        <f>IF('Global Precios'!E185="","",'Global Precios'!E185)</f>
        <v>Agility</v>
      </c>
      <c r="U184" s="18"/>
      <c r="V184" s="18">
        <f t="shared" si="2"/>
        <v>0</v>
      </c>
      <c r="W184" s="18"/>
      <c r="X184" s="18"/>
      <c r="Y184" s="18"/>
      <c r="Z184" s="18"/>
      <c r="AA184" s="18"/>
      <c r="AB184" s="18">
        <f t="shared" si="3"/>
        <v>1</v>
      </c>
      <c r="AC184" s="18">
        <f t="shared" si="4"/>
        <v>1</v>
      </c>
      <c r="AD184" s="18">
        <f t="shared" si="5"/>
        <v>1</v>
      </c>
      <c r="AE184" s="18">
        <f t="shared" si="6"/>
        <v>1</v>
      </c>
    </row>
    <row r="185">
      <c r="A185" s="9">
        <f>IF(E185="","", IF('Global Precios'!B186="",0,'Global Precios'!B186))</f>
        <v>0</v>
      </c>
      <c r="B185" s="14" t="str">
        <f>IF('Global Precios'!B186="","",'Global Precios'!B186)</f>
        <v/>
      </c>
      <c r="C185" s="18">
        <f>IF('Global Precios'!A186="","",'Global Precios'!A186)</f>
        <v>189</v>
      </c>
      <c r="D185" s="18"/>
      <c r="E185" s="25" t="str">
        <f>IF('Global Precios'!D186="","",'Global Precios'!D186)</f>
        <v>FELINE FULLSPOT MÁS DE 5 KG</v>
      </c>
      <c r="F185" s="18"/>
      <c r="G185" s="25">
        <f>IFERROR(VLOOKUP(C185,'BuscarV Stock'!$A$2:$C$478,3,0),"AAA")</f>
        <v>0</v>
      </c>
      <c r="H185" s="25">
        <f t="shared" si="1"/>
        <v>0.21</v>
      </c>
      <c r="I185" s="30">
        <f>IF('Global Precios'!H186="","",'Global Precios'!H186)</f>
        <v>12478.5124</v>
      </c>
      <c r="J185" s="82">
        <f>IF('Global Precios'!K186="","",'Global Precios'!K186)</f>
        <v>0.8</v>
      </c>
      <c r="K185" s="30">
        <f>IF('Global Precios'!Z186="Desactivado",0,IF('Global Precios'!L186="","",'Global Precios'!L186))</f>
        <v>27000</v>
      </c>
      <c r="L185" s="18"/>
      <c r="M185" s="18"/>
      <c r="N185" s="18"/>
      <c r="O185" s="18"/>
      <c r="P185" s="18"/>
      <c r="Q185" s="18"/>
      <c r="R185" s="18" t="str">
        <f>IF('Global Precios'!F186="","",'Global Precios'!F186)</f>
        <v>Medicamentos</v>
      </c>
      <c r="S185" s="18"/>
      <c r="T185" s="18" t="str">
        <f>IF('Global Precios'!E186="","",'Global Precios'!E186)</f>
        <v/>
      </c>
      <c r="U185" s="18"/>
      <c r="V185" s="18">
        <f t="shared" si="2"/>
        <v>0</v>
      </c>
      <c r="W185" s="18"/>
      <c r="X185" s="18"/>
      <c r="Y185" s="18"/>
      <c r="Z185" s="18"/>
      <c r="AA185" s="18"/>
      <c r="AB185" s="18">
        <f t="shared" si="3"/>
        <v>1</v>
      </c>
      <c r="AC185" s="18">
        <f t="shared" si="4"/>
        <v>1</v>
      </c>
      <c r="AD185" s="18">
        <f t="shared" si="5"/>
        <v>1</v>
      </c>
      <c r="AE185" s="18">
        <f t="shared" si="6"/>
        <v>1</v>
      </c>
    </row>
    <row r="186">
      <c r="A186" s="9">
        <f>IF(E186="","", IF('Global Precios'!B187="",0,'Global Precios'!B187))</f>
        <v>0</v>
      </c>
      <c r="B186" s="14" t="str">
        <f>IF('Global Precios'!B187="","",'Global Precios'!B187)</f>
        <v/>
      </c>
      <c r="C186" s="18">
        <f>IF('Global Precios'!A187="","",'Global Precios'!A187)</f>
        <v>190</v>
      </c>
      <c r="D186" s="18"/>
      <c r="E186" s="25" t="str">
        <f>IF('Global Precios'!D187="","",'Global Precios'!D187)</f>
        <v>PREDNISOL GOTAS JM X 15 ML</v>
      </c>
      <c r="F186" s="18"/>
      <c r="G186" s="25">
        <f>IFERROR(VLOOKUP(C186,'BuscarV Stock'!$A$2:$C$478,3,0),"AAA")</f>
        <v>0</v>
      </c>
      <c r="H186" s="25">
        <f t="shared" si="1"/>
        <v>0.21</v>
      </c>
      <c r="I186" s="30">
        <f>IF('Global Precios'!H187="","",'Global Precios'!H187)</f>
        <v>6619.834711</v>
      </c>
      <c r="J186" s="82">
        <f>IF('Global Precios'!K187="","",'Global Precios'!K187)</f>
        <v>1</v>
      </c>
      <c r="K186" s="30">
        <f>IF('Global Precios'!Z187="Desactivado",0,IF('Global Precios'!L187="","",'Global Precios'!L187))</f>
        <v>16000</v>
      </c>
      <c r="L186" s="18"/>
      <c r="M186" s="18"/>
      <c r="N186" s="18"/>
      <c r="O186" s="18"/>
      <c r="P186" s="18"/>
      <c r="Q186" s="18"/>
      <c r="R186" s="18" t="str">
        <f>IF('Global Precios'!F187="","",'Global Precios'!F187)</f>
        <v>Medicamentos</v>
      </c>
      <c r="S186" s="18"/>
      <c r="T186" s="18" t="str">
        <f>IF('Global Precios'!E187="","",'Global Precios'!E187)</f>
        <v/>
      </c>
      <c r="U186" s="18"/>
      <c r="V186" s="18">
        <f t="shared" si="2"/>
        <v>0</v>
      </c>
      <c r="W186" s="18"/>
      <c r="X186" s="18"/>
      <c r="Y186" s="18"/>
      <c r="Z186" s="18"/>
      <c r="AA186" s="18"/>
      <c r="AB186" s="18">
        <f t="shared" si="3"/>
        <v>1</v>
      </c>
      <c r="AC186" s="18">
        <f t="shared" si="4"/>
        <v>1</v>
      </c>
      <c r="AD186" s="18">
        <f t="shared" si="5"/>
        <v>1</v>
      </c>
      <c r="AE186" s="18">
        <f t="shared" si="6"/>
        <v>1</v>
      </c>
    </row>
    <row r="187">
      <c r="A187" s="9">
        <f>IF(E187="","", IF('Global Precios'!B188="",0,'Global Precios'!B188))</f>
        <v>0</v>
      </c>
      <c r="B187" s="14" t="str">
        <f>IF('Global Precios'!B188="","",'Global Precios'!B188)</f>
        <v/>
      </c>
      <c r="C187" s="18">
        <f>IF('Global Precios'!A188="","",'Global Precios'!A188)</f>
        <v>191</v>
      </c>
      <c r="D187" s="18"/>
      <c r="E187" s="25" t="str">
        <f>IF('Global Precios'!D188="","",'Global Precios'!D188)</f>
        <v>MELTRA SPOT ON GATO 4 a 8 KG</v>
      </c>
      <c r="F187" s="18"/>
      <c r="G187" s="25">
        <f>IFERROR(VLOOKUP(C187,'BuscarV Stock'!$A$2:$C$478,3,0),"AAA")</f>
        <v>0</v>
      </c>
      <c r="H187" s="25">
        <f t="shared" si="1"/>
        <v>0.21</v>
      </c>
      <c r="I187" s="30">
        <f>IF('Global Precios'!H188="","",'Global Precios'!H188)</f>
        <v>2892.561983</v>
      </c>
      <c r="J187" s="82">
        <f>IF('Global Precios'!K188="","",'Global Precios'!K188)</f>
        <v>1</v>
      </c>
      <c r="K187" s="30">
        <f>IF('Global Precios'!Z188="Desactivado",0,IF('Global Precios'!L188="","",'Global Precios'!L188))</f>
        <v>7000</v>
      </c>
      <c r="L187" s="18"/>
      <c r="M187" s="18"/>
      <c r="N187" s="18"/>
      <c r="O187" s="18"/>
      <c r="P187" s="18"/>
      <c r="Q187" s="18"/>
      <c r="R187" s="18" t="str">
        <f>IF('Global Precios'!F188="","",'Global Precios'!F188)</f>
        <v>Medicamentos</v>
      </c>
      <c r="S187" s="18"/>
      <c r="T187" s="18" t="str">
        <f>IF('Global Precios'!E188="","",'Global Precios'!E188)</f>
        <v/>
      </c>
      <c r="U187" s="18"/>
      <c r="V187" s="18">
        <f t="shared" si="2"/>
        <v>0</v>
      </c>
      <c r="W187" s="18"/>
      <c r="X187" s="18"/>
      <c r="Y187" s="18"/>
      <c r="Z187" s="18"/>
      <c r="AA187" s="18"/>
      <c r="AB187" s="18">
        <f t="shared" si="3"/>
        <v>1</v>
      </c>
      <c r="AC187" s="18">
        <f t="shared" si="4"/>
        <v>1</v>
      </c>
      <c r="AD187" s="18">
        <f t="shared" si="5"/>
        <v>1</v>
      </c>
      <c r="AE187" s="18">
        <f t="shared" si="6"/>
        <v>1</v>
      </c>
    </row>
    <row r="188">
      <c r="A188" s="9">
        <f>IF(E188="","", IF('Global Precios'!B189="",0,'Global Precios'!B189))</f>
        <v>0</v>
      </c>
      <c r="B188" s="14" t="str">
        <f>IF('Global Precios'!B189="","",'Global Precios'!B189)</f>
        <v/>
      </c>
      <c r="C188" s="18">
        <f>IF('Global Precios'!A189="","",'Global Precios'!A189)</f>
        <v>192</v>
      </c>
      <c r="D188" s="18"/>
      <c r="E188" s="25" t="str">
        <f>IF('Global Precios'!D189="","",'Global Precios'!D189)</f>
        <v>MELTRA SPOT ON GATO HASTA 4 KG</v>
      </c>
      <c r="F188" s="18"/>
      <c r="G188" s="25">
        <f>IFERROR(VLOOKUP(C188,'BuscarV Stock'!$A$2:$C$478,3,0),"AAA")</f>
        <v>3</v>
      </c>
      <c r="H188" s="25">
        <f t="shared" si="1"/>
        <v>0.21</v>
      </c>
      <c r="I188" s="30">
        <f>IF('Global Precios'!H189="","",'Global Precios'!H189)</f>
        <v>3753.719008</v>
      </c>
      <c r="J188" s="82">
        <f>IF('Global Precios'!K189="","",'Global Precios'!K189)</f>
        <v>1</v>
      </c>
      <c r="K188" s="30">
        <f>IF('Global Precios'!Z189="Desactivado",0,IF('Global Precios'!L189="","",'Global Precios'!L189))</f>
        <v>9000</v>
      </c>
      <c r="L188" s="18"/>
      <c r="M188" s="18"/>
      <c r="N188" s="18"/>
      <c r="O188" s="18"/>
      <c r="P188" s="18"/>
      <c r="Q188" s="18"/>
      <c r="R188" s="18" t="str">
        <f>IF('Global Precios'!F189="","",'Global Precios'!F189)</f>
        <v>Medicamentos</v>
      </c>
      <c r="S188" s="18"/>
      <c r="T188" s="18" t="str">
        <f>IF('Global Precios'!E189="","",'Global Precios'!E189)</f>
        <v/>
      </c>
      <c r="U188" s="18"/>
      <c r="V188" s="18">
        <f t="shared" si="2"/>
        <v>0</v>
      </c>
      <c r="W188" s="18"/>
      <c r="X188" s="18"/>
      <c r="Y188" s="18"/>
      <c r="Z188" s="18"/>
      <c r="AA188" s="18"/>
      <c r="AB188" s="18">
        <f t="shared" si="3"/>
        <v>1</v>
      </c>
      <c r="AC188" s="18">
        <f t="shared" si="4"/>
        <v>1</v>
      </c>
      <c r="AD188" s="18">
        <f t="shared" si="5"/>
        <v>1</v>
      </c>
      <c r="AE188" s="18">
        <f t="shared" si="6"/>
        <v>1</v>
      </c>
    </row>
    <row r="189">
      <c r="A189" s="9">
        <f>IF(E189="","", IF('Global Precios'!B190="",0,'Global Precios'!B190))</f>
        <v>12393467</v>
      </c>
      <c r="B189" s="14">
        <f>IF('Global Precios'!B190="","",'Global Precios'!B190)</f>
        <v>12393467</v>
      </c>
      <c r="C189" s="18">
        <f>IF('Global Precios'!A190="","",'Global Precios'!A190)</f>
        <v>193</v>
      </c>
      <c r="D189" s="18"/>
      <c r="E189" s="25" t="str">
        <f>IF('Global Precios'!D190="","",'Global Precios'!D190)</f>
        <v>EXCELLENT ADULT DOG Razas Pequeñas Present: 15 kg</v>
      </c>
      <c r="F189" s="18"/>
      <c r="G189" s="25">
        <f>IFERROR(VLOOKUP(C189,'BuscarV Stock'!$A$2:$C$478,3,0),"AAA")</f>
        <v>0</v>
      </c>
      <c r="H189" s="25">
        <f t="shared" si="1"/>
        <v>0.21</v>
      </c>
      <c r="I189" s="30">
        <f>IF('Global Precios'!H190="","",'Global Precios'!H190)</f>
        <v>45702.47934</v>
      </c>
      <c r="J189" s="82">
        <f>IF('Global Precios'!K190="","",'Global Precios'!K190)</f>
        <v>0.33</v>
      </c>
      <c r="K189" s="30">
        <f>IF('Global Precios'!Z190="Desactivado",0,IF('Global Precios'!L190="","",'Global Precios'!L190))</f>
        <v>0</v>
      </c>
      <c r="L189" s="18"/>
      <c r="M189" s="18"/>
      <c r="N189" s="18"/>
      <c r="O189" s="18"/>
      <c r="P189" s="18"/>
      <c r="Q189" s="18"/>
      <c r="R189" s="18" t="str">
        <f>IF('Global Precios'!F190="","",'Global Precios'!F190)</f>
        <v>Alimentos</v>
      </c>
      <c r="S189" s="18"/>
      <c r="T189" s="18" t="str">
        <f>IF('Global Precios'!E190="","",'Global Precios'!E190)</f>
        <v>Excellent</v>
      </c>
      <c r="U189" s="18"/>
      <c r="V189" s="18">
        <f t="shared" si="2"/>
        <v>0</v>
      </c>
      <c r="W189" s="18"/>
      <c r="X189" s="18"/>
      <c r="Y189" s="18"/>
      <c r="Z189" s="18"/>
      <c r="AA189" s="18"/>
      <c r="AB189" s="18">
        <f t="shared" si="3"/>
        <v>1</v>
      </c>
      <c r="AC189" s="18">
        <f t="shared" si="4"/>
        <v>1</v>
      </c>
      <c r="AD189" s="18">
        <f t="shared" si="5"/>
        <v>1</v>
      </c>
      <c r="AE189" s="18">
        <f t="shared" si="6"/>
        <v>1</v>
      </c>
    </row>
    <row r="190">
      <c r="A190" s="9">
        <f>IF(E190="","", IF('Global Precios'!B191="",0,'Global Precios'!B191))</f>
        <v>0</v>
      </c>
      <c r="B190" s="14" t="str">
        <f>IF('Global Precios'!B191="","",'Global Precios'!B191)</f>
        <v/>
      </c>
      <c r="C190" s="18">
        <f>IF('Global Precios'!A191="","",'Global Precios'!A191)</f>
        <v>194</v>
      </c>
      <c r="D190" s="18"/>
      <c r="E190" s="25" t="str">
        <f>IF('Global Precios'!D191="","",'Global Precios'!D191)</f>
        <v>SUELTO X 1 KG - EXCELLENT ADULT DOG R Pequeñas</v>
      </c>
      <c r="F190" s="18"/>
      <c r="G190" s="25">
        <f>IFERROR(VLOOKUP(C190,'BuscarV Stock'!$A$2:$C$478,3,0),"AAA")</f>
        <v>2</v>
      </c>
      <c r="H190" s="25">
        <f t="shared" si="1"/>
        <v>0.21</v>
      </c>
      <c r="I190" s="30">
        <f>IF('Global Precios'!H191="","",'Global Precios'!H191)</f>
        <v>3046.831956</v>
      </c>
      <c r="J190" s="82">
        <f>IF('Global Precios'!K191="","",'Global Precios'!K191)</f>
        <v>0.4</v>
      </c>
      <c r="K190" s="30">
        <f>IF('Global Precios'!Z191="Desactivado",0,IF('Global Precios'!L191="","",'Global Precios'!L191))</f>
        <v>0</v>
      </c>
      <c r="L190" s="18"/>
      <c r="M190" s="18"/>
      <c r="N190" s="18"/>
      <c r="O190" s="18"/>
      <c r="P190" s="18"/>
      <c r="Q190" s="18"/>
      <c r="R190" s="18" t="str">
        <f>IF('Global Precios'!F191="","",'Global Precios'!F191)</f>
        <v>Alimentos</v>
      </c>
      <c r="S190" s="18"/>
      <c r="T190" s="18" t="str">
        <f>IF('Global Precios'!E191="","",'Global Precios'!E191)</f>
        <v>Excellent</v>
      </c>
      <c r="U190" s="18"/>
      <c r="V190" s="18">
        <f t="shared" si="2"/>
        <v>0</v>
      </c>
      <c r="W190" s="18"/>
      <c r="X190" s="18"/>
      <c r="Y190" s="18"/>
      <c r="Z190" s="18"/>
      <c r="AA190" s="18"/>
      <c r="AB190" s="18">
        <f t="shared" si="3"/>
        <v>1</v>
      </c>
      <c r="AC190" s="18">
        <f t="shared" si="4"/>
        <v>1</v>
      </c>
      <c r="AD190" s="18">
        <f t="shared" si="5"/>
        <v>1</v>
      </c>
      <c r="AE190" s="18">
        <f t="shared" si="6"/>
        <v>1</v>
      </c>
    </row>
    <row r="191">
      <c r="A191" s="9">
        <f>IF(E191="","", IF('Global Precios'!B192="",0,'Global Precios'!B192))</f>
        <v>12453105</v>
      </c>
      <c r="B191" s="14">
        <f>IF('Global Precios'!B192="","",'Global Precios'!B192)</f>
        <v>12453105</v>
      </c>
      <c r="C191" s="18">
        <f>IF('Global Precios'!A192="","",'Global Precios'!A192)</f>
        <v>195</v>
      </c>
      <c r="D191" s="18"/>
      <c r="E191" s="25" t="str">
        <f>IF('Global Precios'!D192="","",'Global Precios'!D192)</f>
        <v>PRO PLAN PUPPY DOG RAZA PEQUEÑA Present: 7,5kg</v>
      </c>
      <c r="F191" s="18"/>
      <c r="G191" s="25">
        <f>IFERROR(VLOOKUP(C191,'BuscarV Stock'!$A$2:$C$478,3,0),"AAA")</f>
        <v>1</v>
      </c>
      <c r="H191" s="25">
        <f t="shared" si="1"/>
        <v>0.21</v>
      </c>
      <c r="I191" s="30">
        <f>IF('Global Precios'!H192="","",'Global Precios'!H192)</f>
        <v>7347.933884</v>
      </c>
      <c r="J191" s="82">
        <f>IF('Global Precios'!K192="","",'Global Precios'!K192)</f>
        <v>0.43</v>
      </c>
      <c r="K191" s="30">
        <f>IF('Global Precios'!Z192="Desactivado",0,IF('Global Precios'!L192="","",'Global Precios'!L192))</f>
        <v>0</v>
      </c>
      <c r="L191" s="18"/>
      <c r="M191" s="18"/>
      <c r="N191" s="18"/>
      <c r="O191" s="18"/>
      <c r="P191" s="18"/>
      <c r="Q191" s="18"/>
      <c r="R191" s="18" t="str">
        <f>IF('Global Precios'!F192="","",'Global Precios'!F192)</f>
        <v>Alimentos</v>
      </c>
      <c r="S191" s="18"/>
      <c r="T191" s="18" t="str">
        <f>IF('Global Precios'!E192="","",'Global Precios'!E192)</f>
        <v>PRO PLAN</v>
      </c>
      <c r="U191" s="18"/>
      <c r="V191" s="18">
        <f t="shared" si="2"/>
        <v>0</v>
      </c>
      <c r="W191" s="18"/>
      <c r="X191" s="18"/>
      <c r="Y191" s="18"/>
      <c r="Z191" s="18"/>
      <c r="AA191" s="18"/>
      <c r="AB191" s="18">
        <f t="shared" si="3"/>
        <v>1</v>
      </c>
      <c r="AC191" s="18">
        <f t="shared" si="4"/>
        <v>1</v>
      </c>
      <c r="AD191" s="18">
        <f t="shared" si="5"/>
        <v>1</v>
      </c>
      <c r="AE191" s="18">
        <f t="shared" si="6"/>
        <v>1</v>
      </c>
    </row>
    <row r="192">
      <c r="A192" s="9">
        <f>IF(E192="","", IF('Global Precios'!B193="",0,'Global Precios'!B193))</f>
        <v>12453294</v>
      </c>
      <c r="B192" s="14">
        <f>IF('Global Precios'!B193="","",'Global Precios'!B193)</f>
        <v>12453294</v>
      </c>
      <c r="C192" s="18">
        <f>IF('Global Precios'!A193="","",'Global Precios'!A193)</f>
        <v>196</v>
      </c>
      <c r="D192" s="18"/>
      <c r="E192" s="25" t="str">
        <f>IF('Global Precios'!D193="","",'Global Precios'!D193)</f>
        <v>PRO PLAN PUPPY DOG RAZA GRANDE Present: 15 kg</v>
      </c>
      <c r="F192" s="18"/>
      <c r="G192" s="25">
        <f>IFERROR(VLOOKUP(C192,'BuscarV Stock'!$A$2:$C$478,3,0),"AAA")</f>
        <v>1</v>
      </c>
      <c r="H192" s="25">
        <f t="shared" si="1"/>
        <v>0.21</v>
      </c>
      <c r="I192" s="30">
        <f>IF('Global Precios'!H193="","",'Global Precios'!H193)</f>
        <v>12128.09917</v>
      </c>
      <c r="J192" s="82">
        <f>IF('Global Precios'!K193="","",'Global Precios'!K193)</f>
        <v>0.43</v>
      </c>
      <c r="K192" s="30">
        <f>IF('Global Precios'!Z193="Desactivado",0,IF('Global Precios'!L193="","",'Global Precios'!L193))</f>
        <v>0</v>
      </c>
      <c r="L192" s="18"/>
      <c r="M192" s="18"/>
      <c r="N192" s="18"/>
      <c r="O192" s="18"/>
      <c r="P192" s="18"/>
      <c r="Q192" s="18"/>
      <c r="R192" s="18" t="str">
        <f>IF('Global Precios'!F193="","",'Global Precios'!F193)</f>
        <v>Alimentos</v>
      </c>
      <c r="S192" s="18"/>
      <c r="T192" s="18" t="str">
        <f>IF('Global Precios'!E193="","",'Global Precios'!E193)</f>
        <v>PRO PLAN</v>
      </c>
      <c r="U192" s="18"/>
      <c r="V192" s="18">
        <f t="shared" si="2"/>
        <v>0</v>
      </c>
      <c r="W192" s="18"/>
      <c r="X192" s="18"/>
      <c r="Y192" s="18"/>
      <c r="Z192" s="18"/>
      <c r="AA192" s="18"/>
      <c r="AB192" s="18">
        <f t="shared" si="3"/>
        <v>1</v>
      </c>
      <c r="AC192" s="18">
        <f t="shared" si="4"/>
        <v>1</v>
      </c>
      <c r="AD192" s="18">
        <f t="shared" si="5"/>
        <v>1</v>
      </c>
      <c r="AE192" s="18">
        <f t="shared" si="6"/>
        <v>1</v>
      </c>
    </row>
    <row r="193">
      <c r="A193" s="9">
        <f>IF(E193="","", IF('Global Precios'!B194="",0,'Global Precios'!B194))</f>
        <v>0</v>
      </c>
      <c r="B193" s="14" t="str">
        <f>IF('Global Precios'!B194="","",'Global Precios'!B194)</f>
        <v/>
      </c>
      <c r="C193" s="18">
        <f>IF('Global Precios'!A194="","",'Global Precios'!A194)</f>
        <v>197</v>
      </c>
      <c r="D193" s="18"/>
      <c r="E193" s="25" t="str">
        <f>IF('Global Precios'!D194="","",'Global Precios'!D194)</f>
        <v>ROYAL CANIN CACHORRO RAZA PEQUEÑA Present: 7.5 kg</v>
      </c>
      <c r="F193" s="18"/>
      <c r="G193" s="25">
        <f>IFERROR(VLOOKUP(C193,'BuscarV Stock'!$A$2:$C$478,3,0),"AAA")</f>
        <v>0</v>
      </c>
      <c r="H193" s="25">
        <f t="shared" si="1"/>
        <v>0.21</v>
      </c>
      <c r="I193" s="30">
        <f>IF('Global Precios'!H194="","",'Global Precios'!H194)</f>
        <v>11855.3719</v>
      </c>
      <c r="J193" s="82">
        <f>IF('Global Precios'!K194="","",'Global Precios'!K194)</f>
        <v>0.3</v>
      </c>
      <c r="K193" s="30">
        <f>IF('Global Precios'!Z194="Desactivado",0,IF('Global Precios'!L194="","",'Global Precios'!L194))</f>
        <v>0</v>
      </c>
      <c r="L193" s="18"/>
      <c r="M193" s="18"/>
      <c r="N193" s="18"/>
      <c r="O193" s="18"/>
      <c r="P193" s="18"/>
      <c r="Q193" s="18"/>
      <c r="R193" s="18" t="str">
        <f>IF('Global Precios'!F194="","",'Global Precios'!F194)</f>
        <v>Alimentos</v>
      </c>
      <c r="S193" s="18"/>
      <c r="T193" s="18" t="str">
        <f>IF('Global Precios'!E194="","",'Global Precios'!E194)</f>
        <v>ROYAL CANIN</v>
      </c>
      <c r="U193" s="18"/>
      <c r="V193" s="18">
        <f t="shared" si="2"/>
        <v>0</v>
      </c>
      <c r="W193" s="18"/>
      <c r="X193" s="18"/>
      <c r="Y193" s="18"/>
      <c r="Z193" s="18"/>
      <c r="AA193" s="18"/>
      <c r="AB193" s="18">
        <f t="shared" si="3"/>
        <v>1</v>
      </c>
      <c r="AC193" s="18">
        <f t="shared" si="4"/>
        <v>1</v>
      </c>
      <c r="AD193" s="18">
        <f t="shared" si="5"/>
        <v>1</v>
      </c>
      <c r="AE193" s="18">
        <f t="shared" si="6"/>
        <v>1</v>
      </c>
    </row>
    <row r="194">
      <c r="A194" s="9">
        <f>IF(E194="","", IF('Global Precios'!B195="",0,'Global Precios'!B195))</f>
        <v>0</v>
      </c>
      <c r="B194" s="14" t="str">
        <f>IF('Global Precios'!B195="","",'Global Precios'!B195)</f>
        <v/>
      </c>
      <c r="C194" s="18">
        <f>IF('Global Precios'!A195="","",'Global Precios'!A195)</f>
        <v>198</v>
      </c>
      <c r="D194" s="18"/>
      <c r="E194" s="25" t="str">
        <f>IF('Global Precios'!D195="","",'Global Precios'!D195)</f>
        <v>ROYAL CANIN ADULTO RAZA PEQUEÑA Present: 7.5 kg</v>
      </c>
      <c r="F194" s="18"/>
      <c r="G194" s="25">
        <f>IFERROR(VLOOKUP(C194,'BuscarV Stock'!$A$2:$C$478,3,0),"AAA")</f>
        <v>0</v>
      </c>
      <c r="H194" s="25">
        <f t="shared" si="1"/>
        <v>0.21</v>
      </c>
      <c r="I194" s="30">
        <f>IF('Global Precios'!H195="","",'Global Precios'!H195)</f>
        <v>11906.61157</v>
      </c>
      <c r="J194" s="82">
        <f>IF('Global Precios'!K195="","",'Global Precios'!K195)</f>
        <v>0.3</v>
      </c>
      <c r="K194" s="30">
        <f>IF('Global Precios'!Z195="Desactivado",0,IF('Global Precios'!L195="","",'Global Precios'!L195))</f>
        <v>0</v>
      </c>
      <c r="L194" s="18"/>
      <c r="M194" s="18"/>
      <c r="N194" s="18"/>
      <c r="O194" s="18"/>
      <c r="P194" s="18"/>
      <c r="Q194" s="18"/>
      <c r="R194" s="18" t="str">
        <f>IF('Global Precios'!F195="","",'Global Precios'!F195)</f>
        <v>Alimentos</v>
      </c>
      <c r="S194" s="18"/>
      <c r="T194" s="18" t="str">
        <f>IF('Global Precios'!E195="","",'Global Precios'!E195)</f>
        <v>ROYAL CANIN</v>
      </c>
      <c r="U194" s="18"/>
      <c r="V194" s="18">
        <f t="shared" si="2"/>
        <v>0</v>
      </c>
      <c r="W194" s="18"/>
      <c r="X194" s="18"/>
      <c r="Y194" s="18"/>
      <c r="Z194" s="18"/>
      <c r="AA194" s="18"/>
      <c r="AB194" s="18">
        <f t="shared" si="3"/>
        <v>1</v>
      </c>
      <c r="AC194" s="18">
        <f t="shared" si="4"/>
        <v>1</v>
      </c>
      <c r="AD194" s="18">
        <f t="shared" si="5"/>
        <v>1</v>
      </c>
      <c r="AE194" s="18">
        <f t="shared" si="6"/>
        <v>1</v>
      </c>
    </row>
    <row r="195">
      <c r="A195" s="9">
        <f>IF(E195="","", IF('Global Precios'!B196="",0,'Global Precios'!B196))</f>
        <v>0</v>
      </c>
      <c r="B195" s="14" t="str">
        <f>IF('Global Precios'!B196="","",'Global Precios'!B196)</f>
        <v/>
      </c>
      <c r="C195" s="18">
        <f>IF('Global Precios'!A196="","",'Global Precios'!A196)</f>
        <v>199</v>
      </c>
      <c r="D195" s="18"/>
      <c r="E195" s="25" t="str">
        <f>IF('Global Precios'!D196="","",'Global Precios'!D196)</f>
        <v>PROTELIV GOTAS x 15 ml</v>
      </c>
      <c r="F195" s="18"/>
      <c r="G195" s="25">
        <f>IFERROR(VLOOKUP(C195,'BuscarV Stock'!$A$2:$C$478,3,0),"AAA")</f>
        <v>3</v>
      </c>
      <c r="H195" s="25">
        <f t="shared" si="1"/>
        <v>0.21</v>
      </c>
      <c r="I195" s="30">
        <f>IF('Global Precios'!H196="","",'Global Precios'!H196)</f>
        <v>4089.256198</v>
      </c>
      <c r="J195" s="82">
        <f>IF('Global Precios'!K196="","",'Global Precios'!K196)</f>
        <v>0.8</v>
      </c>
      <c r="K195" s="30">
        <f>IF('Global Precios'!Z196="Desactivado",0,IF('Global Precios'!L196="","",'Global Precios'!L196))</f>
        <v>9000</v>
      </c>
      <c r="L195" s="18"/>
      <c r="M195" s="18"/>
      <c r="N195" s="18"/>
      <c r="O195" s="18"/>
      <c r="P195" s="18"/>
      <c r="Q195" s="18"/>
      <c r="R195" s="18" t="str">
        <f>IF('Global Precios'!F196="","",'Global Precios'!F196)</f>
        <v>Medicamentos</v>
      </c>
      <c r="S195" s="18"/>
      <c r="T195" s="18" t="str">
        <f>IF('Global Precios'!E196="","",'Global Precios'!E196)</f>
        <v>Lab. joliday</v>
      </c>
      <c r="U195" s="18"/>
      <c r="V195" s="18">
        <f t="shared" si="2"/>
        <v>0</v>
      </c>
      <c r="W195" s="18"/>
      <c r="X195" s="18"/>
      <c r="Y195" s="18"/>
      <c r="Z195" s="18"/>
      <c r="AA195" s="18"/>
      <c r="AB195" s="18">
        <f t="shared" si="3"/>
        <v>1</v>
      </c>
      <c r="AC195" s="18">
        <f t="shared" si="4"/>
        <v>1</v>
      </c>
      <c r="AD195" s="18">
        <f t="shared" si="5"/>
        <v>1</v>
      </c>
      <c r="AE195" s="18">
        <f t="shared" si="6"/>
        <v>1</v>
      </c>
    </row>
    <row r="196">
      <c r="A196" s="9">
        <f>IF(E196="","", IF('Global Precios'!B197="",0,'Global Precios'!B197))</f>
        <v>0</v>
      </c>
      <c r="B196" s="14" t="str">
        <f>IF('Global Precios'!B197="","",'Global Precios'!B197)</f>
        <v/>
      </c>
      <c r="C196" s="18">
        <f>IF('Global Precios'!A197="","",'Global Precios'!A197)</f>
        <v>200</v>
      </c>
      <c r="D196" s="18"/>
      <c r="E196" s="25" t="str">
        <f>IF('Global Precios'!D197="","",'Global Precios'!D197)</f>
        <v>ODONTOBIOTIC  Blister x 10 Comp</v>
      </c>
      <c r="F196" s="18"/>
      <c r="G196" s="25">
        <f>IFERROR(VLOOKUP(C196,'BuscarV Stock'!$A$2:$C$478,3,0),"AAA")</f>
        <v>5</v>
      </c>
      <c r="H196" s="25">
        <f t="shared" si="1"/>
        <v>0.21</v>
      </c>
      <c r="I196" s="30">
        <f>IF('Global Precios'!H197="","",'Global Precios'!H197)</f>
        <v>4958.677686</v>
      </c>
      <c r="J196" s="82">
        <f>IF('Global Precios'!K197="","",'Global Precios'!K197)</f>
        <v>0.9</v>
      </c>
      <c r="K196" s="30">
        <f>IF('Global Precios'!Z197="Desactivado",0,IF('Global Precios'!L197="","",'Global Precios'!L197))</f>
        <v>11000</v>
      </c>
      <c r="L196" s="18"/>
      <c r="M196" s="18"/>
      <c r="N196" s="18"/>
      <c r="O196" s="18"/>
      <c r="P196" s="18"/>
      <c r="Q196" s="18"/>
      <c r="R196" s="18" t="str">
        <f>IF('Global Precios'!F197="","",'Global Precios'!F197)</f>
        <v>Medicamentos</v>
      </c>
      <c r="S196" s="18"/>
      <c r="T196" s="18" t="str">
        <f>IF('Global Precios'!E197="","",'Global Precios'!E197)</f>
        <v>Jambier</v>
      </c>
      <c r="U196" s="18"/>
      <c r="V196" s="18">
        <f t="shared" si="2"/>
        <v>0</v>
      </c>
      <c r="W196" s="18"/>
      <c r="X196" s="18"/>
      <c r="Y196" s="18"/>
      <c r="Z196" s="18"/>
      <c r="AA196" s="18"/>
      <c r="AB196" s="18">
        <f t="shared" si="3"/>
        <v>1</v>
      </c>
      <c r="AC196" s="18">
        <f t="shared" si="4"/>
        <v>1</v>
      </c>
      <c r="AD196" s="18">
        <f t="shared" si="5"/>
        <v>1</v>
      </c>
      <c r="AE196" s="18">
        <f t="shared" si="6"/>
        <v>1</v>
      </c>
    </row>
    <row r="197">
      <c r="A197" s="9">
        <f>IF(E197="","", IF('Global Precios'!B198="",0,'Global Precios'!B198))</f>
        <v>7797453972789</v>
      </c>
      <c r="B197" s="14">
        <f>IF('Global Precios'!B198="","",'Global Precios'!B198)</f>
        <v>7797453972789</v>
      </c>
      <c r="C197" s="18">
        <f>IF('Global Precios'!A198="","",'Global Precios'!A198)</f>
        <v>201</v>
      </c>
      <c r="D197" s="18"/>
      <c r="E197" s="25" t="str">
        <f>IF('Global Precios'!D198="","",'Global Precios'!D198)</f>
        <v>OPTIMUM SOBRE CACHORRO POLLO 100 gr</v>
      </c>
      <c r="F197" s="18"/>
      <c r="G197" s="25">
        <f>IFERROR(VLOOKUP(C197,'BuscarV Stock'!$A$2:$C$478,3,0),"AAA")</f>
        <v>11</v>
      </c>
      <c r="H197" s="25">
        <f t="shared" si="1"/>
        <v>0.21</v>
      </c>
      <c r="I197" s="30">
        <f>IF('Global Precios'!H198="","",'Global Precios'!H198)</f>
        <v>123.9669421</v>
      </c>
      <c r="J197" s="82">
        <f>IF('Global Precios'!K198="","",'Global Precios'!K198)</f>
        <v>0.4</v>
      </c>
      <c r="K197" s="30">
        <f>IF('Global Precios'!Z198="Desactivado",0,IF('Global Precios'!L198="","",'Global Precios'!L198))</f>
        <v>0</v>
      </c>
      <c r="L197" s="18"/>
      <c r="M197" s="18"/>
      <c r="N197" s="18"/>
      <c r="O197" s="18"/>
      <c r="P197" s="18"/>
      <c r="Q197" s="18"/>
      <c r="R197" s="18" t="str">
        <f>IF('Global Precios'!F198="","",'Global Precios'!F198)</f>
        <v>Alimentos</v>
      </c>
      <c r="S197" s="18"/>
      <c r="T197" s="18" t="str">
        <f>IF('Global Precios'!E198="","",'Global Precios'!E198)</f>
        <v>OPTIMUM</v>
      </c>
      <c r="U197" s="18"/>
      <c r="V197" s="18">
        <f t="shared" si="2"/>
        <v>0</v>
      </c>
      <c r="W197" s="18"/>
      <c r="X197" s="18"/>
      <c r="Y197" s="18"/>
      <c r="Z197" s="18"/>
      <c r="AA197" s="18"/>
      <c r="AB197" s="18">
        <f t="shared" si="3"/>
        <v>1</v>
      </c>
      <c r="AC197" s="18">
        <f t="shared" si="4"/>
        <v>1</v>
      </c>
      <c r="AD197" s="18">
        <f t="shared" si="5"/>
        <v>1</v>
      </c>
      <c r="AE197" s="18">
        <f t="shared" si="6"/>
        <v>1</v>
      </c>
    </row>
    <row r="198">
      <c r="A198" s="9">
        <f>IF(E198="","", IF('Global Precios'!B199="",0,'Global Precios'!B199))</f>
        <v>7797453972796</v>
      </c>
      <c r="B198" s="14">
        <f>IF('Global Precios'!B199="","",'Global Precios'!B199)</f>
        <v>7797453972796</v>
      </c>
      <c r="C198" s="18">
        <f>IF('Global Precios'!A199="","",'Global Precios'!A199)</f>
        <v>202</v>
      </c>
      <c r="D198" s="18"/>
      <c r="E198" s="25" t="str">
        <f>IF('Global Precios'!D199="","",'Global Precios'!D199)</f>
        <v>OPTIMUM SOBRE ADULTO RAZAS PEQUEÑAS POLLO 100 gr</v>
      </c>
      <c r="F198" s="18"/>
      <c r="G198" s="25">
        <f>IFERROR(VLOOKUP(C198,'BuscarV Stock'!$A$2:$C$478,3,0),"AAA")</f>
        <v>1</v>
      </c>
      <c r="H198" s="25">
        <f t="shared" si="1"/>
        <v>0.21</v>
      </c>
      <c r="I198" s="30">
        <f>IF('Global Precios'!H199="","",'Global Precios'!H199)</f>
        <v>119.0082645</v>
      </c>
      <c r="J198" s="82">
        <f>IF('Global Precios'!K199="","",'Global Precios'!K199)</f>
        <v>0.4</v>
      </c>
      <c r="K198" s="30">
        <f>IF('Global Precios'!Z199="Desactivado",0,IF('Global Precios'!L199="","",'Global Precios'!L199))</f>
        <v>0</v>
      </c>
      <c r="L198" s="18"/>
      <c r="M198" s="18"/>
      <c r="N198" s="18"/>
      <c r="O198" s="18"/>
      <c r="P198" s="18"/>
      <c r="Q198" s="18"/>
      <c r="R198" s="18" t="str">
        <f>IF('Global Precios'!F199="","",'Global Precios'!F199)</f>
        <v>Alimentos</v>
      </c>
      <c r="S198" s="18"/>
      <c r="T198" s="18" t="str">
        <f>IF('Global Precios'!E199="","",'Global Precios'!E199)</f>
        <v>OPTIMUM</v>
      </c>
      <c r="U198" s="18"/>
      <c r="V198" s="18">
        <f t="shared" si="2"/>
        <v>0</v>
      </c>
      <c r="W198" s="18"/>
      <c r="X198" s="18"/>
      <c r="Y198" s="18"/>
      <c r="Z198" s="18"/>
      <c r="AA198" s="18"/>
      <c r="AB198" s="18">
        <f t="shared" si="3"/>
        <v>1</v>
      </c>
      <c r="AC198" s="18">
        <f t="shared" si="4"/>
        <v>1</v>
      </c>
      <c r="AD198" s="18">
        <f t="shared" si="5"/>
        <v>1</v>
      </c>
      <c r="AE198" s="18">
        <f t="shared" si="6"/>
        <v>1</v>
      </c>
    </row>
    <row r="199">
      <c r="A199" s="9">
        <f>IF(E199="","", IF('Global Precios'!B200="",0,'Global Precios'!B200))</f>
        <v>7797453972802</v>
      </c>
      <c r="B199" s="14">
        <f>IF('Global Precios'!B200="","",'Global Precios'!B200)</f>
        <v>7797453972802</v>
      </c>
      <c r="C199" s="18">
        <f>IF('Global Precios'!A200="","",'Global Precios'!A200)</f>
        <v>203</v>
      </c>
      <c r="D199" s="18"/>
      <c r="E199" s="25" t="str">
        <f>IF('Global Precios'!D200="","",'Global Precios'!D200)</f>
        <v>OPTIMUM SOBRE ADULTO RAZAS MED/GRAND POLLO 100 gr</v>
      </c>
      <c r="F199" s="18"/>
      <c r="G199" s="25">
        <f>IFERROR(VLOOKUP(C199,'BuscarV Stock'!$A$2:$C$478,3,0),"AAA")</f>
        <v>2</v>
      </c>
      <c r="H199" s="25">
        <f t="shared" si="1"/>
        <v>0.21</v>
      </c>
      <c r="I199" s="30">
        <f>IF('Global Precios'!H200="","",'Global Precios'!H200)</f>
        <v>119.0082645</v>
      </c>
      <c r="J199" s="82">
        <f>IF('Global Precios'!K200="","",'Global Precios'!K200)</f>
        <v>0.4</v>
      </c>
      <c r="K199" s="30">
        <f>IF('Global Precios'!Z200="Desactivado",0,IF('Global Precios'!L200="","",'Global Precios'!L200))</f>
        <v>0</v>
      </c>
      <c r="L199" s="18"/>
      <c r="M199" s="18"/>
      <c r="N199" s="18"/>
      <c r="O199" s="18"/>
      <c r="P199" s="18"/>
      <c r="Q199" s="18"/>
      <c r="R199" s="18" t="str">
        <f>IF('Global Precios'!F200="","",'Global Precios'!F200)</f>
        <v>Alimentos</v>
      </c>
      <c r="S199" s="18"/>
      <c r="T199" s="18" t="str">
        <f>IF('Global Precios'!E200="","",'Global Precios'!E200)</f>
        <v>OPTIMUM</v>
      </c>
      <c r="U199" s="18"/>
      <c r="V199" s="18">
        <f t="shared" si="2"/>
        <v>0</v>
      </c>
      <c r="W199" s="18"/>
      <c r="X199" s="18"/>
      <c r="Y199" s="18"/>
      <c r="Z199" s="18"/>
      <c r="AA199" s="18"/>
      <c r="AB199" s="18">
        <f t="shared" si="3"/>
        <v>1</v>
      </c>
      <c r="AC199" s="18">
        <f t="shared" si="4"/>
        <v>1</v>
      </c>
      <c r="AD199" s="18">
        <f t="shared" si="5"/>
        <v>1</v>
      </c>
      <c r="AE199" s="18">
        <f t="shared" si="6"/>
        <v>1</v>
      </c>
    </row>
    <row r="200">
      <c r="A200" s="9">
        <f>IF(E200="","", IF('Global Precios'!B201="",0,'Global Precios'!B201))</f>
        <v>7797453972819</v>
      </c>
      <c r="B200" s="14">
        <f>IF('Global Precios'!B201="","",'Global Precios'!B201)</f>
        <v>7797453972819</v>
      </c>
      <c r="C200" s="18">
        <f>IF('Global Precios'!A201="","",'Global Precios'!A201)</f>
        <v>204</v>
      </c>
      <c r="D200" s="18"/>
      <c r="E200" s="25" t="str">
        <f>IF('Global Precios'!D201="","",'Global Precios'!D201)</f>
        <v>OPTIMUM SOBRE GATITO POLLO 85 gr</v>
      </c>
      <c r="F200" s="18"/>
      <c r="G200" s="25">
        <f>IFERROR(VLOOKUP(C200,'BuscarV Stock'!$A$2:$C$478,3,0),"AAA")</f>
        <v>0</v>
      </c>
      <c r="H200" s="25">
        <f t="shared" si="1"/>
        <v>0.21</v>
      </c>
      <c r="I200" s="30">
        <f>IF('Global Precios'!H201="","",'Global Precios'!H201)</f>
        <v>119.0082645</v>
      </c>
      <c r="J200" s="82">
        <f>IF('Global Precios'!K201="","",'Global Precios'!K201)</f>
        <v>0.4</v>
      </c>
      <c r="K200" s="30">
        <f>IF('Global Precios'!Z201="Desactivado",0,IF('Global Precios'!L201="","",'Global Precios'!L201))</f>
        <v>0</v>
      </c>
      <c r="L200" s="18"/>
      <c r="M200" s="18"/>
      <c r="N200" s="18"/>
      <c r="O200" s="18"/>
      <c r="P200" s="18"/>
      <c r="Q200" s="18"/>
      <c r="R200" s="18" t="str">
        <f>IF('Global Precios'!F201="","",'Global Precios'!F201)</f>
        <v>Alimentos</v>
      </c>
      <c r="S200" s="18"/>
      <c r="T200" s="18" t="str">
        <f>IF('Global Precios'!E201="","",'Global Precios'!E201)</f>
        <v>OPTIMUM</v>
      </c>
      <c r="U200" s="18"/>
      <c r="V200" s="18">
        <f t="shared" si="2"/>
        <v>0</v>
      </c>
      <c r="W200" s="18"/>
      <c r="X200" s="18"/>
      <c r="Y200" s="18"/>
      <c r="Z200" s="18"/>
      <c r="AA200" s="18"/>
      <c r="AB200" s="18">
        <f t="shared" si="3"/>
        <v>1</v>
      </c>
      <c r="AC200" s="18">
        <f t="shared" si="4"/>
        <v>1</v>
      </c>
      <c r="AD200" s="18">
        <f t="shared" si="5"/>
        <v>1</v>
      </c>
      <c r="AE200" s="18">
        <f t="shared" si="6"/>
        <v>1</v>
      </c>
    </row>
    <row r="201">
      <c r="A201" s="9">
        <f>IF(E201="","", IF('Global Precios'!B202="",0,'Global Precios'!B202))</f>
        <v>7797453972826</v>
      </c>
      <c r="B201" s="14">
        <f>IF('Global Precios'!B202="","",'Global Precios'!B202)</f>
        <v>7797453972826</v>
      </c>
      <c r="C201" s="18">
        <f>IF('Global Precios'!A202="","",'Global Precios'!A202)</f>
        <v>205</v>
      </c>
      <c r="D201" s="18"/>
      <c r="E201" s="25" t="str">
        <f>IF('Global Precios'!D202="","",'Global Precios'!D202)</f>
        <v>OPTIMUM SOBRE GATO ADULT POLLO 85 gr</v>
      </c>
      <c r="F201" s="18"/>
      <c r="G201" s="25">
        <f>IFERROR(VLOOKUP(C201,'BuscarV Stock'!$A$2:$C$478,3,0),"AAA")</f>
        <v>0</v>
      </c>
      <c r="H201" s="25">
        <f t="shared" si="1"/>
        <v>0.21</v>
      </c>
      <c r="I201" s="30">
        <f>IF('Global Precios'!H202="","",'Global Precios'!H202)</f>
        <v>119.0082645</v>
      </c>
      <c r="J201" s="82">
        <f>IF('Global Precios'!K202="","",'Global Precios'!K202)</f>
        <v>0.4</v>
      </c>
      <c r="K201" s="30">
        <f>IF('Global Precios'!Z202="Desactivado",0,IF('Global Precios'!L202="","",'Global Precios'!L202))</f>
        <v>0</v>
      </c>
      <c r="L201" s="18"/>
      <c r="M201" s="18"/>
      <c r="N201" s="18"/>
      <c r="O201" s="18"/>
      <c r="P201" s="18"/>
      <c r="Q201" s="18"/>
      <c r="R201" s="18" t="str">
        <f>IF('Global Precios'!F202="","",'Global Precios'!F202)</f>
        <v>Alimentos</v>
      </c>
      <c r="S201" s="18"/>
      <c r="T201" s="18" t="str">
        <f>IF('Global Precios'!E202="","",'Global Precios'!E202)</f>
        <v>OPTIMUM</v>
      </c>
      <c r="U201" s="18"/>
      <c r="V201" s="18">
        <f t="shared" si="2"/>
        <v>0</v>
      </c>
      <c r="W201" s="18"/>
      <c r="X201" s="18"/>
      <c r="Y201" s="18"/>
      <c r="Z201" s="18"/>
      <c r="AA201" s="18"/>
      <c r="AB201" s="18">
        <f t="shared" si="3"/>
        <v>1</v>
      </c>
      <c r="AC201" s="18">
        <f t="shared" si="4"/>
        <v>1</v>
      </c>
      <c r="AD201" s="18">
        <f t="shared" si="5"/>
        <v>1</v>
      </c>
      <c r="AE201" s="18">
        <f t="shared" si="6"/>
        <v>1</v>
      </c>
    </row>
    <row r="202">
      <c r="A202" s="9">
        <f>IF(E202="","", IF('Global Precios'!B203="",0,'Global Precios'!B203))</f>
        <v>7797453972833</v>
      </c>
      <c r="B202" s="14">
        <f>IF('Global Precios'!B203="","",'Global Precios'!B203)</f>
        <v>7797453972833</v>
      </c>
      <c r="C202" s="18">
        <f>IF('Global Precios'!A203="","",'Global Precios'!A203)</f>
        <v>206</v>
      </c>
      <c r="D202" s="18"/>
      <c r="E202" s="25" t="str">
        <f>IF('Global Precios'!D203="","",'Global Precios'!D203)</f>
        <v>OPTIMUM SOBRE GATOS CASTRADOS POLLO 85 gr</v>
      </c>
      <c r="F202" s="18"/>
      <c r="G202" s="25">
        <f>IFERROR(VLOOKUP(C202,'BuscarV Stock'!$A$2:$C$478,3,0),"AAA")</f>
        <v>0</v>
      </c>
      <c r="H202" s="25">
        <f t="shared" si="1"/>
        <v>0.21</v>
      </c>
      <c r="I202" s="30">
        <f>IF('Global Precios'!H203="","",'Global Precios'!H203)</f>
        <v>119.0082645</v>
      </c>
      <c r="J202" s="82">
        <f>IF('Global Precios'!K203="","",'Global Precios'!K203)</f>
        <v>0.4</v>
      </c>
      <c r="K202" s="30">
        <f>IF('Global Precios'!Z203="Desactivado",0,IF('Global Precios'!L203="","",'Global Precios'!L203))</f>
        <v>0</v>
      </c>
      <c r="L202" s="18"/>
      <c r="M202" s="18"/>
      <c r="N202" s="18"/>
      <c r="O202" s="18"/>
      <c r="P202" s="18"/>
      <c r="Q202" s="18"/>
      <c r="R202" s="18" t="str">
        <f>IF('Global Precios'!F203="","",'Global Precios'!F203)</f>
        <v>Alimentos</v>
      </c>
      <c r="S202" s="18"/>
      <c r="T202" s="18" t="str">
        <f>IF('Global Precios'!E203="","",'Global Precios'!E203)</f>
        <v>OPTIMUM</v>
      </c>
      <c r="U202" s="18"/>
      <c r="V202" s="18">
        <f t="shared" si="2"/>
        <v>0</v>
      </c>
      <c r="W202" s="18"/>
      <c r="X202" s="18"/>
      <c r="Y202" s="18"/>
      <c r="Z202" s="18"/>
      <c r="AA202" s="18"/>
      <c r="AB202" s="18">
        <f t="shared" si="3"/>
        <v>1</v>
      </c>
      <c r="AC202" s="18">
        <f t="shared" si="4"/>
        <v>1</v>
      </c>
      <c r="AD202" s="18">
        <f t="shared" si="5"/>
        <v>1</v>
      </c>
      <c r="AE202" s="18">
        <f t="shared" si="6"/>
        <v>1</v>
      </c>
    </row>
    <row r="203">
      <c r="A203" s="9">
        <f>IF(E203="","", IF('Global Precios'!B204="",0,'Global Precios'!B204))</f>
        <v>7797453972604</v>
      </c>
      <c r="B203" s="14">
        <f>IF('Global Precios'!B204="","",'Global Precios'!B204)</f>
        <v>7797453972604</v>
      </c>
      <c r="C203" s="18">
        <f>IF('Global Precios'!A204="","",'Global Precios'!A204)</f>
        <v>207</v>
      </c>
      <c r="D203" s="18"/>
      <c r="E203" s="25" t="str">
        <f>IF('Global Precios'!D204="","",'Global Precios'!D204)</f>
        <v>OPTIMUM CACHORRO RAZAS PEQUEÑAS POLLO Y ARROZ 3 kg</v>
      </c>
      <c r="F203" s="18"/>
      <c r="G203" s="25">
        <f>IFERROR(VLOOKUP(C203,'BuscarV Stock'!$A$2:$C$478,3,0),"AAA")</f>
        <v>0</v>
      </c>
      <c r="H203" s="25">
        <f t="shared" si="1"/>
        <v>0.21</v>
      </c>
      <c r="I203" s="30">
        <f>IF('Global Precios'!H204="","",'Global Precios'!H204)</f>
        <v>1305.785124</v>
      </c>
      <c r="J203" s="82">
        <f>IF('Global Precios'!K204="","",'Global Precios'!K204)</f>
        <v>0.45</v>
      </c>
      <c r="K203" s="30">
        <f>IF('Global Precios'!Z204="Desactivado",0,IF('Global Precios'!L204="","",'Global Precios'!L204))</f>
        <v>0</v>
      </c>
      <c r="L203" s="18"/>
      <c r="M203" s="18"/>
      <c r="N203" s="18"/>
      <c r="O203" s="18"/>
      <c r="P203" s="18"/>
      <c r="Q203" s="18"/>
      <c r="R203" s="18" t="str">
        <f>IF('Global Precios'!F204="","",'Global Precios'!F204)</f>
        <v>Alimentos</v>
      </c>
      <c r="S203" s="18"/>
      <c r="T203" s="18" t="str">
        <f>IF('Global Precios'!E204="","",'Global Precios'!E204)</f>
        <v>OPTIMUM</v>
      </c>
      <c r="U203" s="18"/>
      <c r="V203" s="18">
        <f t="shared" si="2"/>
        <v>0</v>
      </c>
      <c r="W203" s="18"/>
      <c r="X203" s="18"/>
      <c r="Y203" s="18"/>
      <c r="Z203" s="18"/>
      <c r="AA203" s="18"/>
      <c r="AB203" s="18">
        <f t="shared" si="3"/>
        <v>1</v>
      </c>
      <c r="AC203" s="18">
        <f t="shared" si="4"/>
        <v>1</v>
      </c>
      <c r="AD203" s="18">
        <f t="shared" si="5"/>
        <v>1</v>
      </c>
      <c r="AE203" s="18">
        <f t="shared" si="6"/>
        <v>1</v>
      </c>
    </row>
    <row r="204">
      <c r="A204" s="9">
        <f>IF(E204="","", IF('Global Precios'!B205="",0,'Global Precios'!B205))</f>
        <v>7797453972635</v>
      </c>
      <c r="B204" s="14">
        <f>IF('Global Precios'!B205="","",'Global Precios'!B205)</f>
        <v>7797453972635</v>
      </c>
      <c r="C204" s="18">
        <f>IF('Global Precios'!A205="","",'Global Precios'!A205)</f>
        <v>208</v>
      </c>
      <c r="D204" s="18"/>
      <c r="E204" s="25" t="str">
        <f>IF('Global Precios'!D205="","",'Global Precios'!D205)</f>
        <v>OPTIMUM CACHORRO RAZAS MED./GRND POLLO Y ARROZ 3KG</v>
      </c>
      <c r="F204" s="18"/>
      <c r="G204" s="25">
        <f>IFERROR(VLOOKUP(C204,'BuscarV Stock'!$A$2:$C$478,3,0),"AAA")</f>
        <v>0</v>
      </c>
      <c r="H204" s="25">
        <f t="shared" si="1"/>
        <v>0.21</v>
      </c>
      <c r="I204" s="30">
        <f>IF('Global Precios'!H205="","",'Global Precios'!H205)</f>
        <v>1305.785124</v>
      </c>
      <c r="J204" s="82">
        <f>IF('Global Precios'!K205="","",'Global Precios'!K205)</f>
        <v>0.45</v>
      </c>
      <c r="K204" s="30">
        <f>IF('Global Precios'!Z205="Desactivado",0,IF('Global Precios'!L205="","",'Global Precios'!L205))</f>
        <v>0</v>
      </c>
      <c r="L204" s="18"/>
      <c r="M204" s="18"/>
      <c r="N204" s="18"/>
      <c r="O204" s="18"/>
      <c r="P204" s="18"/>
      <c r="Q204" s="18"/>
      <c r="R204" s="18" t="str">
        <f>IF('Global Precios'!F205="","",'Global Precios'!F205)</f>
        <v>Alimentos</v>
      </c>
      <c r="S204" s="18"/>
      <c r="T204" s="18" t="str">
        <f>IF('Global Precios'!E205="","",'Global Precios'!E205)</f>
        <v>OPTIMUM</v>
      </c>
      <c r="U204" s="18"/>
      <c r="V204" s="18">
        <f t="shared" si="2"/>
        <v>0</v>
      </c>
      <c r="W204" s="18"/>
      <c r="X204" s="18"/>
      <c r="Y204" s="18"/>
      <c r="Z204" s="18"/>
      <c r="AA204" s="18"/>
      <c r="AB204" s="18">
        <f t="shared" si="3"/>
        <v>1</v>
      </c>
      <c r="AC204" s="18">
        <f t="shared" si="4"/>
        <v>1</v>
      </c>
      <c r="AD204" s="18">
        <f t="shared" si="5"/>
        <v>1</v>
      </c>
      <c r="AE204" s="18">
        <f t="shared" si="6"/>
        <v>1</v>
      </c>
    </row>
    <row r="205">
      <c r="A205" s="9">
        <f>IF(E205="","", IF('Global Precios'!B206="",0,'Global Precios'!B206))</f>
        <v>7797453972666</v>
      </c>
      <c r="B205" s="14">
        <f>IF('Global Precios'!B206="","",'Global Precios'!B206)</f>
        <v>7797453972666</v>
      </c>
      <c r="C205" s="18">
        <f>IF('Global Precios'!A206="","",'Global Precios'!A206)</f>
        <v>209</v>
      </c>
      <c r="D205" s="18"/>
      <c r="E205" s="25" t="str">
        <f>IF('Global Precios'!D206="","",'Global Precios'!D206)</f>
        <v>OPTIMUM ADULTO RAZAS PEQUEÑAS POLLO Y ARROZ 3KG</v>
      </c>
      <c r="F205" s="18"/>
      <c r="G205" s="25">
        <f>IFERROR(VLOOKUP(C205,'BuscarV Stock'!$A$2:$C$478,3,0),"AAA")</f>
        <v>0</v>
      </c>
      <c r="H205" s="25">
        <f t="shared" si="1"/>
        <v>0.21</v>
      </c>
      <c r="I205" s="30">
        <f>IF('Global Precios'!H206="","",'Global Precios'!H206)</f>
        <v>1239.669421</v>
      </c>
      <c r="J205" s="82">
        <f>IF('Global Precios'!K206="","",'Global Precios'!K206)</f>
        <v>0.45</v>
      </c>
      <c r="K205" s="30">
        <f>IF('Global Precios'!Z206="Desactivado",0,IF('Global Precios'!L206="","",'Global Precios'!L206))</f>
        <v>0</v>
      </c>
      <c r="L205" s="18"/>
      <c r="M205" s="18"/>
      <c r="N205" s="18"/>
      <c r="O205" s="18"/>
      <c r="P205" s="18"/>
      <c r="Q205" s="18"/>
      <c r="R205" s="18" t="str">
        <f>IF('Global Precios'!F206="","",'Global Precios'!F206)</f>
        <v>Alimentos</v>
      </c>
      <c r="S205" s="18"/>
      <c r="T205" s="18" t="str">
        <f>IF('Global Precios'!E206="","",'Global Precios'!E206)</f>
        <v>OPTIMUM</v>
      </c>
      <c r="U205" s="18"/>
      <c r="V205" s="18">
        <f t="shared" si="2"/>
        <v>0</v>
      </c>
      <c r="W205" s="18"/>
      <c r="X205" s="18"/>
      <c r="Y205" s="18"/>
      <c r="Z205" s="18"/>
      <c r="AA205" s="18"/>
      <c r="AB205" s="18">
        <f t="shared" si="3"/>
        <v>1</v>
      </c>
      <c r="AC205" s="18">
        <f t="shared" si="4"/>
        <v>1</v>
      </c>
      <c r="AD205" s="18">
        <f t="shared" si="5"/>
        <v>1</v>
      </c>
      <c r="AE205" s="18">
        <f t="shared" si="6"/>
        <v>1</v>
      </c>
    </row>
    <row r="206">
      <c r="A206" s="9">
        <f>IF(E206="","", IF('Global Precios'!B207="",0,'Global Precios'!B207))</f>
        <v>7797453972680</v>
      </c>
      <c r="B206" s="14">
        <f>IF('Global Precios'!B207="","",'Global Precios'!B207)</f>
        <v>7797453972680</v>
      </c>
      <c r="C206" s="18">
        <f>IF('Global Precios'!A207="","",'Global Precios'!A207)</f>
        <v>210</v>
      </c>
      <c r="D206" s="18"/>
      <c r="E206" s="25" t="str">
        <f>IF('Global Precios'!D207="","",'Global Precios'!D207)</f>
        <v>OPTIMUM ADULTO RAZAS MED/GRANDES POLLO Y ARROZ 3KG</v>
      </c>
      <c r="F206" s="18"/>
      <c r="G206" s="25">
        <f>IFERROR(VLOOKUP(C206,'BuscarV Stock'!$A$2:$C$478,3,0),"AAA")</f>
        <v>0</v>
      </c>
      <c r="H206" s="25">
        <f t="shared" si="1"/>
        <v>0.21</v>
      </c>
      <c r="I206" s="30">
        <f>IF('Global Precios'!H207="","",'Global Precios'!H207)</f>
        <v>1239.669421</v>
      </c>
      <c r="J206" s="82">
        <f>IF('Global Precios'!K207="","",'Global Precios'!K207)</f>
        <v>0.45</v>
      </c>
      <c r="K206" s="30">
        <f>IF('Global Precios'!Z207="Desactivado",0,IF('Global Precios'!L207="","",'Global Precios'!L207))</f>
        <v>0</v>
      </c>
      <c r="L206" s="18"/>
      <c r="M206" s="18"/>
      <c r="N206" s="18"/>
      <c r="O206" s="18"/>
      <c r="P206" s="18"/>
      <c r="Q206" s="18"/>
      <c r="R206" s="18" t="str">
        <f>IF('Global Precios'!F207="","",'Global Precios'!F207)</f>
        <v>Alimentos</v>
      </c>
      <c r="S206" s="18"/>
      <c r="T206" s="18" t="str">
        <f>IF('Global Precios'!E207="","",'Global Precios'!E207)</f>
        <v>OPTIMUM</v>
      </c>
      <c r="U206" s="18"/>
      <c r="V206" s="18">
        <f t="shared" si="2"/>
        <v>0</v>
      </c>
      <c r="W206" s="18"/>
      <c r="X206" s="18"/>
      <c r="Y206" s="18"/>
      <c r="Z206" s="18"/>
      <c r="AA206" s="18"/>
      <c r="AB206" s="18">
        <f t="shared" si="3"/>
        <v>1</v>
      </c>
      <c r="AC206" s="18">
        <f t="shared" si="4"/>
        <v>1</v>
      </c>
      <c r="AD206" s="18">
        <f t="shared" si="5"/>
        <v>1</v>
      </c>
      <c r="AE206" s="18">
        <f t="shared" si="6"/>
        <v>1</v>
      </c>
    </row>
    <row r="207">
      <c r="A207" s="9">
        <f>IF(E207="","", IF('Global Precios'!B208="",0,'Global Precios'!B208))</f>
        <v>7797453972703</v>
      </c>
      <c r="B207" s="14">
        <f>IF('Global Precios'!B208="","",'Global Precios'!B208)</f>
        <v>7797453972703</v>
      </c>
      <c r="C207" s="18">
        <f>IF('Global Precios'!A208="","",'Global Precios'!A208)</f>
        <v>211</v>
      </c>
      <c r="D207" s="18"/>
      <c r="E207" s="25" t="str">
        <f>IF('Global Precios'!D208="","",'Global Precios'!D208)</f>
        <v>OPTIMUM GATITOS POLLO 1KG</v>
      </c>
      <c r="F207" s="18"/>
      <c r="G207" s="25">
        <f>IFERROR(VLOOKUP(C207,'BuscarV Stock'!$A$2:$C$478,3,0),"AAA")</f>
        <v>0</v>
      </c>
      <c r="H207" s="25">
        <f t="shared" si="1"/>
        <v>0.21</v>
      </c>
      <c r="I207" s="30">
        <f>IF('Global Precios'!H208="","",'Global Precios'!H208)</f>
        <v>793.3884298</v>
      </c>
      <c r="J207" s="82">
        <f>IF('Global Precios'!K208="","",'Global Precios'!K208)</f>
        <v>0.45</v>
      </c>
      <c r="K207" s="30">
        <f>IF('Global Precios'!Z208="Desactivado",0,IF('Global Precios'!L208="","",'Global Precios'!L208))</f>
        <v>0</v>
      </c>
      <c r="L207" s="18"/>
      <c r="M207" s="18"/>
      <c r="N207" s="18"/>
      <c r="O207" s="18"/>
      <c r="P207" s="18"/>
      <c r="Q207" s="18"/>
      <c r="R207" s="18" t="str">
        <f>IF('Global Precios'!F208="","",'Global Precios'!F208)</f>
        <v>Alimentos</v>
      </c>
      <c r="S207" s="18"/>
      <c r="T207" s="18" t="str">
        <f>IF('Global Precios'!E208="","",'Global Precios'!E208)</f>
        <v>OPTIMUM</v>
      </c>
      <c r="U207" s="18"/>
      <c r="V207" s="18">
        <f t="shared" si="2"/>
        <v>0</v>
      </c>
      <c r="W207" s="18"/>
      <c r="X207" s="18"/>
      <c r="Y207" s="18"/>
      <c r="Z207" s="18"/>
      <c r="AA207" s="18"/>
      <c r="AB207" s="18">
        <f t="shared" si="3"/>
        <v>1</v>
      </c>
      <c r="AC207" s="18">
        <f t="shared" si="4"/>
        <v>1</v>
      </c>
      <c r="AD207" s="18">
        <f t="shared" si="5"/>
        <v>1</v>
      </c>
      <c r="AE207" s="18">
        <f t="shared" si="6"/>
        <v>1</v>
      </c>
    </row>
    <row r="208">
      <c r="A208" s="9">
        <f>IF(E208="","", IF('Global Precios'!B209="",0,'Global Precios'!B209))</f>
        <v>7797453972758</v>
      </c>
      <c r="B208" s="14">
        <f>IF('Global Precios'!B209="","",'Global Precios'!B209)</f>
        <v>7797453972758</v>
      </c>
      <c r="C208" s="18">
        <f>IF('Global Precios'!A209="","",'Global Precios'!A209)</f>
        <v>212</v>
      </c>
      <c r="D208" s="18"/>
      <c r="E208" s="25" t="str">
        <f>IF('Global Precios'!D209="","",'Global Precios'!D209)</f>
        <v>OPTIMUM GATOS ADULTOS POLLO 1KG</v>
      </c>
      <c r="F208" s="18"/>
      <c r="G208" s="25">
        <f>IFERROR(VLOOKUP(C208,'BuscarV Stock'!$A$2:$C$478,3,0),"AAA")</f>
        <v>0</v>
      </c>
      <c r="H208" s="25">
        <f t="shared" si="1"/>
        <v>0.21</v>
      </c>
      <c r="I208" s="30">
        <f>IF('Global Precios'!H209="","",'Global Precios'!H209)</f>
        <v>723.1404959</v>
      </c>
      <c r="J208" s="82">
        <f>IF('Global Precios'!K209="","",'Global Precios'!K209)</f>
        <v>0.45</v>
      </c>
      <c r="K208" s="30">
        <f>IF('Global Precios'!Z209="Desactivado",0,IF('Global Precios'!L209="","",'Global Precios'!L209))</f>
        <v>0</v>
      </c>
      <c r="L208" s="18"/>
      <c r="M208" s="18"/>
      <c r="N208" s="18"/>
      <c r="O208" s="18"/>
      <c r="P208" s="18"/>
      <c r="Q208" s="18"/>
      <c r="R208" s="18" t="str">
        <f>IF('Global Precios'!F209="","",'Global Precios'!F209)</f>
        <v>Alimentos</v>
      </c>
      <c r="S208" s="18"/>
      <c r="T208" s="18" t="str">
        <f>IF('Global Precios'!E209="","",'Global Precios'!E209)</f>
        <v>OPTIMUM</v>
      </c>
      <c r="U208" s="18"/>
      <c r="V208" s="18">
        <f t="shared" si="2"/>
        <v>0</v>
      </c>
      <c r="W208" s="18"/>
      <c r="X208" s="18"/>
      <c r="Y208" s="18"/>
      <c r="Z208" s="18"/>
      <c r="AA208" s="18"/>
      <c r="AB208" s="18">
        <f t="shared" si="3"/>
        <v>1</v>
      </c>
      <c r="AC208" s="18">
        <f t="shared" si="4"/>
        <v>1</v>
      </c>
      <c r="AD208" s="18">
        <f t="shared" si="5"/>
        <v>1</v>
      </c>
      <c r="AE208" s="18">
        <f t="shared" si="6"/>
        <v>1</v>
      </c>
    </row>
    <row r="209">
      <c r="A209" s="9">
        <f>IF(E209="","", IF('Global Precios'!B210="",0,'Global Precios'!B210))</f>
        <v>7797453972765</v>
      </c>
      <c r="B209" s="14">
        <f>IF('Global Precios'!B210="","",'Global Precios'!B210)</f>
        <v>7797453972765</v>
      </c>
      <c r="C209" s="18">
        <f>IF('Global Precios'!A210="","",'Global Precios'!A210)</f>
        <v>213</v>
      </c>
      <c r="D209" s="18"/>
      <c r="E209" s="25" t="str">
        <f>IF('Global Precios'!D210="","",'Global Precios'!D210)</f>
        <v>OPTIMUM GATOS ADULTOS POLLO 3KG</v>
      </c>
      <c r="F209" s="18"/>
      <c r="G209" s="25">
        <f>IFERROR(VLOOKUP(C209,'BuscarV Stock'!$A$2:$C$478,3,0),"AAA")</f>
        <v>0</v>
      </c>
      <c r="H209" s="25">
        <f t="shared" si="1"/>
        <v>0.21</v>
      </c>
      <c r="I209" s="30">
        <f>IF('Global Precios'!H210="","",'Global Precios'!H210)</f>
        <v>1871.900826</v>
      </c>
      <c r="J209" s="82">
        <f>IF('Global Precios'!K210="","",'Global Precios'!K210)</f>
        <v>0.45</v>
      </c>
      <c r="K209" s="30">
        <f>IF('Global Precios'!Z210="Desactivado",0,IF('Global Precios'!L210="","",'Global Precios'!L210))</f>
        <v>0</v>
      </c>
      <c r="L209" s="18"/>
      <c r="M209" s="18"/>
      <c r="N209" s="18"/>
      <c r="O209" s="18"/>
      <c r="P209" s="18"/>
      <c r="Q209" s="18"/>
      <c r="R209" s="18" t="str">
        <f>IF('Global Precios'!F210="","",'Global Precios'!F210)</f>
        <v>Alimentos</v>
      </c>
      <c r="S209" s="18"/>
      <c r="T209" s="18" t="str">
        <f>IF('Global Precios'!E210="","",'Global Precios'!E210)</f>
        <v>OPTIMUM</v>
      </c>
      <c r="U209" s="18"/>
      <c r="V209" s="18">
        <f t="shared" si="2"/>
        <v>0</v>
      </c>
      <c r="W209" s="18"/>
      <c r="X209" s="18"/>
      <c r="Y209" s="18"/>
      <c r="Z209" s="18"/>
      <c r="AA209" s="18"/>
      <c r="AB209" s="18">
        <f t="shared" si="3"/>
        <v>1</v>
      </c>
      <c r="AC209" s="18">
        <f t="shared" si="4"/>
        <v>1</v>
      </c>
      <c r="AD209" s="18">
        <f t="shared" si="5"/>
        <v>1</v>
      </c>
      <c r="AE209" s="18">
        <f t="shared" si="6"/>
        <v>1</v>
      </c>
    </row>
    <row r="210">
      <c r="A210" s="9">
        <f>IF(E210="","", IF('Global Precios'!B211="",0,'Global Precios'!B211))</f>
        <v>7797453972734</v>
      </c>
      <c r="B210" s="14">
        <f>IF('Global Precios'!B211="","",'Global Precios'!B211)</f>
        <v>7797453972734</v>
      </c>
      <c r="C210" s="18">
        <f>IF('Global Precios'!A211="","",'Global Precios'!A211)</f>
        <v>214</v>
      </c>
      <c r="D210" s="18"/>
      <c r="E210" s="25" t="str">
        <f>IF('Global Precios'!D211="","",'Global Precios'!D211)</f>
        <v>OPTIMUM GATOS CASTRADOS POLLO 1KG</v>
      </c>
      <c r="F210" s="18"/>
      <c r="G210" s="25">
        <f>IFERROR(VLOOKUP(C210,'BuscarV Stock'!$A$2:$C$478,3,0),"AAA")</f>
        <v>0</v>
      </c>
      <c r="H210" s="25">
        <f t="shared" si="1"/>
        <v>0.21</v>
      </c>
      <c r="I210" s="30">
        <f>IF('Global Precios'!H211="","",'Global Precios'!H211)</f>
        <v>752.0661157</v>
      </c>
      <c r="J210" s="82">
        <f>IF('Global Precios'!K211="","",'Global Precios'!K211)</f>
        <v>0.45</v>
      </c>
      <c r="K210" s="30">
        <f>IF('Global Precios'!Z211="Desactivado",0,IF('Global Precios'!L211="","",'Global Precios'!L211))</f>
        <v>0</v>
      </c>
      <c r="L210" s="18"/>
      <c r="M210" s="18"/>
      <c r="N210" s="18"/>
      <c r="O210" s="18"/>
      <c r="P210" s="18"/>
      <c r="Q210" s="18"/>
      <c r="R210" s="18" t="str">
        <f>IF('Global Precios'!F211="","",'Global Precios'!F211)</f>
        <v>Alimentos</v>
      </c>
      <c r="S210" s="18"/>
      <c r="T210" s="18" t="str">
        <f>IF('Global Precios'!E211="","",'Global Precios'!E211)</f>
        <v>OPTIMUM</v>
      </c>
      <c r="U210" s="18"/>
      <c r="V210" s="18">
        <f t="shared" si="2"/>
        <v>0</v>
      </c>
      <c r="W210" s="18"/>
      <c r="X210" s="18"/>
      <c r="Y210" s="18"/>
      <c r="Z210" s="18"/>
      <c r="AA210" s="18"/>
      <c r="AB210" s="18">
        <f t="shared" si="3"/>
        <v>1</v>
      </c>
      <c r="AC210" s="18">
        <f t="shared" si="4"/>
        <v>1</v>
      </c>
      <c r="AD210" s="18">
        <f t="shared" si="5"/>
        <v>1</v>
      </c>
      <c r="AE210" s="18">
        <f t="shared" si="6"/>
        <v>1</v>
      </c>
    </row>
    <row r="211">
      <c r="A211" s="9">
        <f>IF(E211="","", IF('Global Precios'!B212="",0,'Global Precios'!B212))</f>
        <v>7797453972741</v>
      </c>
      <c r="B211" s="14">
        <f>IF('Global Precios'!B212="","",'Global Precios'!B212)</f>
        <v>7797453972741</v>
      </c>
      <c r="C211" s="18">
        <f>IF('Global Precios'!A212="","",'Global Precios'!A212)</f>
        <v>215</v>
      </c>
      <c r="D211" s="18"/>
      <c r="E211" s="25" t="str">
        <f>IF('Global Precios'!D212="","",'Global Precios'!D212)</f>
        <v>OPTIMUM GATOS CASTRADOS POLLO 3KG</v>
      </c>
      <c r="F211" s="18"/>
      <c r="G211" s="25">
        <f>IFERROR(VLOOKUP(C211,'BuscarV Stock'!$A$2:$C$478,3,0),"AAA")</f>
        <v>0</v>
      </c>
      <c r="H211" s="25">
        <f t="shared" si="1"/>
        <v>0.21</v>
      </c>
      <c r="I211" s="30">
        <f>IF('Global Precios'!H212="","",'Global Precios'!H212)</f>
        <v>1955.371901</v>
      </c>
      <c r="J211" s="82">
        <f>IF('Global Precios'!K212="","",'Global Precios'!K212)</f>
        <v>0.45</v>
      </c>
      <c r="K211" s="30">
        <f>IF('Global Precios'!Z212="Desactivado",0,IF('Global Precios'!L212="","",'Global Precios'!L212))</f>
        <v>0</v>
      </c>
      <c r="L211" s="18"/>
      <c r="M211" s="18"/>
      <c r="N211" s="18"/>
      <c r="O211" s="18"/>
      <c r="P211" s="18"/>
      <c r="Q211" s="18"/>
      <c r="R211" s="18" t="str">
        <f>IF('Global Precios'!F212="","",'Global Precios'!F212)</f>
        <v>Alimentos</v>
      </c>
      <c r="S211" s="18"/>
      <c r="T211" s="18" t="str">
        <f>IF('Global Precios'!E212="","",'Global Precios'!E212)</f>
        <v>OPTIMUM</v>
      </c>
      <c r="U211" s="18"/>
      <c r="V211" s="18">
        <f t="shared" si="2"/>
        <v>0</v>
      </c>
      <c r="W211" s="18"/>
      <c r="X211" s="18"/>
      <c r="Y211" s="18"/>
      <c r="Z211" s="18"/>
      <c r="AA211" s="18"/>
      <c r="AB211" s="18">
        <f t="shared" si="3"/>
        <v>1</v>
      </c>
      <c r="AC211" s="18">
        <f t="shared" si="4"/>
        <v>1</v>
      </c>
      <c r="AD211" s="18">
        <f t="shared" si="5"/>
        <v>1</v>
      </c>
      <c r="AE211" s="18">
        <f t="shared" si="6"/>
        <v>1</v>
      </c>
    </row>
    <row r="212">
      <c r="A212" s="9">
        <f>IF(E212="","", IF('Global Precios'!B213="",0,'Global Precios'!B213))</f>
        <v>7797453972611</v>
      </c>
      <c r="B212" s="14">
        <f>IF('Global Precios'!B213="","",'Global Precios'!B213)</f>
        <v>7797453972611</v>
      </c>
      <c r="C212" s="18">
        <f>IF('Global Precios'!A213="","",'Global Precios'!A213)</f>
        <v>216</v>
      </c>
      <c r="D212" s="18"/>
      <c r="E212" s="25" t="str">
        <f>IF('Global Precios'!D213="","",'Global Precios'!D213)</f>
        <v>OPTIMUM CACHORRO RAZAS PEQUEÑAS POLLO Y ARROZ 15KG</v>
      </c>
      <c r="F212" s="18"/>
      <c r="G212" s="25">
        <f>IFERROR(VLOOKUP(C212,'BuscarV Stock'!$A$2:$C$478,3,0),"AAA")</f>
        <v>0</v>
      </c>
      <c r="H212" s="25">
        <f t="shared" si="1"/>
        <v>0.21</v>
      </c>
      <c r="I212" s="30">
        <f>IF('Global Precios'!H213="","",'Global Precios'!H213)</f>
        <v>4789.256198</v>
      </c>
      <c r="J212" s="82">
        <f>IF('Global Precios'!K213="","",'Global Precios'!K213)</f>
        <v>0.45</v>
      </c>
      <c r="K212" s="30">
        <f>IF('Global Precios'!Z213="Desactivado",0,IF('Global Precios'!L213="","",'Global Precios'!L213))</f>
        <v>0</v>
      </c>
      <c r="L212" s="18"/>
      <c r="M212" s="18"/>
      <c r="N212" s="18"/>
      <c r="O212" s="18"/>
      <c r="P212" s="18"/>
      <c r="Q212" s="18"/>
      <c r="R212" s="18" t="str">
        <f>IF('Global Precios'!F213="","",'Global Precios'!F213)</f>
        <v>Alimentos</v>
      </c>
      <c r="S212" s="18"/>
      <c r="T212" s="18" t="str">
        <f>IF('Global Precios'!E213="","",'Global Precios'!E213)</f>
        <v>OPTIMUM</v>
      </c>
      <c r="U212" s="18"/>
      <c r="V212" s="18">
        <f t="shared" si="2"/>
        <v>0</v>
      </c>
      <c r="W212" s="18"/>
      <c r="X212" s="18"/>
      <c r="Y212" s="18"/>
      <c r="Z212" s="18"/>
      <c r="AA212" s="18"/>
      <c r="AB212" s="18">
        <f t="shared" si="3"/>
        <v>1</v>
      </c>
      <c r="AC212" s="18">
        <f t="shared" si="4"/>
        <v>1</v>
      </c>
      <c r="AD212" s="18">
        <f t="shared" si="5"/>
        <v>1</v>
      </c>
      <c r="AE212" s="18">
        <f t="shared" si="6"/>
        <v>1</v>
      </c>
    </row>
    <row r="213">
      <c r="A213" s="9">
        <f>IF(E213="","", IF('Global Precios'!B214="",0,'Global Precios'!B214))</f>
        <v>7797453972642</v>
      </c>
      <c r="B213" s="14">
        <f>IF('Global Precios'!B214="","",'Global Precios'!B214)</f>
        <v>7797453972642</v>
      </c>
      <c r="C213" s="18">
        <f>IF('Global Precios'!A214="","",'Global Precios'!A214)</f>
        <v>217</v>
      </c>
      <c r="D213" s="18"/>
      <c r="E213" s="25" t="str">
        <f>IF('Global Precios'!D214="","",'Global Precios'!D214)</f>
        <v>OPTIMUM CACHORRO RAZAS MED/GRND POLLO Y ARROZ 15KG</v>
      </c>
      <c r="F213" s="18"/>
      <c r="G213" s="25">
        <f>IFERROR(VLOOKUP(C213,'BuscarV Stock'!$A$2:$C$478,3,0),"AAA")</f>
        <v>0</v>
      </c>
      <c r="H213" s="25">
        <f t="shared" si="1"/>
        <v>0.21</v>
      </c>
      <c r="I213" s="30">
        <f>IF('Global Precios'!H214="","",'Global Precios'!H214)</f>
        <v>4628.099174</v>
      </c>
      <c r="J213" s="82">
        <f>IF('Global Precios'!K214="","",'Global Precios'!K214)</f>
        <v>0.45</v>
      </c>
      <c r="K213" s="30">
        <f>IF('Global Precios'!Z214="Desactivado",0,IF('Global Precios'!L214="","",'Global Precios'!L214))</f>
        <v>0</v>
      </c>
      <c r="L213" s="18"/>
      <c r="M213" s="18"/>
      <c r="N213" s="18"/>
      <c r="O213" s="18"/>
      <c r="P213" s="18"/>
      <c r="Q213" s="18"/>
      <c r="R213" s="18" t="str">
        <f>IF('Global Precios'!F214="","",'Global Precios'!F214)</f>
        <v>Alimentos</v>
      </c>
      <c r="S213" s="18"/>
      <c r="T213" s="18" t="str">
        <f>IF('Global Precios'!E214="","",'Global Precios'!E214)</f>
        <v>OPTIMUM</v>
      </c>
      <c r="U213" s="18"/>
      <c r="V213" s="18">
        <f t="shared" si="2"/>
        <v>0</v>
      </c>
      <c r="W213" s="18"/>
      <c r="X213" s="18"/>
      <c r="Y213" s="18"/>
      <c r="Z213" s="18"/>
      <c r="AA213" s="18"/>
      <c r="AB213" s="18">
        <f t="shared" si="3"/>
        <v>1</v>
      </c>
      <c r="AC213" s="18">
        <f t="shared" si="4"/>
        <v>1</v>
      </c>
      <c r="AD213" s="18">
        <f t="shared" si="5"/>
        <v>1</v>
      </c>
      <c r="AE213" s="18">
        <f t="shared" si="6"/>
        <v>1</v>
      </c>
    </row>
    <row r="214">
      <c r="A214" s="9">
        <f>IF(E214="","", IF('Global Precios'!B215="",0,'Global Precios'!B215))</f>
        <v>7797453972673</v>
      </c>
      <c r="B214" s="14">
        <f>IF('Global Precios'!B215="","",'Global Precios'!B215)</f>
        <v>7797453972673</v>
      </c>
      <c r="C214" s="18">
        <f>IF('Global Precios'!A215="","",'Global Precios'!A215)</f>
        <v>218</v>
      </c>
      <c r="D214" s="18"/>
      <c r="E214" s="25" t="str">
        <f>IF('Global Precios'!D215="","",'Global Precios'!D215)</f>
        <v>OPTIMUM ADULTO RAZAS PEQUEÑAS POLLO Y ARROZ 15KG</v>
      </c>
      <c r="F214" s="18"/>
      <c r="G214" s="25">
        <f>IFERROR(VLOOKUP(C214,'BuscarV Stock'!$A$2:$C$478,3,0),"AAA")</f>
        <v>0</v>
      </c>
      <c r="H214" s="25">
        <f t="shared" si="1"/>
        <v>0.21</v>
      </c>
      <c r="I214" s="30">
        <f>IF('Global Precios'!H215="","",'Global Precios'!H215)</f>
        <v>4352.892562</v>
      </c>
      <c r="J214" s="82">
        <f>IF('Global Precios'!K215="","",'Global Precios'!K215)</f>
        <v>0.45</v>
      </c>
      <c r="K214" s="30">
        <f>IF('Global Precios'!Z215="Desactivado",0,IF('Global Precios'!L215="","",'Global Precios'!L215))</f>
        <v>0</v>
      </c>
      <c r="L214" s="18"/>
      <c r="M214" s="18"/>
      <c r="N214" s="18"/>
      <c r="O214" s="18"/>
      <c r="P214" s="18"/>
      <c r="Q214" s="18"/>
      <c r="R214" s="18" t="str">
        <f>IF('Global Precios'!F215="","",'Global Precios'!F215)</f>
        <v>Alimentos</v>
      </c>
      <c r="S214" s="18"/>
      <c r="T214" s="18" t="str">
        <f>IF('Global Precios'!E215="","",'Global Precios'!E215)</f>
        <v>OPTIMUM</v>
      </c>
      <c r="U214" s="18"/>
      <c r="V214" s="18">
        <f t="shared" si="2"/>
        <v>0</v>
      </c>
      <c r="W214" s="18"/>
      <c r="X214" s="18"/>
      <c r="Y214" s="18"/>
      <c r="Z214" s="18"/>
      <c r="AA214" s="18"/>
      <c r="AB214" s="18">
        <f t="shared" si="3"/>
        <v>1</v>
      </c>
      <c r="AC214" s="18">
        <f t="shared" si="4"/>
        <v>1</v>
      </c>
      <c r="AD214" s="18">
        <f t="shared" si="5"/>
        <v>1</v>
      </c>
      <c r="AE214" s="18">
        <f t="shared" si="6"/>
        <v>1</v>
      </c>
    </row>
    <row r="215">
      <c r="A215" s="9">
        <f>IF(E215="","", IF('Global Precios'!B216="",0,'Global Precios'!B216))</f>
        <v>7797453972697</v>
      </c>
      <c r="B215" s="14">
        <f>IF('Global Precios'!B216="","",'Global Precios'!B216)</f>
        <v>7797453972697</v>
      </c>
      <c r="C215" s="18">
        <f>IF('Global Precios'!A216="","",'Global Precios'!A216)</f>
        <v>219</v>
      </c>
      <c r="D215" s="18"/>
      <c r="E215" s="25" t="str">
        <f>IF('Global Precios'!D216="","",'Global Precios'!D216)</f>
        <v>OPTIMUM ADULTO RAZAS MED/GRND POLLO Y ARROZ 15KG</v>
      </c>
      <c r="F215" s="18"/>
      <c r="G215" s="25">
        <f>IFERROR(VLOOKUP(C215,'BuscarV Stock'!$A$2:$C$478,3,0),"AAA")</f>
        <v>0</v>
      </c>
      <c r="H215" s="25">
        <f t="shared" si="1"/>
        <v>0.21</v>
      </c>
      <c r="I215" s="30">
        <f>IF('Global Precios'!H216="","",'Global Precios'!H216)</f>
        <v>4352.892562</v>
      </c>
      <c r="J215" s="82">
        <f>IF('Global Precios'!K216="","",'Global Precios'!K216)</f>
        <v>0.45</v>
      </c>
      <c r="K215" s="30">
        <f>IF('Global Precios'!Z216="Desactivado",0,IF('Global Precios'!L216="","",'Global Precios'!L216))</f>
        <v>0</v>
      </c>
      <c r="L215" s="18"/>
      <c r="M215" s="18"/>
      <c r="N215" s="18"/>
      <c r="O215" s="18"/>
      <c r="P215" s="18"/>
      <c r="Q215" s="18"/>
      <c r="R215" s="18" t="str">
        <f>IF('Global Precios'!F216="","",'Global Precios'!F216)</f>
        <v>Alimentos</v>
      </c>
      <c r="S215" s="18"/>
      <c r="T215" s="18" t="str">
        <f>IF('Global Precios'!E216="","",'Global Precios'!E216)</f>
        <v>OPTIMUM</v>
      </c>
      <c r="U215" s="18"/>
      <c r="V215" s="18">
        <f t="shared" si="2"/>
        <v>0</v>
      </c>
      <c r="W215" s="18"/>
      <c r="X215" s="18"/>
      <c r="Y215" s="18"/>
      <c r="Z215" s="18"/>
      <c r="AA215" s="18"/>
      <c r="AB215" s="18">
        <f t="shared" si="3"/>
        <v>1</v>
      </c>
      <c r="AC215" s="18">
        <f t="shared" si="4"/>
        <v>1</v>
      </c>
      <c r="AD215" s="18">
        <f t="shared" si="5"/>
        <v>1</v>
      </c>
      <c r="AE215" s="18">
        <f t="shared" si="6"/>
        <v>1</v>
      </c>
    </row>
    <row r="216">
      <c r="A216" s="9">
        <f>IF(E216="","", IF('Global Precios'!B217="",0,'Global Precios'!B217))</f>
        <v>7797453972772</v>
      </c>
      <c r="B216" s="14">
        <f>IF('Global Precios'!B217="","",'Global Precios'!B217)</f>
        <v>7797453972772</v>
      </c>
      <c r="C216" s="18">
        <f>IF('Global Precios'!A217="","",'Global Precios'!A217)</f>
        <v>220</v>
      </c>
      <c r="D216" s="18"/>
      <c r="E216" s="25" t="str">
        <f>IF('Global Precios'!D217="","",'Global Precios'!D217)</f>
        <v>OPTIMUM GATOS ADULTOS POLLO 10KG</v>
      </c>
      <c r="F216" s="18"/>
      <c r="G216" s="25">
        <f>IFERROR(VLOOKUP(C216,'BuscarV Stock'!$A$2:$C$478,3,0),"AAA")</f>
        <v>0</v>
      </c>
      <c r="H216" s="25">
        <f t="shared" si="1"/>
        <v>0.21</v>
      </c>
      <c r="I216" s="30">
        <f>IF('Global Precios'!H217="","",'Global Precios'!H217)</f>
        <v>5322.31405</v>
      </c>
      <c r="J216" s="82">
        <f>IF('Global Precios'!K217="","",'Global Precios'!K217)</f>
        <v>0.45</v>
      </c>
      <c r="K216" s="30">
        <f>IF('Global Precios'!Z217="Desactivado",0,IF('Global Precios'!L217="","",'Global Precios'!L217))</f>
        <v>0</v>
      </c>
      <c r="L216" s="18"/>
      <c r="M216" s="18"/>
      <c r="N216" s="18"/>
      <c r="O216" s="18"/>
      <c r="P216" s="18"/>
      <c r="Q216" s="18"/>
      <c r="R216" s="18" t="str">
        <f>IF('Global Precios'!F217="","",'Global Precios'!F217)</f>
        <v>Alimentos</v>
      </c>
      <c r="S216" s="18"/>
      <c r="T216" s="18" t="str">
        <f>IF('Global Precios'!E217="","",'Global Precios'!E217)</f>
        <v>OPTIMUM</v>
      </c>
      <c r="U216" s="18"/>
      <c r="V216" s="18">
        <f t="shared" si="2"/>
        <v>0</v>
      </c>
      <c r="W216" s="18"/>
      <c r="X216" s="18"/>
      <c r="Y216" s="18"/>
      <c r="Z216" s="18"/>
      <c r="AA216" s="18"/>
      <c r="AB216" s="18">
        <f t="shared" si="3"/>
        <v>1</v>
      </c>
      <c r="AC216" s="18">
        <f t="shared" si="4"/>
        <v>1</v>
      </c>
      <c r="AD216" s="18">
        <f t="shared" si="5"/>
        <v>1</v>
      </c>
      <c r="AE216" s="18">
        <f t="shared" si="6"/>
        <v>1</v>
      </c>
    </row>
    <row r="217">
      <c r="A217" s="9">
        <f>IF(E217="","", IF('Global Precios'!B218="",0,'Global Precios'!B218))</f>
        <v>0</v>
      </c>
      <c r="B217" s="14" t="str">
        <f>IF('Global Precios'!B218="","",'Global Precios'!B218)</f>
        <v/>
      </c>
      <c r="C217" s="18">
        <f>IF('Global Precios'!A218="","",'Global Precios'!A218)</f>
        <v>221</v>
      </c>
      <c r="D217" s="18"/>
      <c r="E217" s="25" t="str">
        <f>IF('Global Precios'!D218="","",'Global Precios'!D218)</f>
        <v>TONICO TOTAL X 200 ML</v>
      </c>
      <c r="F217" s="18"/>
      <c r="G217" s="25">
        <f>IFERROR(VLOOKUP(C217,'BuscarV Stock'!$A$2:$C$478,3,0),"AAA")</f>
        <v>1</v>
      </c>
      <c r="H217" s="25">
        <f t="shared" si="1"/>
        <v>0.21</v>
      </c>
      <c r="I217" s="30">
        <f>IF('Global Precios'!H218="","",'Global Precios'!H218)</f>
        <v>6099.173554</v>
      </c>
      <c r="J217" s="82">
        <f>IF('Global Precios'!K218="","",'Global Precios'!K218)</f>
        <v>0.8</v>
      </c>
      <c r="K217" s="30">
        <f>IF('Global Precios'!Z218="Desactivado",0,IF('Global Precios'!L218="","",'Global Precios'!L218))</f>
        <v>13000</v>
      </c>
      <c r="L217" s="18"/>
      <c r="M217" s="18"/>
      <c r="N217" s="18"/>
      <c r="O217" s="18"/>
      <c r="P217" s="18"/>
      <c r="Q217" s="18"/>
      <c r="R217" s="18" t="str">
        <f>IF('Global Precios'!F218="","",'Global Precios'!F218)</f>
        <v>Medicamentos</v>
      </c>
      <c r="S217" s="18"/>
      <c r="T217" s="18" t="str">
        <f>IF('Global Precios'!E218="","",'Global Precios'!E218)</f>
        <v>JM</v>
      </c>
      <c r="U217" s="18"/>
      <c r="V217" s="18">
        <f t="shared" si="2"/>
        <v>0</v>
      </c>
      <c r="W217" s="18"/>
      <c r="X217" s="18"/>
      <c r="Y217" s="18"/>
      <c r="Z217" s="18"/>
      <c r="AA217" s="18"/>
      <c r="AB217" s="18">
        <f t="shared" si="3"/>
        <v>1</v>
      </c>
      <c r="AC217" s="18">
        <f t="shared" si="4"/>
        <v>1</v>
      </c>
      <c r="AD217" s="18">
        <f t="shared" si="5"/>
        <v>1</v>
      </c>
      <c r="AE217" s="18">
        <f t="shared" si="6"/>
        <v>1</v>
      </c>
    </row>
    <row r="218">
      <c r="A218" s="9">
        <f>IF(E218="","", IF('Global Precios'!B219="",0,'Global Precios'!B219))</f>
        <v>0</v>
      </c>
      <c r="B218" s="14" t="str">
        <f>IF('Global Precios'!B219="","",'Global Precios'!B219)</f>
        <v/>
      </c>
      <c r="C218" s="18">
        <f>IF('Global Precios'!A219="","",'Global Precios'!A219)</f>
        <v>222</v>
      </c>
      <c r="D218" s="18"/>
      <c r="E218" s="25" t="str">
        <f>IF('Global Precios'!D219="","",'Global Precios'!D219)</f>
        <v>AGILITY DERMA CONTROL ADULTO X 3 KG</v>
      </c>
      <c r="F218" s="18"/>
      <c r="G218" s="25">
        <f>IFERROR(VLOOKUP(C218,'BuscarV Stock'!$A$2:$C$478,3,0),"AAA")</f>
        <v>2</v>
      </c>
      <c r="H218" s="25">
        <f t="shared" si="1"/>
        <v>0.21</v>
      </c>
      <c r="I218" s="30">
        <f>IF('Global Precios'!H219="","",'Global Precios'!H219)</f>
        <v>9314.876033</v>
      </c>
      <c r="J218" s="82">
        <f>IF('Global Precios'!K219="","",'Global Precios'!K219)</f>
        <v>0.35</v>
      </c>
      <c r="K218" s="30">
        <f>IF('Global Precios'!Z219="Desactivado",0,IF('Global Precios'!L219="","",'Global Precios'!L219))</f>
        <v>0</v>
      </c>
      <c r="L218" s="18"/>
      <c r="M218" s="18"/>
      <c r="N218" s="18"/>
      <c r="O218" s="18"/>
      <c r="P218" s="18"/>
      <c r="Q218" s="18"/>
      <c r="R218" s="18" t="str">
        <f>IF('Global Precios'!F219="","",'Global Precios'!F219)</f>
        <v>Alimentos</v>
      </c>
      <c r="S218" s="18"/>
      <c r="T218" s="18" t="str">
        <f>IF('Global Precios'!E219="","",'Global Precios'!E219)</f>
        <v>Agility</v>
      </c>
      <c r="U218" s="18"/>
      <c r="V218" s="18">
        <f t="shared" si="2"/>
        <v>0</v>
      </c>
      <c r="W218" s="18"/>
      <c r="X218" s="18"/>
      <c r="Y218" s="18"/>
      <c r="Z218" s="18"/>
      <c r="AA218" s="18"/>
      <c r="AB218" s="18">
        <f t="shared" si="3"/>
        <v>1</v>
      </c>
      <c r="AC218" s="18">
        <f t="shared" si="4"/>
        <v>1</v>
      </c>
      <c r="AD218" s="18">
        <f t="shared" si="5"/>
        <v>1</v>
      </c>
      <c r="AE218" s="18">
        <f t="shared" si="6"/>
        <v>1</v>
      </c>
    </row>
    <row r="219">
      <c r="A219" s="9">
        <f>IF(E219="","", IF('Global Precios'!B220="",0,'Global Precios'!B220))</f>
        <v>0</v>
      </c>
      <c r="B219" s="14" t="str">
        <f>IF('Global Precios'!B220="","",'Global Precios'!B220)</f>
        <v/>
      </c>
      <c r="C219" s="18">
        <f>IF('Global Precios'!A220="","",'Global Precios'!A220)</f>
        <v>223</v>
      </c>
      <c r="D219" s="18"/>
      <c r="E219" s="25" t="str">
        <f>IF('Global Precios'!D220="","",'Global Precios'!D220)</f>
        <v>SHAMPOO TRADICIONAL X 250 ML</v>
      </c>
      <c r="F219" s="18"/>
      <c r="G219" s="25">
        <f>IFERROR(VLOOKUP(C219,'BuscarV Stock'!$A$2:$C$478,3,0),"AAA")</f>
        <v>4</v>
      </c>
      <c r="H219" s="25">
        <f t="shared" si="1"/>
        <v>0.21</v>
      </c>
      <c r="I219" s="30">
        <f>IF('Global Precios'!H220="","",'Global Precios'!H220)</f>
        <v>4364.46281</v>
      </c>
      <c r="J219" s="82">
        <f>IF('Global Precios'!K220="","",'Global Precios'!K220)</f>
        <v>0.8</v>
      </c>
      <c r="K219" s="30">
        <f>IF('Global Precios'!Z220="Desactivado",0,IF('Global Precios'!L220="","",'Global Precios'!L220))</f>
        <v>9500</v>
      </c>
      <c r="L219" s="18"/>
      <c r="M219" s="18"/>
      <c r="N219" s="18"/>
      <c r="O219" s="18"/>
      <c r="P219" s="18"/>
      <c r="Q219" s="18"/>
      <c r="R219" s="18" t="str">
        <f>IF('Global Precios'!F220="","",'Global Precios'!F220)</f>
        <v>Medicamentos</v>
      </c>
      <c r="S219" s="18"/>
      <c r="T219" s="18" t="str">
        <f>IF('Global Precios'!E220="","",'Global Precios'!E220)</f>
        <v>OSSPRET</v>
      </c>
      <c r="U219" s="18"/>
      <c r="V219" s="18">
        <f t="shared" si="2"/>
        <v>0</v>
      </c>
      <c r="W219" s="18"/>
      <c r="X219" s="18"/>
      <c r="Y219" s="18"/>
      <c r="Z219" s="18"/>
      <c r="AA219" s="18"/>
      <c r="AB219" s="18">
        <f t="shared" si="3"/>
        <v>1</v>
      </c>
      <c r="AC219" s="18">
        <f t="shared" si="4"/>
        <v>1</v>
      </c>
      <c r="AD219" s="18">
        <f t="shared" si="5"/>
        <v>1</v>
      </c>
      <c r="AE219" s="18">
        <f t="shared" si="6"/>
        <v>1</v>
      </c>
    </row>
    <row r="220">
      <c r="A220" s="9">
        <f>IF(E220="","", IF('Global Precios'!B221="",0,'Global Precios'!B221))</f>
        <v>0</v>
      </c>
      <c r="B220" s="14" t="str">
        <f>IF('Global Precios'!B221="","",'Global Precios'!B221)</f>
        <v/>
      </c>
      <c r="C220" s="18">
        <f>IF('Global Precios'!A221="","",'Global Precios'!A221)</f>
        <v>224</v>
      </c>
      <c r="D220" s="18"/>
      <c r="E220" s="25" t="str">
        <f>IF('Global Precios'!D221="","",'Global Precios'!D221)</f>
        <v>Vacuna antitetanica</v>
      </c>
      <c r="F220" s="18"/>
      <c r="G220" s="25">
        <f>IFERROR(VLOOKUP(C220,'BuscarV Stock'!$A$2:$C$478,3,0),"AAA")</f>
        <v>0</v>
      </c>
      <c r="H220" s="25">
        <f t="shared" si="1"/>
        <v>0.21</v>
      </c>
      <c r="I220" s="30">
        <f>IF('Global Precios'!H221="","",'Global Precios'!H221)</f>
        <v>2892.561983</v>
      </c>
      <c r="J220" s="82">
        <f>IF('Global Precios'!K221="","",'Global Precios'!K221)</f>
        <v>5</v>
      </c>
      <c r="K220" s="30">
        <f>IF('Global Precios'!Z221="Desactivado",0,IF('Global Precios'!L221="","",'Global Precios'!L221))</f>
        <v>21000</v>
      </c>
      <c r="L220" s="18"/>
      <c r="M220" s="18"/>
      <c r="N220" s="18"/>
      <c r="O220" s="18"/>
      <c r="P220" s="18"/>
      <c r="Q220" s="18"/>
      <c r="R220" s="18" t="str">
        <f>IF('Global Precios'!F221="","",'Global Precios'!F221)</f>
        <v>Medicamentos</v>
      </c>
      <c r="S220" s="18"/>
      <c r="T220" s="18" t="str">
        <f>IF('Global Precios'!E221="","",'Global Precios'!E221)</f>
        <v/>
      </c>
      <c r="U220" s="18"/>
      <c r="V220" s="18">
        <f t="shared" si="2"/>
        <v>0</v>
      </c>
      <c r="W220" s="18"/>
      <c r="X220" s="18"/>
      <c r="Y220" s="18"/>
      <c r="Z220" s="18"/>
      <c r="AA220" s="18"/>
      <c r="AB220" s="18">
        <f t="shared" si="3"/>
        <v>1</v>
      </c>
      <c r="AC220" s="18">
        <f t="shared" si="4"/>
        <v>1</v>
      </c>
      <c r="AD220" s="18">
        <f t="shared" si="5"/>
        <v>1</v>
      </c>
      <c r="AE220" s="18">
        <f t="shared" si="6"/>
        <v>1</v>
      </c>
    </row>
    <row r="221">
      <c r="A221" s="9">
        <f>IF(E221="","", IF('Global Precios'!B222="",0,'Global Precios'!B222))</f>
        <v>0</v>
      </c>
      <c r="B221" s="14" t="str">
        <f>IF('Global Precios'!B222="","",'Global Precios'!B222)</f>
        <v/>
      </c>
      <c r="C221" s="18">
        <f>IF('Global Precios'!A222="","",'Global Precios'!A222)</f>
        <v>225</v>
      </c>
      <c r="D221" s="18"/>
      <c r="E221" s="25" t="str">
        <f>IF('Global Precios'!D222="","",'Global Precios'!D222)</f>
        <v>BEBE LOCION X 130 ML</v>
      </c>
      <c r="F221" s="18"/>
      <c r="G221" s="25">
        <f>IFERROR(VLOOKUP(C221,'BuscarV Stock'!$A$2:$C$478,3,0),"AAA")</f>
        <v>0</v>
      </c>
      <c r="H221" s="25">
        <f t="shared" si="1"/>
        <v>0.21</v>
      </c>
      <c r="I221" s="30">
        <f>IF('Global Precios'!H222="","",'Global Precios'!H222)</f>
        <v>7200</v>
      </c>
      <c r="J221" s="82">
        <f>IF('Global Precios'!K222="","",'Global Precios'!K222)</f>
        <v>0.8</v>
      </c>
      <c r="K221" s="30">
        <f>IF('Global Precios'!Z222="Desactivado",0,IF('Global Precios'!L222="","",'Global Precios'!L222))</f>
        <v>16000</v>
      </c>
      <c r="L221" s="18"/>
      <c r="M221" s="18"/>
      <c r="N221" s="18"/>
      <c r="O221" s="18"/>
      <c r="P221" s="18"/>
      <c r="Q221" s="18"/>
      <c r="R221" s="18" t="str">
        <f>IF('Global Precios'!F222="","",'Global Precios'!F222)</f>
        <v>Medicamentos</v>
      </c>
      <c r="S221" s="18"/>
      <c r="T221" s="18" t="str">
        <f>IF('Global Precios'!E222="","",'Global Precios'!E222)</f>
        <v>OSSPRET</v>
      </c>
      <c r="U221" s="18"/>
      <c r="V221" s="18">
        <f t="shared" si="2"/>
        <v>0</v>
      </c>
      <c r="W221" s="18"/>
      <c r="X221" s="18"/>
      <c r="Y221" s="18"/>
      <c r="Z221" s="18"/>
      <c r="AA221" s="18"/>
      <c r="AB221" s="18">
        <f t="shared" si="3"/>
        <v>1</v>
      </c>
      <c r="AC221" s="18">
        <f t="shared" si="4"/>
        <v>1</v>
      </c>
      <c r="AD221" s="18">
        <f t="shared" si="5"/>
        <v>1</v>
      </c>
      <c r="AE221" s="18">
        <f t="shared" si="6"/>
        <v>1</v>
      </c>
    </row>
    <row r="222">
      <c r="A222" s="9">
        <f>IF(E222="","", IF('Global Precios'!B223="",0,'Global Precios'!B223))</f>
        <v>0</v>
      </c>
      <c r="B222" s="14" t="str">
        <f>IF('Global Precios'!B223="","",'Global Precios'!B223)</f>
        <v/>
      </c>
      <c r="C222" s="18">
        <f>IF('Global Precios'!A223="","",'Global Precios'!A223)</f>
        <v>226</v>
      </c>
      <c r="D222" s="18"/>
      <c r="E222" s="25" t="str">
        <f>IF('Global Precios'!D223="","",'Global Precios'!D223)</f>
        <v>NEXGARD G (10,1 A 25 KG) L</v>
      </c>
      <c r="F222" s="18"/>
      <c r="G222" s="25">
        <f>IFERROR(VLOOKUP(C222,'BuscarV Stock'!$A$2:$C$478,3,0),"AAA")</f>
        <v>2</v>
      </c>
      <c r="H222" s="25">
        <f t="shared" si="1"/>
        <v>0.21</v>
      </c>
      <c r="I222" s="30">
        <f>IF('Global Precios'!H223="","",'Global Precios'!H223)</f>
        <v>13823.96694</v>
      </c>
      <c r="J222" s="82">
        <f>IF('Global Precios'!K223="","",'Global Precios'!K223)</f>
        <v>0.8</v>
      </c>
      <c r="K222" s="30">
        <f>IF('Global Precios'!Z223="Desactivado",0,IF('Global Precios'!L223="","",'Global Precios'!L223))</f>
        <v>30000</v>
      </c>
      <c r="L222" s="18"/>
      <c r="M222" s="18"/>
      <c r="N222" s="18"/>
      <c r="O222" s="18"/>
      <c r="P222" s="18"/>
      <c r="Q222" s="18"/>
      <c r="R222" s="18" t="str">
        <f>IF('Global Precios'!F223="","",'Global Precios'!F223)</f>
        <v>Medicamentos</v>
      </c>
      <c r="S222" s="18"/>
      <c r="T222" s="18" t="str">
        <f>IF('Global Precios'!E223="","",'Global Precios'!E223)</f>
        <v>FRONTLINE</v>
      </c>
      <c r="U222" s="18"/>
      <c r="V222" s="18">
        <f t="shared" si="2"/>
        <v>0</v>
      </c>
      <c r="W222" s="18"/>
      <c r="X222" s="18"/>
      <c r="Y222" s="18"/>
      <c r="Z222" s="18"/>
      <c r="AA222" s="18"/>
      <c r="AB222" s="18">
        <f t="shared" si="3"/>
        <v>1</v>
      </c>
      <c r="AC222" s="18">
        <f t="shared" si="4"/>
        <v>1</v>
      </c>
      <c r="AD222" s="18">
        <f t="shared" si="5"/>
        <v>1</v>
      </c>
      <c r="AE222" s="18">
        <f t="shared" si="6"/>
        <v>1</v>
      </c>
    </row>
    <row r="223">
      <c r="A223" s="9">
        <f>IF(E223="","", IF('Global Precios'!B224="",0,'Global Precios'!B224))</f>
        <v>12395791</v>
      </c>
      <c r="B223" s="14">
        <f>IF('Global Precios'!B224="","",'Global Precios'!B224)</f>
        <v>12395791</v>
      </c>
      <c r="C223" s="18">
        <f>IF('Global Precios'!A224="","",'Global Precios'!A224)</f>
        <v>227</v>
      </c>
      <c r="D223" s="18"/>
      <c r="E223" s="25" t="str">
        <f>IF('Global Precios'!D224="","",'Global Precios'!D224)</f>
        <v>EXCELLENT ADULT MAINTENANCE FORMULA Present: 20 kg</v>
      </c>
      <c r="F223" s="18"/>
      <c r="G223" s="25">
        <f>IFERROR(VLOOKUP(C223,'BuscarV Stock'!$A$2:$C$478,3,0),"AAA")</f>
        <v>1</v>
      </c>
      <c r="H223" s="25">
        <f t="shared" si="1"/>
        <v>0.21</v>
      </c>
      <c r="I223" s="30">
        <f>IF('Global Precios'!H224="","",'Global Precios'!H224)</f>
        <v>41735.53719</v>
      </c>
      <c r="J223" s="82">
        <f>IF('Global Precios'!K224="","",'Global Precios'!K224)</f>
        <v>0.33</v>
      </c>
      <c r="K223" s="30">
        <f>IF('Global Precios'!Z224="Desactivado",0,IF('Global Precios'!L224="","",'Global Precios'!L224))</f>
        <v>0</v>
      </c>
      <c r="L223" s="18"/>
      <c r="M223" s="18"/>
      <c r="N223" s="18"/>
      <c r="O223" s="18"/>
      <c r="P223" s="18"/>
      <c r="Q223" s="18"/>
      <c r="R223" s="18" t="str">
        <f>IF('Global Precios'!F224="","",'Global Precios'!F224)</f>
        <v>Alimentos</v>
      </c>
      <c r="S223" s="18"/>
      <c r="T223" s="18" t="str">
        <f>IF('Global Precios'!E224="","",'Global Precios'!E224)</f>
        <v>Excellent</v>
      </c>
      <c r="U223" s="18"/>
      <c r="V223" s="18">
        <f t="shared" si="2"/>
        <v>0</v>
      </c>
      <c r="W223" s="18"/>
      <c r="X223" s="18"/>
      <c r="Y223" s="18"/>
      <c r="Z223" s="18"/>
      <c r="AA223" s="18"/>
      <c r="AB223" s="18">
        <f t="shared" si="3"/>
        <v>1</v>
      </c>
      <c r="AC223" s="18">
        <f t="shared" si="4"/>
        <v>1</v>
      </c>
      <c r="AD223" s="18">
        <f t="shared" si="5"/>
        <v>1</v>
      </c>
      <c r="AE223" s="18">
        <f t="shared" si="6"/>
        <v>1</v>
      </c>
    </row>
    <row r="224">
      <c r="A224" s="9">
        <f>IF(E224="","", IF('Global Precios'!B225="",0,'Global Precios'!B225))</f>
        <v>0</v>
      </c>
      <c r="B224" s="14" t="str">
        <f>IF('Global Precios'!B225="","",'Global Precios'!B225)</f>
        <v/>
      </c>
      <c r="C224" s="18">
        <f>IF('Global Precios'!A225="","",'Global Precios'!A225)</f>
        <v>228</v>
      </c>
      <c r="D224" s="18"/>
      <c r="E224" s="25" t="str">
        <f>IF('Global Precios'!D225="","",'Global Precios'!D225)</f>
        <v>SUELTO X 1 KG - EXCELLENT ADULT MAINTENANC FORMULA</v>
      </c>
      <c r="F224" s="18"/>
      <c r="G224" s="25">
        <f>IFERROR(VLOOKUP(C224,'BuscarV Stock'!$A$2:$C$478,3,0),"AAA")</f>
        <v>0</v>
      </c>
      <c r="H224" s="25">
        <f t="shared" si="1"/>
        <v>0.21</v>
      </c>
      <c r="I224" s="30">
        <f>IF('Global Precios'!H225="","",'Global Precios'!H225)</f>
        <v>2086.77686</v>
      </c>
      <c r="J224" s="82">
        <f>IF('Global Precios'!K225="","",'Global Precios'!K225)</f>
        <v>0.4</v>
      </c>
      <c r="K224" s="30">
        <f>IF('Global Precios'!Z225="Desactivado",0,IF('Global Precios'!L225="","",'Global Precios'!L225))</f>
        <v>0</v>
      </c>
      <c r="L224" s="18"/>
      <c r="M224" s="18"/>
      <c r="N224" s="18"/>
      <c r="O224" s="18"/>
      <c r="P224" s="18"/>
      <c r="Q224" s="18"/>
      <c r="R224" s="18" t="str">
        <f>IF('Global Precios'!F225="","",'Global Precios'!F225)</f>
        <v>Alimentos</v>
      </c>
      <c r="S224" s="18"/>
      <c r="T224" s="18" t="str">
        <f>IF('Global Precios'!E225="","",'Global Precios'!E225)</f>
        <v>Excellent</v>
      </c>
      <c r="U224" s="18"/>
      <c r="V224" s="18">
        <f t="shared" si="2"/>
        <v>0</v>
      </c>
      <c r="W224" s="18"/>
      <c r="X224" s="18"/>
      <c r="Y224" s="18"/>
      <c r="Z224" s="18"/>
      <c r="AA224" s="18"/>
      <c r="AB224" s="18">
        <f t="shared" si="3"/>
        <v>1</v>
      </c>
      <c r="AC224" s="18">
        <f t="shared" si="4"/>
        <v>1</v>
      </c>
      <c r="AD224" s="18">
        <f t="shared" si="5"/>
        <v>1</v>
      </c>
      <c r="AE224" s="18">
        <f t="shared" si="6"/>
        <v>1</v>
      </c>
    </row>
    <row r="225">
      <c r="A225" s="9">
        <f>IF(E225="","", IF('Global Precios'!B226="",0,'Global Precios'!B226))</f>
        <v>0</v>
      </c>
      <c r="B225" s="14" t="str">
        <f>IF('Global Precios'!B226="","",'Global Precios'!B226)</f>
        <v/>
      </c>
      <c r="C225" s="18">
        <f>IF('Global Precios'!A226="","",'Global Precios'!A226)</f>
        <v>229</v>
      </c>
      <c r="D225" s="18"/>
      <c r="E225" s="25" t="str">
        <f>IF('Global Precios'!D226="","",'Global Precios'!D226)</f>
        <v>OTOVET x 20 ML</v>
      </c>
      <c r="F225" s="18"/>
      <c r="G225" s="25">
        <f>IFERROR(VLOOKUP(C225,'BuscarV Stock'!$A$2:$C$478,3,0),"AAA")</f>
        <v>2</v>
      </c>
      <c r="H225" s="25">
        <f t="shared" si="1"/>
        <v>0.21</v>
      </c>
      <c r="I225" s="30">
        <f>IF('Global Precios'!H226="","",'Global Precios'!H226)</f>
        <v>3900.826446</v>
      </c>
      <c r="J225" s="82">
        <f>IF('Global Precios'!K226="","",'Global Precios'!K226)</f>
        <v>0.8</v>
      </c>
      <c r="K225" s="30">
        <f>IF('Global Precios'!Z226="Desactivado",0,IF('Global Precios'!L226="","",'Global Precios'!L226))</f>
        <v>0</v>
      </c>
      <c r="L225" s="18"/>
      <c r="M225" s="18"/>
      <c r="N225" s="18"/>
      <c r="O225" s="18"/>
      <c r="P225" s="18"/>
      <c r="Q225" s="18"/>
      <c r="R225" s="18" t="str">
        <f>IF('Global Precios'!F226="","",'Global Precios'!F226)</f>
        <v>Medicamentos</v>
      </c>
      <c r="S225" s="18"/>
      <c r="T225" s="18" t="str">
        <f>IF('Global Precios'!E226="","",'Global Precios'!E226)</f>
        <v>JANVIER</v>
      </c>
      <c r="U225" s="18"/>
      <c r="V225" s="18">
        <f t="shared" si="2"/>
        <v>0</v>
      </c>
      <c r="W225" s="18"/>
      <c r="X225" s="18"/>
      <c r="Y225" s="18"/>
      <c r="Z225" s="18"/>
      <c r="AA225" s="18"/>
      <c r="AB225" s="18">
        <f t="shared" si="3"/>
        <v>1</v>
      </c>
      <c r="AC225" s="18">
        <f t="shared" si="4"/>
        <v>1</v>
      </c>
      <c r="AD225" s="18">
        <f t="shared" si="5"/>
        <v>1</v>
      </c>
      <c r="AE225" s="18">
        <f t="shared" si="6"/>
        <v>1</v>
      </c>
    </row>
    <row r="226">
      <c r="A226" s="9">
        <f>IF(E226="","", IF('Global Precios'!B227="",0,'Global Precios'!B227))</f>
        <v>0</v>
      </c>
      <c r="B226" s="14" t="str">
        <f>IF('Global Precios'!B227="","",'Global Precios'!B227)</f>
        <v/>
      </c>
      <c r="C226" s="18">
        <f>IF('Global Precios'!A227="","",'Global Precios'!A227)</f>
        <v>230</v>
      </c>
      <c r="D226" s="18"/>
      <c r="E226" s="25" t="str">
        <f>IF('Global Precios'!D227="","",'Global Precios'!D227)</f>
        <v>ROYAL CANIN MINI ADULT Present: 3 kg</v>
      </c>
      <c r="F226" s="18"/>
      <c r="G226" s="25">
        <f>IFERROR(VLOOKUP(C226,'BuscarV Stock'!$A$2:$C$478,3,0),"AAA")</f>
        <v>0</v>
      </c>
      <c r="H226" s="25">
        <f t="shared" si="1"/>
        <v>0.21</v>
      </c>
      <c r="I226" s="30">
        <f>IF('Global Precios'!H227="","",'Global Precios'!H227)</f>
        <v>5548.760331</v>
      </c>
      <c r="J226" s="82">
        <f>IF('Global Precios'!K227="","",'Global Precios'!K227)</f>
        <v>0.3</v>
      </c>
      <c r="K226" s="30">
        <f>IF('Global Precios'!Z227="Desactivado",0,IF('Global Precios'!L227="","",'Global Precios'!L227))</f>
        <v>0</v>
      </c>
      <c r="L226" s="18"/>
      <c r="M226" s="18"/>
      <c r="N226" s="18"/>
      <c r="O226" s="18"/>
      <c r="P226" s="18"/>
      <c r="Q226" s="18"/>
      <c r="R226" s="18" t="str">
        <f>IF('Global Precios'!F227="","",'Global Precios'!F227)</f>
        <v>Alimentos</v>
      </c>
      <c r="S226" s="18"/>
      <c r="T226" s="18" t="str">
        <f>IF('Global Precios'!E227="","",'Global Precios'!E227)</f>
        <v>ROYAL CANIN</v>
      </c>
      <c r="U226" s="18"/>
      <c r="V226" s="18">
        <f t="shared" si="2"/>
        <v>0</v>
      </c>
      <c r="W226" s="18"/>
      <c r="X226" s="18"/>
      <c r="Y226" s="18"/>
      <c r="Z226" s="18"/>
      <c r="AA226" s="18"/>
      <c r="AB226" s="18">
        <f t="shared" si="3"/>
        <v>1</v>
      </c>
      <c r="AC226" s="18">
        <f t="shared" si="4"/>
        <v>1</v>
      </c>
      <c r="AD226" s="18">
        <f t="shared" si="5"/>
        <v>1</v>
      </c>
      <c r="AE226" s="18">
        <f t="shared" si="6"/>
        <v>1</v>
      </c>
    </row>
    <row r="227">
      <c r="A227" s="9">
        <f>IF(E227="","", IF('Global Precios'!B228="",0,'Global Precios'!B228))</f>
        <v>0</v>
      </c>
      <c r="B227" s="14" t="str">
        <f>IF('Global Precios'!B228="","",'Global Precios'!B228)</f>
        <v/>
      </c>
      <c r="C227" s="18">
        <f>IF('Global Precios'!A228="","",'Global Precios'!A228)</f>
        <v>231</v>
      </c>
      <c r="D227" s="18"/>
      <c r="E227" s="25" t="str">
        <f>IF('Global Precios'!D228="","",'Global Precios'!D228)</f>
        <v>ROYAL CANIN MINI PUPPY Present: 3 kg</v>
      </c>
      <c r="F227" s="18"/>
      <c r="G227" s="25">
        <f>IFERROR(VLOOKUP(C227,'BuscarV Stock'!$A$2:$C$478,3,0),"AAA")</f>
        <v>0</v>
      </c>
      <c r="H227" s="25">
        <f t="shared" si="1"/>
        <v>0.21</v>
      </c>
      <c r="I227" s="30">
        <f>IF('Global Precios'!H228="","",'Global Precios'!H228)</f>
        <v>6139.669421</v>
      </c>
      <c r="J227" s="82">
        <f>IF('Global Precios'!K228="","",'Global Precios'!K228)</f>
        <v>0.3</v>
      </c>
      <c r="K227" s="30">
        <f>IF('Global Precios'!Z228="Desactivado",0,IF('Global Precios'!L228="","",'Global Precios'!L228))</f>
        <v>0</v>
      </c>
      <c r="L227" s="18"/>
      <c r="M227" s="18"/>
      <c r="N227" s="18"/>
      <c r="O227" s="18"/>
      <c r="P227" s="18"/>
      <c r="Q227" s="18"/>
      <c r="R227" s="18" t="str">
        <f>IF('Global Precios'!F228="","",'Global Precios'!F228)</f>
        <v>Alimentos</v>
      </c>
      <c r="S227" s="18"/>
      <c r="T227" s="18" t="str">
        <f>IF('Global Precios'!E228="","",'Global Precios'!E228)</f>
        <v>ROYAL CANIN</v>
      </c>
      <c r="U227" s="18"/>
      <c r="V227" s="18">
        <f t="shared" si="2"/>
        <v>0</v>
      </c>
      <c r="W227" s="18"/>
      <c r="X227" s="18"/>
      <c r="Y227" s="18"/>
      <c r="Z227" s="18"/>
      <c r="AA227" s="18"/>
      <c r="AB227" s="18">
        <f t="shared" si="3"/>
        <v>1</v>
      </c>
      <c r="AC227" s="18">
        <f t="shared" si="4"/>
        <v>1</v>
      </c>
      <c r="AD227" s="18">
        <f t="shared" si="5"/>
        <v>1</v>
      </c>
      <c r="AE227" s="18">
        <f t="shared" si="6"/>
        <v>1</v>
      </c>
    </row>
    <row r="228">
      <c r="A228" s="9">
        <f>IF(E228="","", IF('Global Precios'!B229="",0,'Global Precios'!B229))</f>
        <v>0</v>
      </c>
      <c r="B228" s="14" t="str">
        <f>IF('Global Precios'!B229="","",'Global Precios'!B229)</f>
        <v/>
      </c>
      <c r="C228" s="18">
        <f>IF('Global Precios'!A229="","",'Global Precios'!A229)</f>
        <v>232</v>
      </c>
      <c r="D228" s="18"/>
      <c r="E228" s="25" t="str">
        <f>IF('Global Precios'!D229="","",'Global Precios'!D229)</f>
        <v>ROYAL CANIN VET-CAT WEIGHT CONTROL Present: 3 kg</v>
      </c>
      <c r="F228" s="18"/>
      <c r="G228" s="25">
        <f>IFERROR(VLOOKUP(C228,'BuscarV Stock'!$A$2:$C$478,3,0),"AAA")</f>
        <v>0</v>
      </c>
      <c r="H228" s="25">
        <f t="shared" si="1"/>
        <v>0.21</v>
      </c>
      <c r="I228" s="30">
        <f>IF('Global Precios'!H229="","",'Global Precios'!H229)</f>
        <v>4008.264463</v>
      </c>
      <c r="J228" s="82">
        <f>IF('Global Precios'!K229="","",'Global Precios'!K229)</f>
        <v>0.3</v>
      </c>
      <c r="K228" s="30">
        <f>IF('Global Precios'!Z229="Desactivado",0,IF('Global Precios'!L229="","",'Global Precios'!L229))</f>
        <v>0</v>
      </c>
      <c r="L228" s="18"/>
      <c r="M228" s="18"/>
      <c r="N228" s="18"/>
      <c r="O228" s="18"/>
      <c r="P228" s="18"/>
      <c r="Q228" s="18"/>
      <c r="R228" s="18" t="str">
        <f>IF('Global Precios'!F229="","",'Global Precios'!F229)</f>
        <v>Alimentos</v>
      </c>
      <c r="S228" s="18"/>
      <c r="T228" s="18" t="str">
        <f>IF('Global Precios'!E229="","",'Global Precios'!E229)</f>
        <v>ROYAL CANIN</v>
      </c>
      <c r="U228" s="18"/>
      <c r="V228" s="18">
        <f t="shared" si="2"/>
        <v>0</v>
      </c>
      <c r="W228" s="18"/>
      <c r="X228" s="18"/>
      <c r="Y228" s="18"/>
      <c r="Z228" s="18"/>
      <c r="AA228" s="18"/>
      <c r="AB228" s="18">
        <f t="shared" si="3"/>
        <v>1</v>
      </c>
      <c r="AC228" s="18">
        <f t="shared" si="4"/>
        <v>1</v>
      </c>
      <c r="AD228" s="18">
        <f t="shared" si="5"/>
        <v>1</v>
      </c>
      <c r="AE228" s="18">
        <f t="shared" si="6"/>
        <v>1</v>
      </c>
    </row>
    <row r="229">
      <c r="A229" s="9">
        <f>IF(E229="","", IF('Global Precios'!B230="",0,'Global Precios'!B230))</f>
        <v>0</v>
      </c>
      <c r="B229" s="14" t="str">
        <f>IF('Global Precios'!B230="","",'Global Precios'!B230)</f>
        <v/>
      </c>
      <c r="C229" s="18">
        <f>IF('Global Precios'!A230="","",'Global Precios'!A230)</f>
        <v>233</v>
      </c>
      <c r="D229" s="18"/>
      <c r="E229" s="25" t="str">
        <f>IF('Global Precios'!D230="","",'Global Precios'!D230)</f>
        <v>Insumo Peluquería</v>
      </c>
      <c r="F229" s="18"/>
      <c r="G229" s="25">
        <f>IFERROR(VLOOKUP(C229,'BuscarV Stock'!$A$2:$C$478,3,0),"AAA")</f>
        <v>0</v>
      </c>
      <c r="H229" s="25">
        <f t="shared" si="1"/>
        <v>0.21</v>
      </c>
      <c r="I229" s="30" t="str">
        <f>IF('Global Precios'!H230="","",'Global Precios'!H230)</f>
        <v/>
      </c>
      <c r="J229" s="18" t="str">
        <f>IF('Global Precios'!K230="","",'Global Precios'!K230)</f>
        <v/>
      </c>
      <c r="K229" s="30">
        <f>IF('Global Precios'!Z230="Desactivado",0,IF('Global Precios'!L230="","",'Global Precios'!L230))</f>
        <v>0</v>
      </c>
      <c r="L229" s="18"/>
      <c r="M229" s="18"/>
      <c r="N229" s="18"/>
      <c r="O229" s="18"/>
      <c r="P229" s="18"/>
      <c r="Q229" s="18"/>
      <c r="R229" s="18" t="str">
        <f>IF('Global Precios'!F230="","",'Global Precios'!F230)</f>
        <v>Insumos</v>
      </c>
      <c r="S229" s="18"/>
      <c r="T229" s="18" t="str">
        <f>IF('Global Precios'!E230="","",'Global Precios'!E230)</f>
        <v/>
      </c>
      <c r="U229" s="18"/>
      <c r="V229" s="18">
        <f t="shared" si="2"/>
        <v>0</v>
      </c>
      <c r="W229" s="18"/>
      <c r="X229" s="18"/>
      <c r="Y229" s="18"/>
      <c r="Z229" s="18"/>
      <c r="AA229" s="18"/>
      <c r="AB229" s="18">
        <f t="shared" si="3"/>
        <v>1</v>
      </c>
      <c r="AC229" s="18">
        <f t="shared" si="4"/>
        <v>1</v>
      </c>
      <c r="AD229" s="18">
        <f t="shared" si="5"/>
        <v>1</v>
      </c>
      <c r="AE229" s="18">
        <f t="shared" si="6"/>
        <v>1</v>
      </c>
    </row>
    <row r="230">
      <c r="A230" s="9">
        <f>IF(E230="","", IF('Global Precios'!B231="",0,'Global Precios'!B231))</f>
        <v>0</v>
      </c>
      <c r="B230" s="14" t="str">
        <f>IF('Global Precios'!B231="","",'Global Precios'!B231)</f>
        <v/>
      </c>
      <c r="C230" s="18">
        <f>IF('Global Precios'!A231="","",'Global Precios'!A231)</f>
        <v>234</v>
      </c>
      <c r="D230" s="18"/>
      <c r="E230" s="25" t="str">
        <f>IF('Global Precios'!D231="","",'Global Precios'!D231)</f>
        <v>Yerba gatera</v>
      </c>
      <c r="F230" s="18"/>
      <c r="G230" s="25">
        <f>IFERROR(VLOOKUP(C230,'BuscarV Stock'!$A$2:$C$478,3,0),"AAA")</f>
        <v>1</v>
      </c>
      <c r="H230" s="25">
        <f t="shared" si="1"/>
        <v>0.21</v>
      </c>
      <c r="I230" s="30">
        <f>IF('Global Precios'!H231="","",'Global Precios'!H231)</f>
        <v>289</v>
      </c>
      <c r="J230" s="82">
        <f>IF('Global Precios'!K231="","",'Global Precios'!K231)</f>
        <v>1</v>
      </c>
      <c r="K230" s="30">
        <f>IF('Global Precios'!Z231="Desactivado",0,IF('Global Precios'!L231="","",'Global Precios'!L231))</f>
        <v>0</v>
      </c>
      <c r="L230" s="18"/>
      <c r="M230" s="18"/>
      <c r="N230" s="18"/>
      <c r="O230" s="18"/>
      <c r="P230" s="18"/>
      <c r="Q230" s="18"/>
      <c r="R230" s="18" t="str">
        <f>IF('Global Precios'!F231="","",'Global Precios'!F231)</f>
        <v>Pet-shop</v>
      </c>
      <c r="S230" s="18"/>
      <c r="T230" s="18" t="str">
        <f>IF('Global Precios'!E231="","",'Global Precios'!E231)</f>
        <v/>
      </c>
      <c r="U230" s="18"/>
      <c r="V230" s="18">
        <f t="shared" si="2"/>
        <v>0</v>
      </c>
      <c r="W230" s="18"/>
      <c r="X230" s="18"/>
      <c r="Y230" s="18"/>
      <c r="Z230" s="18"/>
      <c r="AA230" s="18"/>
      <c r="AB230" s="18">
        <f t="shared" si="3"/>
        <v>1</v>
      </c>
      <c r="AC230" s="18">
        <f t="shared" si="4"/>
        <v>1</v>
      </c>
      <c r="AD230" s="18">
        <f t="shared" si="5"/>
        <v>1</v>
      </c>
      <c r="AE230" s="18">
        <f t="shared" si="6"/>
        <v>1</v>
      </c>
    </row>
    <row r="231">
      <c r="A231" s="9">
        <f>IF(E231="","", IF('Global Precios'!B232="",0,'Global Precios'!B232))</f>
        <v>0</v>
      </c>
      <c r="B231" s="14" t="str">
        <f>IF('Global Precios'!B232="","",'Global Precios'!B232)</f>
        <v/>
      </c>
      <c r="C231" s="18">
        <f>IF('Global Precios'!A232="","",'Global Precios'!A232)</f>
        <v>235</v>
      </c>
      <c r="D231" s="18"/>
      <c r="E231" s="25" t="str">
        <f>IF('Global Precios'!D232="","",'Global Precios'!D232)</f>
        <v>Vacuna TRIPLE FELINA</v>
      </c>
      <c r="F231" s="18"/>
      <c r="G231" s="25">
        <f>IFERROR(VLOOKUP(C231,'BuscarV Stock'!$A$2:$C$478,3,0),"AAA")</f>
        <v>0</v>
      </c>
      <c r="H231" s="25">
        <f t="shared" si="1"/>
        <v>0.21</v>
      </c>
      <c r="I231" s="30">
        <f>IF('Global Precios'!H232="","",'Global Precios'!H232)</f>
        <v>7272.727273</v>
      </c>
      <c r="J231" s="82">
        <f>IF('Global Precios'!K232="","",'Global Precios'!K232)</f>
        <v>1.6</v>
      </c>
      <c r="K231" s="30">
        <f>IF('Global Precios'!Z232="Desactivado",0,IF('Global Precios'!L232="","",'Global Precios'!L232))</f>
        <v>23000</v>
      </c>
      <c r="L231" s="18"/>
      <c r="M231" s="18"/>
      <c r="N231" s="18"/>
      <c r="O231" s="18"/>
      <c r="P231" s="18"/>
      <c r="Q231" s="18"/>
      <c r="R231" s="18" t="str">
        <f>IF('Global Precios'!F232="","",'Global Precios'!F232)</f>
        <v>Medicamentos</v>
      </c>
      <c r="S231" s="18"/>
      <c r="T231" s="18" t="str">
        <f>IF('Global Precios'!E232="","",'Global Precios'!E232)</f>
        <v/>
      </c>
      <c r="U231" s="18"/>
      <c r="V231" s="18">
        <f t="shared" si="2"/>
        <v>0</v>
      </c>
      <c r="W231" s="18"/>
      <c r="X231" s="18"/>
      <c r="Y231" s="18"/>
      <c r="Z231" s="18"/>
      <c r="AA231" s="18"/>
      <c r="AB231" s="18">
        <f t="shared" si="3"/>
        <v>1</v>
      </c>
      <c r="AC231" s="18">
        <f t="shared" si="4"/>
        <v>1</v>
      </c>
      <c r="AD231" s="18">
        <f t="shared" si="5"/>
        <v>1</v>
      </c>
      <c r="AE231" s="18">
        <f t="shared" si="6"/>
        <v>1</v>
      </c>
    </row>
    <row r="232">
      <c r="A232" s="9">
        <f>IF(E232="","", IF('Global Precios'!B233="",0,'Global Precios'!B233))</f>
        <v>0</v>
      </c>
      <c r="B232" s="14" t="str">
        <f>IF('Global Precios'!B233="","",'Global Precios'!B233)</f>
        <v/>
      </c>
      <c r="C232" s="18">
        <f>IF('Global Precios'!A233="","",'Global Precios'!A233)</f>
        <v>236</v>
      </c>
      <c r="D232" s="18"/>
      <c r="E232" s="25" t="str">
        <f>IF('Global Precios'!D233="","",'Global Precios'!D233)</f>
        <v>SIMPARICA 120 MG (40 a 60 KG)</v>
      </c>
      <c r="F232" s="18"/>
      <c r="G232" s="25">
        <f>IFERROR(VLOOKUP(C232,'BuscarV Stock'!$A$2:$C$478,3,0),"AAA")</f>
        <v>0</v>
      </c>
      <c r="H232" s="25">
        <f t="shared" si="1"/>
        <v>0.21</v>
      </c>
      <c r="I232" s="30">
        <f>IF('Global Precios'!H233="","",'Global Precios'!H233)</f>
        <v>15804.95868</v>
      </c>
      <c r="J232" s="82">
        <f>IF('Global Precios'!K233="","",'Global Precios'!K233)</f>
        <v>0.8</v>
      </c>
      <c r="K232" s="30">
        <f>IF('Global Precios'!Z233="Desactivado",0,IF('Global Precios'!L233="","",'Global Precios'!L233))</f>
        <v>34000</v>
      </c>
      <c r="L232" s="18"/>
      <c r="M232" s="18"/>
      <c r="N232" s="18"/>
      <c r="O232" s="18"/>
      <c r="P232" s="18"/>
      <c r="Q232" s="18"/>
      <c r="R232" s="18" t="str">
        <f>IF('Global Precios'!F233="","",'Global Precios'!F233)</f>
        <v>Medicamentos</v>
      </c>
      <c r="S232" s="18"/>
      <c r="T232" s="18" t="str">
        <f>IF('Global Precios'!E233="","",'Global Precios'!E233)</f>
        <v>ZOETIS P.A</v>
      </c>
      <c r="U232" s="18"/>
      <c r="V232" s="18">
        <f t="shared" si="2"/>
        <v>0</v>
      </c>
      <c r="W232" s="18"/>
      <c r="X232" s="18"/>
      <c r="Y232" s="18"/>
      <c r="Z232" s="18"/>
      <c r="AA232" s="18"/>
      <c r="AB232" s="18">
        <f t="shared" si="3"/>
        <v>1</v>
      </c>
      <c r="AC232" s="18">
        <f t="shared" si="4"/>
        <v>1</v>
      </c>
      <c r="AD232" s="18">
        <f t="shared" si="5"/>
        <v>1</v>
      </c>
      <c r="AE232" s="18">
        <f t="shared" si="6"/>
        <v>1</v>
      </c>
    </row>
    <row r="233">
      <c r="A233" s="9">
        <f>IF(E233="","", IF('Global Precios'!B234="",0,'Global Precios'!B234))</f>
        <v>0</v>
      </c>
      <c r="B233" s="14" t="str">
        <f>IF('Global Precios'!B234="","",'Global Precios'!B234)</f>
        <v/>
      </c>
      <c r="C233" s="18">
        <f>IF('Global Precios'!A234="","",'Global Precios'!A234)</f>
        <v>237</v>
      </c>
      <c r="D233" s="18"/>
      <c r="E233" s="25" t="str">
        <f>IF('Global Precios'!D234="","",'Global Precios'!D234)</f>
        <v>SIEGER  ADULTOS MORDIDA PEQUEÑA Present: 3 KG</v>
      </c>
      <c r="F233" s="18"/>
      <c r="G233" s="25">
        <f>IFERROR(VLOOKUP(C233,'BuscarV Stock'!$A$2:$C$478,3,0),"AAA")</f>
        <v>4</v>
      </c>
      <c r="H233" s="25">
        <f t="shared" si="1"/>
        <v>0.21</v>
      </c>
      <c r="I233" s="30">
        <f>IF('Global Precios'!H234="","",'Global Precios'!H234)</f>
        <v>13347.10744</v>
      </c>
      <c r="J233" s="82">
        <f>IF('Global Precios'!K234="","",'Global Precios'!K234)</f>
        <v>0.3</v>
      </c>
      <c r="K233" s="30">
        <f>IF('Global Precios'!Z234="Desactivado",0,IF('Global Precios'!L234="","",'Global Precios'!L234))</f>
        <v>21000</v>
      </c>
      <c r="L233" s="18"/>
      <c r="M233" s="18"/>
      <c r="N233" s="18"/>
      <c r="O233" s="18"/>
      <c r="P233" s="18"/>
      <c r="Q233" s="18"/>
      <c r="R233" s="18" t="str">
        <f>IF('Global Precios'!F234="","",'Global Precios'!F234)</f>
        <v>Alimentos</v>
      </c>
      <c r="S233" s="18"/>
      <c r="T233" s="18" t="str">
        <f>IF('Global Precios'!E234="","",'Global Precios'!E234)</f>
        <v>SIEGER</v>
      </c>
      <c r="U233" s="18"/>
      <c r="V233" s="18">
        <f t="shared" si="2"/>
        <v>0</v>
      </c>
      <c r="W233" s="18"/>
      <c r="X233" s="18"/>
      <c r="Y233" s="18"/>
      <c r="Z233" s="18"/>
      <c r="AA233" s="18"/>
      <c r="AB233" s="18">
        <f t="shared" si="3"/>
        <v>1</v>
      </c>
      <c r="AC233" s="18">
        <f t="shared" si="4"/>
        <v>1</v>
      </c>
      <c r="AD233" s="18">
        <f t="shared" si="5"/>
        <v>1</v>
      </c>
      <c r="AE233" s="18">
        <f t="shared" si="6"/>
        <v>1</v>
      </c>
    </row>
    <row r="234">
      <c r="A234" s="9">
        <f>IF(E234="","", IF('Global Precios'!B235="",0,'Global Precios'!B235))</f>
        <v>0</v>
      </c>
      <c r="B234" s="14" t="str">
        <f>IF('Global Precios'!B235="","",'Global Precios'!B235)</f>
        <v/>
      </c>
      <c r="C234" s="18">
        <f>IF('Global Precios'!A235="","",'Global Precios'!A235)</f>
        <v>238</v>
      </c>
      <c r="D234" s="18"/>
      <c r="E234" s="25" t="str">
        <f>IF('Global Precios'!D235="","",'Global Precios'!D235)</f>
        <v>SOSTEN CG ORAL X Blister de 10 COMP</v>
      </c>
      <c r="F234" s="18"/>
      <c r="G234" s="25">
        <f>IFERROR(VLOOKUP(C234,'BuscarV Stock'!$A$2:$C$478,3,0),"AAA")</f>
        <v>6</v>
      </c>
      <c r="H234" s="25">
        <f t="shared" si="1"/>
        <v>0.21</v>
      </c>
      <c r="I234" s="30">
        <f>IF('Global Precios'!H235="","",'Global Precios'!H235)</f>
        <v>2887.603306</v>
      </c>
      <c r="J234" s="82">
        <f>IF('Global Precios'!K235="","",'Global Precios'!K235)</f>
        <v>0.8</v>
      </c>
      <c r="K234" s="30">
        <f>IF('Global Precios'!Z235="Desactivado",0,IF('Global Precios'!L235="","",'Global Precios'!L235))</f>
        <v>0</v>
      </c>
      <c r="L234" s="18"/>
      <c r="M234" s="18"/>
      <c r="N234" s="18"/>
      <c r="O234" s="18"/>
      <c r="P234" s="18"/>
      <c r="Q234" s="18"/>
      <c r="R234" s="18" t="str">
        <f>IF('Global Precios'!F235="","",'Global Precios'!F235)</f>
        <v>Medicamentos</v>
      </c>
      <c r="S234" s="18"/>
      <c r="T234" s="18" t="str">
        <f>IF('Global Precios'!E235="","",'Global Precios'!E235)</f>
        <v>MAYORS</v>
      </c>
      <c r="U234" s="18"/>
      <c r="V234" s="18">
        <f t="shared" si="2"/>
        <v>0</v>
      </c>
      <c r="W234" s="18"/>
      <c r="X234" s="18"/>
      <c r="Y234" s="18"/>
      <c r="Z234" s="18"/>
      <c r="AA234" s="18"/>
      <c r="AB234" s="18">
        <f t="shared" si="3"/>
        <v>1</v>
      </c>
      <c r="AC234" s="18">
        <f t="shared" si="4"/>
        <v>1</v>
      </c>
      <c r="AD234" s="18">
        <f t="shared" si="5"/>
        <v>1</v>
      </c>
      <c r="AE234" s="18">
        <f t="shared" si="6"/>
        <v>1</v>
      </c>
    </row>
    <row r="235">
      <c r="A235" s="9">
        <f>IF(E235="","", IF('Global Precios'!B236="",0,'Global Precios'!B236))</f>
        <v>0</v>
      </c>
      <c r="B235" s="14" t="str">
        <f>IF('Global Precios'!B236="","",'Global Precios'!B236)</f>
        <v/>
      </c>
      <c r="C235" s="18">
        <f>IF('Global Precios'!A236="","",'Global Precios'!A236)</f>
        <v>239</v>
      </c>
      <c r="D235" s="18"/>
      <c r="E235" s="25" t="str">
        <f>IF('Global Precios'!D236="","",'Global Precios'!D236)</f>
        <v>ITRACONAZOL 100 MG X 10 COMP PREMIUM</v>
      </c>
      <c r="F235" s="18"/>
      <c r="G235" s="25">
        <f>IFERROR(VLOOKUP(C235,'BuscarV Stock'!$A$2:$C$478,3,0),"AAA")</f>
        <v>0</v>
      </c>
      <c r="H235" s="25">
        <f t="shared" si="1"/>
        <v>0.21</v>
      </c>
      <c r="I235" s="30">
        <f>IF('Global Precios'!H236="","",'Global Precios'!H236)</f>
        <v>10504.13223</v>
      </c>
      <c r="J235" s="82">
        <f>IF('Global Precios'!K236="","",'Global Precios'!K236)</f>
        <v>0.7</v>
      </c>
      <c r="K235" s="30">
        <f>IF('Global Precios'!Z236="Desactivado",0,IF('Global Precios'!L236="","",'Global Precios'!L236))</f>
        <v>22000</v>
      </c>
      <c r="L235" s="18"/>
      <c r="M235" s="18"/>
      <c r="N235" s="18"/>
      <c r="O235" s="18"/>
      <c r="P235" s="18"/>
      <c r="Q235" s="18"/>
      <c r="R235" s="18" t="str">
        <f>IF('Global Precios'!F236="","",'Global Precios'!F236)</f>
        <v>Medicamentos</v>
      </c>
      <c r="S235" s="18"/>
      <c r="T235" s="18" t="str">
        <f>IF('Global Precios'!E236="","",'Global Precios'!E236)</f>
        <v>ZOOVET P.A</v>
      </c>
      <c r="U235" s="18"/>
      <c r="V235" s="18">
        <f t="shared" si="2"/>
        <v>0</v>
      </c>
      <c r="W235" s="18"/>
      <c r="X235" s="18"/>
      <c r="Y235" s="18"/>
      <c r="Z235" s="18"/>
      <c r="AA235" s="18"/>
      <c r="AB235" s="18">
        <f t="shared" si="3"/>
        <v>1</v>
      </c>
      <c r="AC235" s="18">
        <f t="shared" si="4"/>
        <v>1</v>
      </c>
      <c r="AD235" s="18">
        <f t="shared" si="5"/>
        <v>1</v>
      </c>
      <c r="AE235" s="18">
        <f t="shared" si="6"/>
        <v>1</v>
      </c>
    </row>
    <row r="236">
      <c r="A236" s="9">
        <f>IF(E236="","", IF('Global Precios'!B237="",0,'Global Precios'!B237))</f>
        <v>0</v>
      </c>
      <c r="B236" s="14" t="str">
        <f>IF('Global Precios'!B237="","",'Global Precios'!B237)</f>
        <v/>
      </c>
      <c r="C236" s="18">
        <f>IF('Global Precios'!A237="","",'Global Precios'!A237)</f>
        <v>240</v>
      </c>
      <c r="D236" s="18"/>
      <c r="E236" s="25" t="str">
        <f>IF('Global Precios'!D237="","",'Global Precios'!D237)</f>
        <v>CARDIOVIER  E 20 KG X blister 10 Comprimidos</v>
      </c>
      <c r="F236" s="18"/>
      <c r="G236" s="25">
        <f>IFERROR(VLOOKUP(C236,'BuscarV Stock'!$A$2:$C$478,3,0),"AAA")</f>
        <v>2</v>
      </c>
      <c r="H236" s="25">
        <f t="shared" si="1"/>
        <v>0.21</v>
      </c>
      <c r="I236" s="30">
        <f>IF('Global Precios'!H237="","",'Global Precios'!H237)</f>
        <v>3600</v>
      </c>
      <c r="J236" s="82">
        <f>IF('Global Precios'!K237="","",'Global Precios'!K237)</f>
        <v>0.7</v>
      </c>
      <c r="K236" s="30">
        <f>IF('Global Precios'!Z237="Desactivado",0,IF('Global Precios'!L237="","",'Global Precios'!L237))</f>
        <v>7500</v>
      </c>
      <c r="L236" s="18"/>
      <c r="M236" s="18"/>
      <c r="N236" s="18"/>
      <c r="O236" s="18"/>
      <c r="P236" s="18"/>
      <c r="Q236" s="18"/>
      <c r="R236" s="18" t="str">
        <f>IF('Global Precios'!F237="","",'Global Precios'!F237)</f>
        <v>Medicamentos</v>
      </c>
      <c r="S236" s="18"/>
      <c r="T236" s="18" t="str">
        <f>IF('Global Precios'!E237="","",'Global Precios'!E237)</f>
        <v>JANVIER</v>
      </c>
      <c r="U236" s="18"/>
      <c r="V236" s="18">
        <f t="shared" si="2"/>
        <v>0</v>
      </c>
      <c r="W236" s="18"/>
      <c r="X236" s="18"/>
      <c r="Y236" s="18"/>
      <c r="Z236" s="18"/>
      <c r="AA236" s="18"/>
      <c r="AB236" s="18">
        <f t="shared" si="3"/>
        <v>1</v>
      </c>
      <c r="AC236" s="18">
        <f t="shared" si="4"/>
        <v>1</v>
      </c>
      <c r="AD236" s="18">
        <f t="shared" si="5"/>
        <v>1</v>
      </c>
      <c r="AE236" s="18">
        <f t="shared" si="6"/>
        <v>1</v>
      </c>
    </row>
    <row r="237">
      <c r="A237" s="9">
        <f>IF(E237="","", IF('Global Precios'!B238="",0,'Global Precios'!B238))</f>
        <v>0</v>
      </c>
      <c r="B237" s="14" t="str">
        <f>IF('Global Precios'!B238="","",'Global Precios'!B238)</f>
        <v/>
      </c>
      <c r="C237" s="18">
        <f>IF('Global Precios'!A238="","",'Global Precios'!A238)</f>
        <v>241</v>
      </c>
      <c r="D237" s="18"/>
      <c r="E237" s="25" t="str">
        <f>IF('Global Precios'!D238="","",'Global Precios'!D238)</f>
        <v>CLORMADINONA Blister x 10 compr</v>
      </c>
      <c r="F237" s="18"/>
      <c r="G237" s="25">
        <f>IFERROR(VLOOKUP(C237,'BuscarV Stock'!$A$2:$C$478,3,0),"AAA")</f>
        <v>9</v>
      </c>
      <c r="H237" s="25">
        <f t="shared" si="1"/>
        <v>0.21</v>
      </c>
      <c r="I237" s="30">
        <f>IF('Global Precios'!H238="","",'Global Precios'!H238)</f>
        <v>796.6942149</v>
      </c>
      <c r="J237" s="82">
        <f>IF('Global Precios'!K238="","",'Global Precios'!K238)</f>
        <v>1</v>
      </c>
      <c r="K237" s="30">
        <f>IF('Global Precios'!Z238="Desactivado",0,IF('Global Precios'!L238="","",'Global Precios'!L238))</f>
        <v>2000</v>
      </c>
      <c r="L237" s="18"/>
      <c r="M237" s="18"/>
      <c r="N237" s="18"/>
      <c r="O237" s="18"/>
      <c r="P237" s="18"/>
      <c r="Q237" s="18"/>
      <c r="R237" s="18" t="str">
        <f>IF('Global Precios'!F238="","",'Global Precios'!F238)</f>
        <v>Medicamentos</v>
      </c>
      <c r="S237" s="18"/>
      <c r="T237" s="18" t="str">
        <f>IF('Global Precios'!E238="","",'Global Precios'!E238)</f>
        <v>LAMAR</v>
      </c>
      <c r="U237" s="18"/>
      <c r="V237" s="18">
        <f t="shared" si="2"/>
        <v>0</v>
      </c>
      <c r="W237" s="18"/>
      <c r="X237" s="18"/>
      <c r="Y237" s="18"/>
      <c r="Z237" s="18"/>
      <c r="AA237" s="18"/>
      <c r="AB237" s="18">
        <f t="shared" si="3"/>
        <v>1</v>
      </c>
      <c r="AC237" s="18">
        <f t="shared" si="4"/>
        <v>1</v>
      </c>
      <c r="AD237" s="18">
        <f t="shared" si="5"/>
        <v>1</v>
      </c>
      <c r="AE237" s="18">
        <f t="shared" si="6"/>
        <v>1</v>
      </c>
    </row>
    <row r="238">
      <c r="A238" s="9">
        <f>IF(E238="","", IF('Global Precios'!B239="",0,'Global Precios'!B239))</f>
        <v>0</v>
      </c>
      <c r="B238" s="14" t="str">
        <f>IF('Global Precios'!B239="","",'Global Precios'!B239)</f>
        <v/>
      </c>
      <c r="C238" s="18">
        <f>IF('Global Precios'!A239="","",'Global Precios'!A239)</f>
        <v>242</v>
      </c>
      <c r="D238" s="18"/>
      <c r="E238" s="25" t="str">
        <f>IF('Global Precios'!D239="","",'Global Precios'!D239)</f>
        <v>RELAY C X x 1 comprimido</v>
      </c>
      <c r="F238" s="18"/>
      <c r="G238" s="25">
        <f>IFERROR(VLOOKUP(C238,'BuscarV Stock'!$A$2:$C$478,3,0),"AAA")</f>
        <v>13</v>
      </c>
      <c r="H238" s="25">
        <f t="shared" si="1"/>
        <v>0.21</v>
      </c>
      <c r="I238" s="30">
        <f>IF('Global Precios'!H239="","",'Global Precios'!H239)</f>
        <v>1074.380165</v>
      </c>
      <c r="J238" s="82">
        <f>IF('Global Precios'!K239="","",'Global Precios'!K239)</f>
        <v>1</v>
      </c>
      <c r="K238" s="30">
        <f>IF('Global Precios'!Z239="Desactivado",0,IF('Global Precios'!L239="","",'Global Precios'!L239))</f>
        <v>2500</v>
      </c>
      <c r="L238" s="18"/>
      <c r="M238" s="18"/>
      <c r="N238" s="18"/>
      <c r="O238" s="18"/>
      <c r="P238" s="18"/>
      <c r="Q238" s="18"/>
      <c r="R238" s="18" t="str">
        <f>IF('Global Precios'!F239="","",'Global Precios'!F239)</f>
        <v>Medicamentos</v>
      </c>
      <c r="S238" s="18"/>
      <c r="T238" s="18" t="str">
        <f>IF('Global Precios'!E239="","",'Global Precios'!E239)</f>
        <v>HOLLIDAY</v>
      </c>
      <c r="U238" s="18"/>
      <c r="V238" s="18">
        <f t="shared" si="2"/>
        <v>0</v>
      </c>
      <c r="W238" s="18"/>
      <c r="X238" s="18"/>
      <c r="Y238" s="18"/>
      <c r="Z238" s="18"/>
      <c r="AA238" s="18"/>
      <c r="AB238" s="18">
        <f t="shared" si="3"/>
        <v>1</v>
      </c>
      <c r="AC238" s="18">
        <f t="shared" si="4"/>
        <v>1</v>
      </c>
      <c r="AD238" s="18">
        <f t="shared" si="5"/>
        <v>1</v>
      </c>
      <c r="AE238" s="18">
        <f t="shared" si="6"/>
        <v>1</v>
      </c>
    </row>
    <row r="239">
      <c r="A239" s="9">
        <f>IF(E239="","", IF('Global Precios'!B240="",0,'Global Precios'!B240))</f>
        <v>0</v>
      </c>
      <c r="B239" s="14" t="str">
        <f>IF('Global Precios'!B240="","",'Global Precios'!B240)</f>
        <v/>
      </c>
      <c r="C239" s="18">
        <f>IF('Global Precios'!A240="","",'Global Precios'!A240)</f>
        <v>243</v>
      </c>
      <c r="D239" s="18"/>
      <c r="E239" s="25" t="str">
        <f>IF('Global Precios'!D240="","",'Global Precios'!D240)</f>
        <v>Orejas de vaca </v>
      </c>
      <c r="F239" s="18"/>
      <c r="G239" s="25">
        <f>IFERROR(VLOOKUP(C239,'BuscarV Stock'!$A$2:$C$478,3,0),"AAA")</f>
        <v>5</v>
      </c>
      <c r="H239" s="25">
        <f t="shared" si="1"/>
        <v>0.21</v>
      </c>
      <c r="I239" s="30">
        <f>IF('Global Precios'!H240="","",'Global Precios'!H240)</f>
        <v>70</v>
      </c>
      <c r="J239" s="82">
        <f>IF('Global Precios'!K240="","",'Global Precios'!K240)</f>
        <v>1</v>
      </c>
      <c r="K239" s="30">
        <f>IF('Global Precios'!Z240="Desactivado",0,IF('Global Precios'!L240="","",'Global Precios'!L240))</f>
        <v>500</v>
      </c>
      <c r="L239" s="18"/>
      <c r="M239" s="18"/>
      <c r="N239" s="18"/>
      <c r="O239" s="18"/>
      <c r="P239" s="18"/>
      <c r="Q239" s="18"/>
      <c r="R239" s="18" t="str">
        <f>IF('Global Precios'!F240="","",'Global Precios'!F240)</f>
        <v>Pet-shop</v>
      </c>
      <c r="S239" s="18"/>
      <c r="T239" s="18" t="str">
        <f>IF('Global Precios'!E240="","",'Global Precios'!E240)</f>
        <v/>
      </c>
      <c r="U239" s="18"/>
      <c r="V239" s="18">
        <f t="shared" si="2"/>
        <v>0</v>
      </c>
      <c r="W239" s="18"/>
      <c r="X239" s="18"/>
      <c r="Y239" s="18"/>
      <c r="Z239" s="18"/>
      <c r="AA239" s="18"/>
      <c r="AB239" s="18">
        <f t="shared" si="3"/>
        <v>1</v>
      </c>
      <c r="AC239" s="18">
        <f t="shared" si="4"/>
        <v>1</v>
      </c>
      <c r="AD239" s="18">
        <f t="shared" si="5"/>
        <v>1</v>
      </c>
      <c r="AE239" s="18">
        <f t="shared" si="6"/>
        <v>1</v>
      </c>
    </row>
    <row r="240">
      <c r="A240" s="9">
        <f>IF(E240="","", IF('Global Precios'!B241="",0,'Global Precios'!B241))</f>
        <v>0</v>
      </c>
      <c r="B240" s="14" t="str">
        <f>IF('Global Precios'!B241="","",'Global Precios'!B241)</f>
        <v/>
      </c>
      <c r="C240" s="18">
        <f>IF('Global Precios'!A241="","",'Global Precios'!A241)</f>
        <v>244</v>
      </c>
      <c r="D240" s="18"/>
      <c r="E240" s="25" t="str">
        <f>IF('Global Precios'!D241="","",'Global Precios'!D241)</f>
        <v>Cinto de seguridad p auto</v>
      </c>
      <c r="F240" s="18"/>
      <c r="G240" s="25">
        <f>IFERROR(VLOOKUP(C240,'BuscarV Stock'!$A$2:$C$478,3,0),"AAA")</f>
        <v>1</v>
      </c>
      <c r="H240" s="25">
        <f t="shared" si="1"/>
        <v>0.21</v>
      </c>
      <c r="I240" s="30">
        <f>IF('Global Precios'!H241="","",'Global Precios'!H241)</f>
        <v>642</v>
      </c>
      <c r="J240" s="82">
        <f>IF('Global Precios'!K241="","",'Global Precios'!K241)</f>
        <v>1</v>
      </c>
      <c r="K240" s="30">
        <f>IF('Global Precios'!Z241="Desactivado",0,IF('Global Precios'!L241="","",'Global Precios'!L241))</f>
        <v>8000</v>
      </c>
      <c r="L240" s="18"/>
      <c r="M240" s="18"/>
      <c r="N240" s="18"/>
      <c r="O240" s="18"/>
      <c r="P240" s="18"/>
      <c r="Q240" s="18"/>
      <c r="R240" s="18" t="str">
        <f>IF('Global Precios'!F241="","",'Global Precios'!F241)</f>
        <v>Pet-shop</v>
      </c>
      <c r="S240" s="18"/>
      <c r="T240" s="18" t="str">
        <f>IF('Global Precios'!E241="","",'Global Precios'!E241)</f>
        <v/>
      </c>
      <c r="U240" s="18"/>
      <c r="V240" s="18">
        <f t="shared" si="2"/>
        <v>0</v>
      </c>
      <c r="W240" s="18"/>
      <c r="X240" s="18"/>
      <c r="Y240" s="18"/>
      <c r="Z240" s="18"/>
      <c r="AA240" s="18"/>
      <c r="AB240" s="18">
        <f t="shared" si="3"/>
        <v>1</v>
      </c>
      <c r="AC240" s="18">
        <f t="shared" si="4"/>
        <v>1</v>
      </c>
      <c r="AD240" s="18">
        <f t="shared" si="5"/>
        <v>1</v>
      </c>
      <c r="AE240" s="18">
        <f t="shared" si="6"/>
        <v>1</v>
      </c>
    </row>
    <row r="241">
      <c r="A241" s="9">
        <f>IF(E241="","", IF('Global Precios'!B242="",0,'Global Precios'!B242))</f>
        <v>0</v>
      </c>
      <c r="B241" s="14" t="str">
        <f>IF('Global Precios'!B242="","",'Global Precios'!B242)</f>
        <v/>
      </c>
      <c r="C241" s="18">
        <f>IF('Global Precios'!A242="","",'Global Precios'!A242)</f>
        <v>255</v>
      </c>
      <c r="D241" s="18"/>
      <c r="E241" s="25" t="str">
        <f>IF('Global Precios'!D242="","",'Global Precios'!D242)</f>
        <v>Conjunto pretal estampado Talle M</v>
      </c>
      <c r="F241" s="18"/>
      <c r="G241" s="25">
        <f>IFERROR(VLOOKUP(C241,'BuscarV Stock'!$A$2:$C$478,3,0),"AAA")</f>
        <v>3</v>
      </c>
      <c r="H241" s="25">
        <f t="shared" si="1"/>
        <v>0.21</v>
      </c>
      <c r="I241" s="30">
        <f>IF('Global Precios'!H242="","",'Global Precios'!H242)</f>
        <v>738</v>
      </c>
      <c r="J241" s="82">
        <f>IF('Global Precios'!K242="","",'Global Precios'!K242)</f>
        <v>1</v>
      </c>
      <c r="K241" s="30">
        <f>IF('Global Precios'!Z242="Desactivado",0,IF('Global Precios'!L242="","",'Global Precios'!L242))</f>
        <v>6000</v>
      </c>
      <c r="L241" s="18"/>
      <c r="M241" s="18"/>
      <c r="N241" s="18"/>
      <c r="O241" s="18"/>
      <c r="P241" s="18"/>
      <c r="Q241" s="18"/>
      <c r="R241" s="18" t="str">
        <f>IF('Global Precios'!F242="","",'Global Precios'!F242)</f>
        <v>Pet-shop</v>
      </c>
      <c r="S241" s="18"/>
      <c r="T241" s="18" t="str">
        <f>IF('Global Precios'!E242="","",'Global Precios'!E242)</f>
        <v/>
      </c>
      <c r="U241" s="18"/>
      <c r="V241" s="18">
        <f t="shared" si="2"/>
        <v>0</v>
      </c>
      <c r="W241" s="18"/>
      <c r="X241" s="18"/>
      <c r="Y241" s="18"/>
      <c r="Z241" s="18"/>
      <c r="AA241" s="18"/>
      <c r="AB241" s="18">
        <f t="shared" si="3"/>
        <v>1</v>
      </c>
      <c r="AC241" s="18">
        <f t="shared" si="4"/>
        <v>1</v>
      </c>
      <c r="AD241" s="18">
        <f t="shared" si="5"/>
        <v>1</v>
      </c>
      <c r="AE241" s="18">
        <f t="shared" si="6"/>
        <v>1</v>
      </c>
    </row>
    <row r="242">
      <c r="A242" s="9">
        <f>IF(E242="","", IF('Global Precios'!B243="",0,'Global Precios'!B243))</f>
        <v>0</v>
      </c>
      <c r="B242" s="14" t="str">
        <f>IF('Global Precios'!B243="","",'Global Precios'!B243)</f>
        <v/>
      </c>
      <c r="C242" s="18">
        <f>IF('Global Precios'!A243="","",'Global Precios'!A243)</f>
        <v>256</v>
      </c>
      <c r="D242" s="18"/>
      <c r="E242" s="25" t="str">
        <f>IF('Global Precios'!D243="","",'Global Precios'!D243)</f>
        <v>Conjunto pretal estampado Talle L</v>
      </c>
      <c r="F242" s="18"/>
      <c r="G242" s="25">
        <f>IFERROR(VLOOKUP(C242,'BuscarV Stock'!$A$2:$C$478,3,0),"AAA")</f>
        <v>1</v>
      </c>
      <c r="H242" s="25">
        <f t="shared" si="1"/>
        <v>0.21</v>
      </c>
      <c r="I242" s="30">
        <f>IF('Global Precios'!H243="","",'Global Precios'!H243)</f>
        <v>952</v>
      </c>
      <c r="J242" s="82">
        <f>IF('Global Precios'!K243="","",'Global Precios'!K243)</f>
        <v>1</v>
      </c>
      <c r="K242" s="30">
        <f>IF('Global Precios'!Z243="Desactivado",0,IF('Global Precios'!L243="","",'Global Precios'!L243))</f>
        <v>8000</v>
      </c>
      <c r="L242" s="18"/>
      <c r="M242" s="18"/>
      <c r="N242" s="18"/>
      <c r="O242" s="18"/>
      <c r="P242" s="18"/>
      <c r="Q242" s="18"/>
      <c r="R242" s="18" t="str">
        <f>IF('Global Precios'!F243="","",'Global Precios'!F243)</f>
        <v>Pet-shop</v>
      </c>
      <c r="S242" s="18"/>
      <c r="T242" s="18" t="str">
        <f>IF('Global Precios'!E243="","",'Global Precios'!E243)</f>
        <v/>
      </c>
      <c r="U242" s="18"/>
      <c r="V242" s="18">
        <f t="shared" si="2"/>
        <v>0</v>
      </c>
      <c r="W242" s="18"/>
      <c r="X242" s="18"/>
      <c r="Y242" s="18"/>
      <c r="Z242" s="18"/>
      <c r="AA242" s="18"/>
      <c r="AB242" s="18">
        <f t="shared" si="3"/>
        <v>1</v>
      </c>
      <c r="AC242" s="18">
        <f t="shared" si="4"/>
        <v>1</v>
      </c>
      <c r="AD242" s="18">
        <f t="shared" si="5"/>
        <v>1</v>
      </c>
      <c r="AE242" s="18">
        <f t="shared" si="6"/>
        <v>1</v>
      </c>
    </row>
    <row r="243">
      <c r="A243" s="9">
        <f>IF(E243="","", IF('Global Precios'!B244="",0,'Global Precios'!B244))</f>
        <v>0</v>
      </c>
      <c r="B243" s="14" t="str">
        <f>IF('Global Precios'!B244="","",'Global Precios'!B244)</f>
        <v/>
      </c>
      <c r="C243" s="18">
        <f>IF('Global Precios'!A244="","",'Global Precios'!A244)</f>
        <v>257</v>
      </c>
      <c r="D243" s="18"/>
      <c r="E243" s="25" t="str">
        <f>IF('Global Precios'!D244="","",'Global Precios'!D244)</f>
        <v>Mordillo mancuerna</v>
      </c>
      <c r="F243" s="18"/>
      <c r="G243" s="25">
        <f>IFERROR(VLOOKUP(C243,'BuscarV Stock'!$A$2:$C$478,3,0),"AAA")</f>
        <v>0</v>
      </c>
      <c r="H243" s="25">
        <f t="shared" si="1"/>
        <v>0.21</v>
      </c>
      <c r="I243" s="30">
        <f>IF('Global Precios'!H244="","",'Global Precios'!H244)</f>
        <v>428</v>
      </c>
      <c r="J243" s="82">
        <f>IF('Global Precios'!K244="","",'Global Precios'!K244)</f>
        <v>1</v>
      </c>
      <c r="K243" s="30">
        <f>IF('Global Precios'!Z244="Desactivado",0,IF('Global Precios'!L244="","",'Global Precios'!L244))</f>
        <v>0</v>
      </c>
      <c r="L243" s="18"/>
      <c r="M243" s="18"/>
      <c r="N243" s="18"/>
      <c r="O243" s="18"/>
      <c r="P243" s="18"/>
      <c r="Q243" s="18"/>
      <c r="R243" s="18" t="str">
        <f>IF('Global Precios'!F244="","",'Global Precios'!F244)</f>
        <v>Pet-shop</v>
      </c>
      <c r="S243" s="18"/>
      <c r="T243" s="18" t="str">
        <f>IF('Global Precios'!E244="","",'Global Precios'!E244)</f>
        <v/>
      </c>
      <c r="U243" s="18"/>
      <c r="V243" s="18">
        <f t="shared" si="2"/>
        <v>0</v>
      </c>
      <c r="W243" s="18"/>
      <c r="X243" s="18"/>
      <c r="Y243" s="18"/>
      <c r="Z243" s="18"/>
      <c r="AA243" s="18"/>
      <c r="AB243" s="18">
        <f t="shared" si="3"/>
        <v>1</v>
      </c>
      <c r="AC243" s="18">
        <f t="shared" si="4"/>
        <v>1</v>
      </c>
      <c r="AD243" s="18">
        <f t="shared" si="5"/>
        <v>1</v>
      </c>
      <c r="AE243" s="18">
        <f t="shared" si="6"/>
        <v>1</v>
      </c>
    </row>
    <row r="244">
      <c r="A244" s="9">
        <f>IF(E244="","", IF('Global Precios'!B245="",0,'Global Precios'!B245))</f>
        <v>0</v>
      </c>
      <c r="B244" s="14" t="str">
        <f>IF('Global Precios'!B245="","",'Global Precios'!B245)</f>
        <v/>
      </c>
      <c r="C244" s="18">
        <f>IF('Global Precios'!A245="","",'Global Precios'!A245)</f>
        <v>258</v>
      </c>
      <c r="D244" s="18"/>
      <c r="E244" s="25" t="str">
        <f>IF('Global Precios'!D245="","",'Global Precios'!D245)</f>
        <v>Pelota con huellitas</v>
      </c>
      <c r="F244" s="18"/>
      <c r="G244" s="25">
        <f>IFERROR(VLOOKUP(C244,'BuscarV Stock'!$A$2:$C$478,3,0),"AAA")</f>
        <v>2</v>
      </c>
      <c r="H244" s="25">
        <f t="shared" si="1"/>
        <v>0.21</v>
      </c>
      <c r="I244" s="30">
        <f>IF('Global Precios'!H245="","",'Global Precios'!H245)</f>
        <v>353</v>
      </c>
      <c r="J244" s="82">
        <f>IF('Global Precios'!K245="","",'Global Precios'!K245)</f>
        <v>0.8</v>
      </c>
      <c r="K244" s="30">
        <f>IF('Global Precios'!Z245="Desactivado",0,IF('Global Precios'!L245="","",'Global Precios'!L245))</f>
        <v>3500</v>
      </c>
      <c r="L244" s="18"/>
      <c r="M244" s="18"/>
      <c r="N244" s="18"/>
      <c r="O244" s="18"/>
      <c r="P244" s="18"/>
      <c r="Q244" s="18"/>
      <c r="R244" s="18" t="str">
        <f>IF('Global Precios'!F245="","",'Global Precios'!F245)</f>
        <v>Pet-shop</v>
      </c>
      <c r="S244" s="18"/>
      <c r="T244" s="18" t="str">
        <f>IF('Global Precios'!E245="","",'Global Precios'!E245)</f>
        <v/>
      </c>
      <c r="U244" s="18"/>
      <c r="V244" s="18">
        <f t="shared" si="2"/>
        <v>0</v>
      </c>
      <c r="W244" s="18"/>
      <c r="X244" s="18"/>
      <c r="Y244" s="18"/>
      <c r="Z244" s="18"/>
      <c r="AA244" s="18"/>
      <c r="AB244" s="18">
        <f t="shared" si="3"/>
        <v>1</v>
      </c>
      <c r="AC244" s="18">
        <f t="shared" si="4"/>
        <v>1</v>
      </c>
      <c r="AD244" s="18">
        <f t="shared" si="5"/>
        <v>1</v>
      </c>
      <c r="AE244" s="18">
        <f t="shared" si="6"/>
        <v>1</v>
      </c>
    </row>
    <row r="245">
      <c r="A245" s="9">
        <f>IF(E245="","", IF('Global Precios'!B246="",0,'Global Precios'!B246))</f>
        <v>0</v>
      </c>
      <c r="B245" s="14" t="str">
        <f>IF('Global Precios'!B246="","",'Global Precios'!B246)</f>
        <v/>
      </c>
      <c r="C245" s="18">
        <f>IF('Global Precios'!A246="","",'Global Precios'!A246)</f>
        <v>259</v>
      </c>
      <c r="D245" s="18"/>
      <c r="E245" s="25" t="str">
        <f>IF('Global Precios'!D246="","",'Global Precios'!D246)</f>
        <v>Pelota de tenis</v>
      </c>
      <c r="F245" s="18"/>
      <c r="G245" s="25">
        <f>IFERROR(VLOOKUP(C245,'BuscarV Stock'!$A$2:$C$478,3,0),"AAA")</f>
        <v>1</v>
      </c>
      <c r="H245" s="25">
        <f t="shared" si="1"/>
        <v>0.21</v>
      </c>
      <c r="I245" s="30">
        <f>IF('Global Precios'!H246="","",'Global Precios'!H246)</f>
        <v>268</v>
      </c>
      <c r="J245" s="82">
        <f>IF('Global Precios'!K246="","",'Global Precios'!K246)</f>
        <v>1</v>
      </c>
      <c r="K245" s="30">
        <f>IF('Global Precios'!Z246="Desactivado",0,IF('Global Precios'!L246="","",'Global Precios'!L246))</f>
        <v>0</v>
      </c>
      <c r="L245" s="18"/>
      <c r="M245" s="18"/>
      <c r="N245" s="18"/>
      <c r="O245" s="18"/>
      <c r="P245" s="18"/>
      <c r="Q245" s="18"/>
      <c r="R245" s="18" t="str">
        <f>IF('Global Precios'!F246="","",'Global Precios'!F246)</f>
        <v>Pet-shop</v>
      </c>
      <c r="S245" s="18"/>
      <c r="T245" s="18" t="str">
        <f>IF('Global Precios'!E246="","",'Global Precios'!E246)</f>
        <v/>
      </c>
      <c r="U245" s="18"/>
      <c r="V245" s="18">
        <f t="shared" si="2"/>
        <v>0</v>
      </c>
      <c r="W245" s="18"/>
      <c r="X245" s="18"/>
      <c r="Y245" s="18"/>
      <c r="Z245" s="18"/>
      <c r="AA245" s="18"/>
      <c r="AB245" s="18">
        <f t="shared" si="3"/>
        <v>1</v>
      </c>
      <c r="AC245" s="18">
        <f t="shared" si="4"/>
        <v>1</v>
      </c>
      <c r="AD245" s="18">
        <f t="shared" si="5"/>
        <v>1</v>
      </c>
      <c r="AE245" s="18">
        <f t="shared" si="6"/>
        <v>1</v>
      </c>
    </row>
    <row r="246">
      <c r="A246" s="9">
        <f>IF(E246="","", IF('Global Precios'!B247="",0,'Global Precios'!B247))</f>
        <v>0</v>
      </c>
      <c r="B246" s="14" t="str">
        <f>IF('Global Precios'!B247="","",'Global Precios'!B247)</f>
        <v/>
      </c>
      <c r="C246" s="18">
        <f>IF('Global Precios'!A247="","",'Global Precios'!A247)</f>
        <v>260</v>
      </c>
      <c r="D246" s="18"/>
      <c r="E246" s="25" t="str">
        <f>IF('Global Precios'!D247="","",'Global Precios'!D247)</f>
        <v>Correa extensible x 3 metros</v>
      </c>
      <c r="F246" s="18"/>
      <c r="G246" s="25">
        <f>IFERROR(VLOOKUP(C246,'BuscarV Stock'!$A$2:$C$478,3,0),"AAA")</f>
        <v>0</v>
      </c>
      <c r="H246" s="25">
        <f t="shared" si="1"/>
        <v>0.21</v>
      </c>
      <c r="I246" s="30">
        <f>IF('Global Precios'!H247="","",'Global Precios'!H247)</f>
        <v>1177</v>
      </c>
      <c r="J246" s="82">
        <f>IF('Global Precios'!K247="","",'Global Precios'!K247)</f>
        <v>1</v>
      </c>
      <c r="K246" s="30">
        <f>IF('Global Precios'!Z247="Desactivado",0,IF('Global Precios'!L247="","",'Global Precios'!L247))</f>
        <v>11000</v>
      </c>
      <c r="L246" s="18"/>
      <c r="M246" s="18"/>
      <c r="N246" s="18"/>
      <c r="O246" s="18"/>
      <c r="P246" s="18"/>
      <c r="Q246" s="18"/>
      <c r="R246" s="18" t="str">
        <f>IF('Global Precios'!F247="","",'Global Precios'!F247)</f>
        <v>Pet-shop</v>
      </c>
      <c r="S246" s="18"/>
      <c r="T246" s="18" t="str">
        <f>IF('Global Precios'!E247="","",'Global Precios'!E247)</f>
        <v/>
      </c>
      <c r="U246" s="18"/>
      <c r="V246" s="18">
        <f t="shared" si="2"/>
        <v>0</v>
      </c>
      <c r="W246" s="18"/>
      <c r="X246" s="18"/>
      <c r="Y246" s="18"/>
      <c r="Z246" s="18"/>
      <c r="AA246" s="18"/>
      <c r="AB246" s="18">
        <f t="shared" si="3"/>
        <v>1</v>
      </c>
      <c r="AC246" s="18">
        <f t="shared" si="4"/>
        <v>1</v>
      </c>
      <c r="AD246" s="18">
        <f t="shared" si="5"/>
        <v>1</v>
      </c>
      <c r="AE246" s="18">
        <f t="shared" si="6"/>
        <v>1</v>
      </c>
    </row>
    <row r="247">
      <c r="A247" s="9">
        <f>IF(E247="","", IF('Global Precios'!B248="",0,'Global Precios'!B248))</f>
        <v>0</v>
      </c>
      <c r="B247" s="14" t="str">
        <f>IF('Global Precios'!B248="","",'Global Precios'!B248)</f>
        <v/>
      </c>
      <c r="C247" s="18">
        <f>IF('Global Precios'!A248="","",'Global Precios'!A248)</f>
        <v>261</v>
      </c>
      <c r="D247" s="18"/>
      <c r="E247" s="25" t="str">
        <f>IF('Global Precios'!D248="","",'Global Precios'!D248)</f>
        <v>Comedero portatil de goma</v>
      </c>
      <c r="F247" s="18"/>
      <c r="G247" s="25">
        <f>IFERROR(VLOOKUP(C247,'BuscarV Stock'!$A$2:$C$478,3,0),"AAA")</f>
        <v>0</v>
      </c>
      <c r="H247" s="25">
        <f t="shared" si="1"/>
        <v>0.21</v>
      </c>
      <c r="I247" s="30">
        <f>IF('Global Precios'!H248="","",'Global Precios'!H248)</f>
        <v>492</v>
      </c>
      <c r="J247" s="82">
        <f>IF('Global Precios'!K248="","",'Global Precios'!K248)</f>
        <v>1</v>
      </c>
      <c r="K247" s="30">
        <f>IF('Global Precios'!Z248="Desactivado",0,IF('Global Precios'!L248="","",'Global Precios'!L248))</f>
        <v>0</v>
      </c>
      <c r="L247" s="18"/>
      <c r="M247" s="18"/>
      <c r="N247" s="18"/>
      <c r="O247" s="18"/>
      <c r="P247" s="18"/>
      <c r="Q247" s="18"/>
      <c r="R247" s="18" t="str">
        <f>IF('Global Precios'!F248="","",'Global Precios'!F248)</f>
        <v>Pet-shop</v>
      </c>
      <c r="S247" s="18"/>
      <c r="T247" s="18" t="str">
        <f>IF('Global Precios'!E248="","",'Global Precios'!E248)</f>
        <v/>
      </c>
      <c r="U247" s="18"/>
      <c r="V247" s="18">
        <f t="shared" si="2"/>
        <v>0</v>
      </c>
      <c r="W247" s="18"/>
      <c r="X247" s="18"/>
      <c r="Y247" s="18"/>
      <c r="Z247" s="18"/>
      <c r="AA247" s="18"/>
      <c r="AB247" s="18">
        <f t="shared" si="3"/>
        <v>1</v>
      </c>
      <c r="AC247" s="18">
        <f t="shared" si="4"/>
        <v>1</v>
      </c>
      <c r="AD247" s="18">
        <f t="shared" si="5"/>
        <v>1</v>
      </c>
      <c r="AE247" s="18">
        <f t="shared" si="6"/>
        <v>1</v>
      </c>
    </row>
    <row r="248">
      <c r="A248" s="9">
        <f>IF(E248="","", IF('Global Precios'!B249="",0,'Global Precios'!B249))</f>
        <v>0</v>
      </c>
      <c r="B248" s="14" t="str">
        <f>IF('Global Precios'!B249="","",'Global Precios'!B249)</f>
        <v/>
      </c>
      <c r="C248" s="18">
        <f>IF('Global Precios'!A249="","",'Global Precios'!A249)</f>
        <v>262</v>
      </c>
      <c r="D248" s="18"/>
      <c r="E248" s="25" t="str">
        <f>IF('Global Precios'!D249="","",'Global Precios'!D249)</f>
        <v>ACEDAN GOTAS PALATABLES X 10 ML</v>
      </c>
      <c r="F248" s="18"/>
      <c r="G248" s="25">
        <f>IFERROR(VLOOKUP(C248,'BuscarV Stock'!$A$2:$C$478,3,0),"AAA")</f>
        <v>0</v>
      </c>
      <c r="H248" s="25">
        <f t="shared" si="1"/>
        <v>0.21</v>
      </c>
      <c r="I248" s="30">
        <f>IF('Global Precios'!H249="","",'Global Precios'!H249)</f>
        <v>2093.38843</v>
      </c>
      <c r="J248" s="82">
        <f>IF('Global Precios'!K249="","",'Global Precios'!K249)</f>
        <v>1</v>
      </c>
      <c r="K248" s="30">
        <f>IF('Global Precios'!Z249="Desactivado",0,IF('Global Precios'!L249="","",'Global Precios'!L249))</f>
        <v>5000</v>
      </c>
      <c r="L248" s="18"/>
      <c r="M248" s="18"/>
      <c r="N248" s="18"/>
      <c r="O248" s="18"/>
      <c r="P248" s="18"/>
      <c r="Q248" s="18"/>
      <c r="R248" s="18" t="str">
        <f>IF('Global Precios'!F249="","",'Global Precios'!F249)</f>
        <v>Medicamentos</v>
      </c>
      <c r="S248" s="18"/>
      <c r="T248" s="18" t="str">
        <f>IF('Global Precios'!E249="","",'Global Precios'!E249)</f>
        <v>HOLLIDAY</v>
      </c>
      <c r="U248" s="18"/>
      <c r="V248" s="18">
        <f t="shared" si="2"/>
        <v>0</v>
      </c>
      <c r="W248" s="18"/>
      <c r="X248" s="18"/>
      <c r="Y248" s="18"/>
      <c r="Z248" s="18"/>
      <c r="AA248" s="18"/>
      <c r="AB248" s="18">
        <f t="shared" si="3"/>
        <v>1</v>
      </c>
      <c r="AC248" s="18">
        <f t="shared" si="4"/>
        <v>1</v>
      </c>
      <c r="AD248" s="18">
        <f t="shared" si="5"/>
        <v>1</v>
      </c>
      <c r="AE248" s="18">
        <f t="shared" si="6"/>
        <v>1</v>
      </c>
    </row>
    <row r="249">
      <c r="A249" s="9">
        <f>IF(E249="","", IF('Global Precios'!B250="",0,'Global Precios'!B250))</f>
        <v>0</v>
      </c>
      <c r="B249" s="14" t="str">
        <f>IF('Global Precios'!B250="","",'Global Precios'!B250)</f>
        <v/>
      </c>
      <c r="C249" s="18">
        <f>IF('Global Precios'!A250="","",'Global Precios'!A250)</f>
        <v>263</v>
      </c>
      <c r="D249" s="18"/>
      <c r="E249" s="25" t="str">
        <f>IF('Global Precios'!D250="","",'Global Precios'!D250)</f>
        <v>Huesos porta bolsa </v>
      </c>
      <c r="F249" s="18"/>
      <c r="G249" s="25">
        <f>IFERROR(VLOOKUP(C249,'BuscarV Stock'!$A$2:$C$478,3,0),"AAA")</f>
        <v>1</v>
      </c>
      <c r="H249" s="25">
        <f t="shared" si="1"/>
        <v>0.21</v>
      </c>
      <c r="I249" s="30">
        <f>IF('Global Precios'!H250="","",'Global Precios'!H250)</f>
        <v>195</v>
      </c>
      <c r="J249" s="82">
        <f>IF('Global Precios'!K250="","",'Global Precios'!K250)</f>
        <v>1</v>
      </c>
      <c r="K249" s="30">
        <f>IF('Global Precios'!Z250="Desactivado",0,IF('Global Precios'!L250="","",'Global Precios'!L250))</f>
        <v>2000</v>
      </c>
      <c r="L249" s="18"/>
      <c r="M249" s="18"/>
      <c r="N249" s="18"/>
      <c r="O249" s="18"/>
      <c r="P249" s="18"/>
      <c r="Q249" s="18"/>
      <c r="R249" s="18" t="str">
        <f>IF('Global Precios'!F250="","",'Global Precios'!F250)</f>
        <v>Pet-shop</v>
      </c>
      <c r="S249" s="18"/>
      <c r="T249" s="18" t="str">
        <f>IF('Global Precios'!E250="","",'Global Precios'!E250)</f>
        <v/>
      </c>
      <c r="U249" s="18"/>
      <c r="V249" s="18">
        <f t="shared" si="2"/>
        <v>0</v>
      </c>
      <c r="W249" s="18"/>
      <c r="X249" s="18"/>
      <c r="Y249" s="18"/>
      <c r="Z249" s="18"/>
      <c r="AA249" s="18"/>
      <c r="AB249" s="18">
        <f t="shared" si="3"/>
        <v>1</v>
      </c>
      <c r="AC249" s="18">
        <f t="shared" si="4"/>
        <v>1</v>
      </c>
      <c r="AD249" s="18">
        <f t="shared" si="5"/>
        <v>1</v>
      </c>
      <c r="AE249" s="18">
        <f t="shared" si="6"/>
        <v>1</v>
      </c>
    </row>
    <row r="250">
      <c r="A250" s="9">
        <f>IF(E250="","", IF('Global Precios'!B251="",0,'Global Precios'!B251))</f>
        <v>0</v>
      </c>
      <c r="B250" s="14" t="str">
        <f>IF('Global Precios'!B251="","",'Global Precios'!B251)</f>
        <v/>
      </c>
      <c r="C250" s="18">
        <f>IF('Global Precios'!A251="","",'Global Precios'!A251)</f>
        <v>264</v>
      </c>
      <c r="D250" s="18"/>
      <c r="E250" s="25" t="str">
        <f>IF('Global Precios'!D251="","",'Global Precios'!D251)</f>
        <v>Repuesto de bolsas para huesos</v>
      </c>
      <c r="F250" s="18"/>
      <c r="G250" s="25">
        <f>IFERROR(VLOOKUP(C250,'BuscarV Stock'!$A$2:$C$478,3,0),"AAA")</f>
        <v>9</v>
      </c>
      <c r="H250" s="25">
        <f t="shared" si="1"/>
        <v>0.21</v>
      </c>
      <c r="I250" s="30">
        <f>IF('Global Precios'!H251="","",'Global Precios'!H251)</f>
        <v>80</v>
      </c>
      <c r="J250" s="82">
        <f>IF('Global Precios'!K251="","",'Global Precios'!K251)</f>
        <v>1</v>
      </c>
      <c r="K250" s="30">
        <f>IF('Global Precios'!Z251="Desactivado",0,IF('Global Precios'!L251="","",'Global Precios'!L251))</f>
        <v>2000</v>
      </c>
      <c r="L250" s="18"/>
      <c r="M250" s="18"/>
      <c r="N250" s="18"/>
      <c r="O250" s="18"/>
      <c r="P250" s="18"/>
      <c r="Q250" s="18"/>
      <c r="R250" s="18" t="str">
        <f>IF('Global Precios'!F251="","",'Global Precios'!F251)</f>
        <v>Pet-shop</v>
      </c>
      <c r="S250" s="18"/>
      <c r="T250" s="18" t="str">
        <f>IF('Global Precios'!E251="","",'Global Precios'!E251)</f>
        <v/>
      </c>
      <c r="U250" s="18"/>
      <c r="V250" s="18">
        <f t="shared" si="2"/>
        <v>0</v>
      </c>
      <c r="W250" s="18"/>
      <c r="X250" s="18"/>
      <c r="Y250" s="18"/>
      <c r="Z250" s="18"/>
      <c r="AA250" s="18"/>
      <c r="AB250" s="18">
        <f t="shared" si="3"/>
        <v>1</v>
      </c>
      <c r="AC250" s="18">
        <f t="shared" si="4"/>
        <v>1</v>
      </c>
      <c r="AD250" s="18">
        <f t="shared" si="5"/>
        <v>1</v>
      </c>
      <c r="AE250" s="18">
        <f t="shared" si="6"/>
        <v>1</v>
      </c>
    </row>
    <row r="251">
      <c r="A251" s="9">
        <f>IF(E251="","", IF('Global Precios'!B252="",0,'Global Precios'!B252))</f>
        <v>0</v>
      </c>
      <c r="B251" s="14" t="str">
        <f>IF('Global Precios'!B252="","",'Global Precios'!B252)</f>
        <v/>
      </c>
      <c r="C251" s="18">
        <f>IF('Global Precios'!A252="","",'Global Precios'!A252)</f>
        <v>265</v>
      </c>
      <c r="D251" s="18"/>
      <c r="E251" s="25" t="str">
        <f>IF('Global Precios'!D252="","",'Global Precios'!D252)</f>
        <v>Bombacha p/celo n°2</v>
      </c>
      <c r="F251" s="18"/>
      <c r="G251" s="25">
        <f>IFERROR(VLOOKUP(C251,'BuscarV Stock'!$A$2:$C$478,3,0),"AAA")</f>
        <v>1</v>
      </c>
      <c r="H251" s="25">
        <f t="shared" si="1"/>
        <v>0.21</v>
      </c>
      <c r="I251" s="30">
        <f>IF('Global Precios'!H252="","",'Global Precios'!H252)</f>
        <v>482</v>
      </c>
      <c r="J251" s="82">
        <f>IF('Global Precios'!K252="","",'Global Precios'!K252)</f>
        <v>0.8</v>
      </c>
      <c r="K251" s="30">
        <f>IF('Global Precios'!Z252="Desactivado",0,IF('Global Precios'!L252="","",'Global Precios'!L252))</f>
        <v>0</v>
      </c>
      <c r="L251" s="18"/>
      <c r="M251" s="18"/>
      <c r="N251" s="18"/>
      <c r="O251" s="18"/>
      <c r="P251" s="18"/>
      <c r="Q251" s="18"/>
      <c r="R251" s="18" t="str">
        <f>IF('Global Precios'!F252="","",'Global Precios'!F252)</f>
        <v>Pet-shop</v>
      </c>
      <c r="S251" s="18"/>
      <c r="T251" s="18" t="str">
        <f>IF('Global Precios'!E252="","",'Global Precios'!E252)</f>
        <v/>
      </c>
      <c r="U251" s="18"/>
      <c r="V251" s="18">
        <f t="shared" si="2"/>
        <v>0</v>
      </c>
      <c r="W251" s="18"/>
      <c r="X251" s="18"/>
      <c r="Y251" s="18"/>
      <c r="Z251" s="18"/>
      <c r="AA251" s="18"/>
      <c r="AB251" s="18">
        <f t="shared" si="3"/>
        <v>1</v>
      </c>
      <c r="AC251" s="18">
        <f t="shared" si="4"/>
        <v>1</v>
      </c>
      <c r="AD251" s="18">
        <f t="shared" si="5"/>
        <v>1</v>
      </c>
      <c r="AE251" s="18">
        <f t="shared" si="6"/>
        <v>1</v>
      </c>
    </row>
    <row r="252">
      <c r="A252" s="9">
        <f>IF(E252="","", IF('Global Precios'!B253="",0,'Global Precios'!B253))</f>
        <v>0</v>
      </c>
      <c r="B252" s="14" t="str">
        <f>IF('Global Precios'!B253="","",'Global Precios'!B253)</f>
        <v/>
      </c>
      <c r="C252" s="18">
        <f>IF('Global Precios'!A253="","",'Global Precios'!A253)</f>
        <v>266</v>
      </c>
      <c r="D252" s="18"/>
      <c r="E252" s="25" t="str">
        <f>IF('Global Precios'!D253="","",'Global Precios'!D253)</f>
        <v>Bombacha p/celo n°3</v>
      </c>
      <c r="F252" s="18"/>
      <c r="G252" s="25">
        <f>IFERROR(VLOOKUP(C252,'BuscarV Stock'!$A$2:$C$478,3,0),"AAA")</f>
        <v>0</v>
      </c>
      <c r="H252" s="25">
        <f t="shared" si="1"/>
        <v>0.21</v>
      </c>
      <c r="I252" s="30">
        <f>IF('Global Precios'!H253="","",'Global Precios'!H253)</f>
        <v>524</v>
      </c>
      <c r="J252" s="82">
        <f>IF('Global Precios'!K253="","",'Global Precios'!K253)</f>
        <v>0.8</v>
      </c>
      <c r="K252" s="30">
        <f>IF('Global Precios'!Z253="Desactivado",0,IF('Global Precios'!L253="","",'Global Precios'!L253))</f>
        <v>0</v>
      </c>
      <c r="L252" s="18"/>
      <c r="M252" s="18"/>
      <c r="N252" s="18"/>
      <c r="O252" s="18"/>
      <c r="P252" s="18"/>
      <c r="Q252" s="18"/>
      <c r="R252" s="18" t="str">
        <f>IF('Global Precios'!F253="","",'Global Precios'!F253)</f>
        <v>Pet-shop</v>
      </c>
      <c r="S252" s="18"/>
      <c r="T252" s="18" t="str">
        <f>IF('Global Precios'!E253="","",'Global Precios'!E253)</f>
        <v/>
      </c>
      <c r="U252" s="18"/>
      <c r="V252" s="18">
        <f t="shared" si="2"/>
        <v>0</v>
      </c>
      <c r="W252" s="18"/>
      <c r="X252" s="18"/>
      <c r="Y252" s="18"/>
      <c r="Z252" s="18"/>
      <c r="AA252" s="18"/>
      <c r="AB252" s="18">
        <f t="shared" si="3"/>
        <v>1</v>
      </c>
      <c r="AC252" s="18">
        <f t="shared" si="4"/>
        <v>1</v>
      </c>
      <c r="AD252" s="18">
        <f t="shared" si="5"/>
        <v>1</v>
      </c>
      <c r="AE252" s="18">
        <f t="shared" si="6"/>
        <v>1</v>
      </c>
    </row>
    <row r="253">
      <c r="A253" s="9">
        <f>IF(E253="","", IF('Global Precios'!B254="",0,'Global Precios'!B254))</f>
        <v>0</v>
      </c>
      <c r="B253" s="14" t="str">
        <f>IF('Global Precios'!B254="","",'Global Precios'!B254)</f>
        <v/>
      </c>
      <c r="C253" s="18">
        <f>IF('Global Precios'!A254="","",'Global Precios'!A254)</f>
        <v>267</v>
      </c>
      <c r="D253" s="18"/>
      <c r="E253" s="25" t="str">
        <f>IF('Global Precios'!D254="","",'Global Precios'!D254)</f>
        <v>Bombacha p/celo n°4</v>
      </c>
      <c r="F253" s="18"/>
      <c r="G253" s="25">
        <f>IFERROR(VLOOKUP(C253,'BuscarV Stock'!$A$2:$C$478,3,0),"AAA")</f>
        <v>1</v>
      </c>
      <c r="H253" s="25">
        <f t="shared" si="1"/>
        <v>0.21</v>
      </c>
      <c r="I253" s="30">
        <f>IF('Global Precios'!H254="","",'Global Precios'!H254)</f>
        <v>578</v>
      </c>
      <c r="J253" s="82">
        <f>IF('Global Precios'!K254="","",'Global Precios'!K254)</f>
        <v>0.8</v>
      </c>
      <c r="K253" s="30">
        <f>IF('Global Precios'!Z254="Desactivado",0,IF('Global Precios'!L254="","",'Global Precios'!L254))</f>
        <v>0</v>
      </c>
      <c r="L253" s="18"/>
      <c r="M253" s="18"/>
      <c r="N253" s="18"/>
      <c r="O253" s="18"/>
      <c r="P253" s="18"/>
      <c r="Q253" s="18"/>
      <c r="R253" s="18" t="str">
        <f>IF('Global Precios'!F254="","",'Global Precios'!F254)</f>
        <v>Pet-shop</v>
      </c>
      <c r="S253" s="18"/>
      <c r="T253" s="18" t="str">
        <f>IF('Global Precios'!E254="","",'Global Precios'!E254)</f>
        <v/>
      </c>
      <c r="U253" s="18"/>
      <c r="V253" s="18">
        <f t="shared" si="2"/>
        <v>0</v>
      </c>
      <c r="W253" s="18"/>
      <c r="X253" s="18"/>
      <c r="Y253" s="18"/>
      <c r="Z253" s="18"/>
      <c r="AA253" s="18"/>
      <c r="AB253" s="18">
        <f t="shared" si="3"/>
        <v>1</v>
      </c>
      <c r="AC253" s="18">
        <f t="shared" si="4"/>
        <v>1</v>
      </c>
      <c r="AD253" s="18">
        <f t="shared" si="5"/>
        <v>1</v>
      </c>
      <c r="AE253" s="18">
        <f t="shared" si="6"/>
        <v>1</v>
      </c>
    </row>
    <row r="254">
      <c r="A254" s="9">
        <f>IF(E254="","", IF('Global Precios'!B255="",0,'Global Precios'!B255))</f>
        <v>0</v>
      </c>
      <c r="B254" s="14" t="str">
        <f>IF('Global Precios'!B255="","",'Global Precios'!B255)</f>
        <v/>
      </c>
      <c r="C254" s="18">
        <f>IF('Global Precios'!A255="","",'Global Precios'!A255)</f>
        <v>268</v>
      </c>
      <c r="D254" s="18"/>
      <c r="E254" s="25" t="str">
        <f>IF('Global Precios'!D255="","",'Global Precios'!D255)</f>
        <v>Bombacha p/celo n°5</v>
      </c>
      <c r="F254" s="18"/>
      <c r="G254" s="25">
        <f>IFERROR(VLOOKUP(C254,'BuscarV Stock'!$A$2:$C$478,3,0),"AAA")</f>
        <v>1</v>
      </c>
      <c r="H254" s="25">
        <f t="shared" si="1"/>
        <v>0.21</v>
      </c>
      <c r="I254" s="30">
        <f>IF('Global Precios'!H255="","",'Global Precios'!H255)</f>
        <v>599</v>
      </c>
      <c r="J254" s="82">
        <f>IF('Global Precios'!K255="","",'Global Precios'!K255)</f>
        <v>0.8</v>
      </c>
      <c r="K254" s="30">
        <f>IF('Global Precios'!Z255="Desactivado",0,IF('Global Precios'!L255="","",'Global Precios'!L255))</f>
        <v>0</v>
      </c>
      <c r="L254" s="18"/>
      <c r="M254" s="18"/>
      <c r="N254" s="18"/>
      <c r="O254" s="18"/>
      <c r="P254" s="18"/>
      <c r="Q254" s="18"/>
      <c r="R254" s="18" t="str">
        <f>IF('Global Precios'!F255="","",'Global Precios'!F255)</f>
        <v>Pet-shop</v>
      </c>
      <c r="S254" s="18"/>
      <c r="T254" s="18" t="str">
        <f>IF('Global Precios'!E255="","",'Global Precios'!E255)</f>
        <v/>
      </c>
      <c r="U254" s="18"/>
      <c r="V254" s="18">
        <f t="shared" si="2"/>
        <v>0</v>
      </c>
      <c r="W254" s="18"/>
      <c r="X254" s="18"/>
      <c r="Y254" s="18"/>
      <c r="Z254" s="18"/>
      <c r="AA254" s="18"/>
      <c r="AB254" s="18">
        <f t="shared" si="3"/>
        <v>1</v>
      </c>
      <c r="AC254" s="18">
        <f t="shared" si="4"/>
        <v>1</v>
      </c>
      <c r="AD254" s="18">
        <f t="shared" si="5"/>
        <v>1</v>
      </c>
      <c r="AE254" s="18">
        <f t="shared" si="6"/>
        <v>1</v>
      </c>
    </row>
    <row r="255">
      <c r="A255" s="9">
        <f>IF(E255="","", IF('Global Precios'!B256="",0,'Global Precios'!B256))</f>
        <v>0</v>
      </c>
      <c r="B255" s="14" t="str">
        <f>IF('Global Precios'!B256="","",'Global Precios'!B256)</f>
        <v/>
      </c>
      <c r="C255" s="18">
        <f>IF('Global Precios'!A256="","",'Global Precios'!A256)</f>
        <v>269</v>
      </c>
      <c r="D255" s="18"/>
      <c r="E255" s="25" t="str">
        <f>IF('Global Precios'!D256="","",'Global Precios'!D256)</f>
        <v>TOLTRAZOL X 1 COMP.</v>
      </c>
      <c r="F255" s="18"/>
      <c r="G255" s="25">
        <f>IFERROR(VLOOKUP(C255,'BuscarV Stock'!$A$2:$C$478,3,0),"AAA")</f>
        <v>0</v>
      </c>
      <c r="H255" s="25">
        <f t="shared" si="1"/>
        <v>0.21</v>
      </c>
      <c r="I255" s="30">
        <f>IF('Global Precios'!H256="","",'Global Precios'!H256)</f>
        <v>1818.181818</v>
      </c>
      <c r="J255" s="82">
        <f>IF('Global Precios'!K256="","",'Global Precios'!K256)</f>
        <v>1</v>
      </c>
      <c r="K255" s="30">
        <f>IF('Global Precios'!Z256="Desactivado",0,IF('Global Precios'!L256="","",'Global Precios'!L256))</f>
        <v>4500</v>
      </c>
      <c r="L255" s="18"/>
      <c r="M255" s="18"/>
      <c r="N255" s="18"/>
      <c r="O255" s="18"/>
      <c r="P255" s="18"/>
      <c r="Q255" s="18"/>
      <c r="R255" s="18" t="str">
        <f>IF('Global Precios'!F256="","",'Global Precios'!F256)</f>
        <v>Medicamentos</v>
      </c>
      <c r="S255" s="18"/>
      <c r="T255" s="18" t="str">
        <f>IF('Global Precios'!E256="","",'Global Precios'!E256)</f>
        <v/>
      </c>
      <c r="U255" s="18"/>
      <c r="V255" s="18">
        <f t="shared" si="2"/>
        <v>0</v>
      </c>
      <c r="W255" s="18"/>
      <c r="X255" s="18"/>
      <c r="Y255" s="18"/>
      <c r="Z255" s="18"/>
      <c r="AA255" s="18"/>
      <c r="AB255" s="18">
        <f t="shared" si="3"/>
        <v>1</v>
      </c>
      <c r="AC255" s="18">
        <f t="shared" si="4"/>
        <v>1</v>
      </c>
      <c r="AD255" s="18">
        <f t="shared" si="5"/>
        <v>1</v>
      </c>
      <c r="AE255" s="18">
        <f t="shared" si="6"/>
        <v>1</v>
      </c>
    </row>
    <row r="256">
      <c r="A256" s="9">
        <f>IF(E256="","", IF('Global Precios'!B257="",0,'Global Precios'!B257))</f>
        <v>0</v>
      </c>
      <c r="B256" s="14" t="str">
        <f>IF('Global Precios'!B257="","",'Global Precios'!B257)</f>
        <v/>
      </c>
      <c r="C256" s="18">
        <f>IF('Global Precios'!A257="","",'Global Precios'!A257)</f>
        <v>270</v>
      </c>
      <c r="D256" s="18"/>
      <c r="E256" s="25" t="str">
        <f>IF('Global Precios'!D257="","",'Global Precios'!D257)</f>
        <v>DOXICICLINA KUALCOS 50 MG X BLISTER 10 COMP</v>
      </c>
      <c r="F256" s="18"/>
      <c r="G256" s="25">
        <f>IFERROR(VLOOKUP(C256,'BuscarV Stock'!$A$2:$C$478,3,0),"AAA")</f>
        <v>11</v>
      </c>
      <c r="H256" s="25">
        <f t="shared" si="1"/>
        <v>0.21</v>
      </c>
      <c r="I256" s="30">
        <f>IF('Global Precios'!H257="","",'Global Precios'!H257)</f>
        <v>1304.132231</v>
      </c>
      <c r="J256" s="82">
        <f>IF('Global Precios'!K257="","",'Global Precios'!K257)</f>
        <v>1</v>
      </c>
      <c r="K256" s="30">
        <f>IF('Global Precios'!Z257="Desactivado",0,IF('Global Precios'!L257="","",'Global Precios'!L257))</f>
        <v>3000</v>
      </c>
      <c r="L256" s="18"/>
      <c r="M256" s="18"/>
      <c r="N256" s="18"/>
      <c r="O256" s="18"/>
      <c r="P256" s="18"/>
      <c r="Q256" s="18"/>
      <c r="R256" s="18" t="str">
        <f>IF('Global Precios'!F257="","",'Global Precios'!F257)</f>
        <v>Medicamentos</v>
      </c>
      <c r="S256" s="18"/>
      <c r="T256" s="18" t="str">
        <f>IF('Global Precios'!E257="","",'Global Precios'!E257)</f>
        <v/>
      </c>
      <c r="U256" s="18"/>
      <c r="V256" s="18">
        <f t="shared" si="2"/>
        <v>0</v>
      </c>
      <c r="W256" s="18"/>
      <c r="X256" s="18"/>
      <c r="Y256" s="18"/>
      <c r="Z256" s="18"/>
      <c r="AA256" s="18"/>
      <c r="AB256" s="18">
        <f t="shared" si="3"/>
        <v>1</v>
      </c>
      <c r="AC256" s="18">
        <f t="shared" si="4"/>
        <v>1</v>
      </c>
      <c r="AD256" s="18">
        <f t="shared" si="5"/>
        <v>1</v>
      </c>
      <c r="AE256" s="18">
        <f t="shared" si="6"/>
        <v>1</v>
      </c>
    </row>
    <row r="257">
      <c r="A257" s="9">
        <f>IF(E257="","", IF('Global Precios'!B258="",0,'Global Precios'!B258))</f>
        <v>0</v>
      </c>
      <c r="B257" s="14" t="str">
        <f>IF('Global Precios'!B258="","",'Global Precios'!B258)</f>
        <v/>
      </c>
      <c r="C257" s="18">
        <f>IF('Global Precios'!A258="","",'Global Precios'!A258)</f>
        <v>271</v>
      </c>
      <c r="D257" s="18"/>
      <c r="E257" s="25" t="str">
        <f>IF('Global Precios'!D258="","",'Global Precios'!D258)</f>
        <v>KUALCOVIT B JARABE X 100 ML</v>
      </c>
      <c r="F257" s="18"/>
      <c r="G257" s="25">
        <f>IFERROR(VLOOKUP(C257,'BuscarV Stock'!$A$2:$C$478,3,0),"AAA")</f>
        <v>0</v>
      </c>
      <c r="H257" s="25">
        <f t="shared" si="1"/>
        <v>0.21</v>
      </c>
      <c r="I257" s="30">
        <f>IF('Global Precios'!H258="","",'Global Precios'!H258)</f>
        <v>3414.876033</v>
      </c>
      <c r="J257" s="82">
        <f>IF('Global Precios'!K258="","",'Global Precios'!K258)</f>
        <v>0.8</v>
      </c>
      <c r="K257" s="30">
        <f>IF('Global Precios'!Z258="Desactivado",0,IF('Global Precios'!L258="","",'Global Precios'!L258))</f>
        <v>0</v>
      </c>
      <c r="L257" s="18"/>
      <c r="M257" s="18"/>
      <c r="N257" s="18"/>
      <c r="O257" s="18"/>
      <c r="P257" s="18"/>
      <c r="Q257" s="18"/>
      <c r="R257" s="18" t="str">
        <f>IF('Global Precios'!F258="","",'Global Precios'!F258)</f>
        <v>Medicamentos</v>
      </c>
      <c r="S257" s="18"/>
      <c r="T257" s="18" t="str">
        <f>IF('Global Precios'!E258="","",'Global Precios'!E258)</f>
        <v/>
      </c>
      <c r="U257" s="18"/>
      <c r="V257" s="18">
        <f t="shared" si="2"/>
        <v>0</v>
      </c>
      <c r="W257" s="18"/>
      <c r="X257" s="18"/>
      <c r="Y257" s="18"/>
      <c r="Z257" s="18"/>
      <c r="AA257" s="18"/>
      <c r="AB257" s="18">
        <f t="shared" si="3"/>
        <v>1</v>
      </c>
      <c r="AC257" s="18">
        <f t="shared" si="4"/>
        <v>1</v>
      </c>
      <c r="AD257" s="18">
        <f t="shared" si="5"/>
        <v>1</v>
      </c>
      <c r="AE257" s="18">
        <f t="shared" si="6"/>
        <v>1</v>
      </c>
    </row>
    <row r="258">
      <c r="A258" s="9">
        <f>IF(E258="","", IF('Global Precios'!B259="",0,'Global Precios'!B259))</f>
        <v>0</v>
      </c>
      <c r="B258" s="14" t="str">
        <f>IF('Global Precios'!B259="","",'Global Precios'!B259)</f>
        <v/>
      </c>
      <c r="C258" s="18">
        <f>IF('Global Precios'!A259="","",'Global Precios'!A259)</f>
        <v>272</v>
      </c>
      <c r="D258" s="18"/>
      <c r="E258" s="25" t="str">
        <f>IF('Global Precios'!D259="","",'Global Precios'!D259)</f>
        <v>PERROLAC x 500 Gr. Leche en polvo</v>
      </c>
      <c r="F258" s="18"/>
      <c r="G258" s="25">
        <f>IFERROR(VLOOKUP(C258,'BuscarV Stock'!$A$2:$C$478,3,0),"AAA")</f>
        <v>3</v>
      </c>
      <c r="H258" s="25">
        <f t="shared" si="1"/>
        <v>0.21</v>
      </c>
      <c r="I258" s="30">
        <f>IF('Global Precios'!H259="","",'Global Precios'!H259)</f>
        <v>6280.991736</v>
      </c>
      <c r="J258" s="82">
        <f>IF('Global Precios'!K259="","",'Global Precios'!K259)</f>
        <v>0.75</v>
      </c>
      <c r="K258" s="30">
        <f>IF('Global Precios'!Z259="Desactivado",0,IF('Global Precios'!L259="","",'Global Precios'!L259))</f>
        <v>13000</v>
      </c>
      <c r="L258" s="18"/>
      <c r="M258" s="18"/>
      <c r="N258" s="18"/>
      <c r="O258" s="18"/>
      <c r="P258" s="18"/>
      <c r="Q258" s="18"/>
      <c r="R258" s="18" t="str">
        <f>IF('Global Precios'!F259="","",'Global Precios'!F259)</f>
        <v>Alimentos</v>
      </c>
      <c r="S258" s="18"/>
      <c r="T258" s="18" t="str">
        <f>IF('Global Precios'!E259="","",'Global Precios'!E259)</f>
        <v/>
      </c>
      <c r="U258" s="18"/>
      <c r="V258" s="18">
        <f t="shared" si="2"/>
        <v>0</v>
      </c>
      <c r="W258" s="18"/>
      <c r="X258" s="18"/>
      <c r="Y258" s="18"/>
      <c r="Z258" s="18"/>
      <c r="AA258" s="18"/>
      <c r="AB258" s="18">
        <f t="shared" si="3"/>
        <v>1</v>
      </c>
      <c r="AC258" s="18">
        <f t="shared" si="4"/>
        <v>1</v>
      </c>
      <c r="AD258" s="18">
        <f t="shared" si="5"/>
        <v>1</v>
      </c>
      <c r="AE258" s="18">
        <f t="shared" si="6"/>
        <v>1</v>
      </c>
    </row>
    <row r="259">
      <c r="A259" s="9">
        <f>IF(E259="","", IF('Global Precios'!B260="",0,'Global Precios'!B260))</f>
        <v>0</v>
      </c>
      <c r="B259" s="14" t="str">
        <f>IF('Global Precios'!B260="","",'Global Precios'!B260)</f>
        <v/>
      </c>
      <c r="C259" s="18">
        <f>IF('Global Precios'!A260="","",'Global Precios'!A260)</f>
        <v>283</v>
      </c>
      <c r="D259" s="18"/>
      <c r="E259" s="25" t="str">
        <f>IF('Global Precios'!D260="","",'Global Precios'!D260)</f>
        <v>GATOLAC x 350 Gr Leche en Polvo</v>
      </c>
      <c r="F259" s="18"/>
      <c r="G259" s="25">
        <f>IFERROR(VLOOKUP(C259,'BuscarV Stock'!$A$2:$C$478,3,0),"AAA")</f>
        <v>1</v>
      </c>
      <c r="H259" s="25">
        <f t="shared" si="1"/>
        <v>0.21</v>
      </c>
      <c r="I259" s="30">
        <f>IF('Global Precios'!H260="","",'Global Precios'!H260)</f>
        <v>4958.677686</v>
      </c>
      <c r="J259" s="82">
        <f>IF('Global Precios'!K260="","",'Global Precios'!K260)</f>
        <v>0.75</v>
      </c>
      <c r="K259" s="30">
        <f>IF('Global Precios'!Z260="Desactivado",0,IF('Global Precios'!L260="","",'Global Precios'!L260))</f>
        <v>11000</v>
      </c>
      <c r="L259" s="18"/>
      <c r="M259" s="18"/>
      <c r="N259" s="18"/>
      <c r="O259" s="18"/>
      <c r="P259" s="18"/>
      <c r="Q259" s="18"/>
      <c r="R259" s="18" t="str">
        <f>IF('Global Precios'!F260="","",'Global Precios'!F260)</f>
        <v>Alimentos</v>
      </c>
      <c r="S259" s="18"/>
      <c r="T259" s="18" t="str">
        <f>IF('Global Precios'!E260="","",'Global Precios'!E260)</f>
        <v/>
      </c>
      <c r="U259" s="18"/>
      <c r="V259" s="18">
        <f t="shared" si="2"/>
        <v>0</v>
      </c>
      <c r="W259" s="18"/>
      <c r="X259" s="18"/>
      <c r="Y259" s="18"/>
      <c r="Z259" s="18"/>
      <c r="AA259" s="18"/>
      <c r="AB259" s="18">
        <f t="shared" si="3"/>
        <v>1</v>
      </c>
      <c r="AC259" s="18">
        <f t="shared" si="4"/>
        <v>1</v>
      </c>
      <c r="AD259" s="18">
        <f t="shared" si="5"/>
        <v>1</v>
      </c>
      <c r="AE259" s="18">
        <f t="shared" si="6"/>
        <v>1</v>
      </c>
    </row>
    <row r="260">
      <c r="A260" s="9">
        <f>IF(E260="","", IF('Global Precios'!B261="",0,'Global Precios'!B261))</f>
        <v>0</v>
      </c>
      <c r="B260" s="14" t="str">
        <f>IF('Global Precios'!B261="","",'Global Precios'!B261)</f>
        <v/>
      </c>
      <c r="C260" s="18">
        <f>IF('Global Precios'!A261="","",'Global Precios'!A261)</f>
        <v>284</v>
      </c>
      <c r="D260" s="18"/>
      <c r="E260" s="25" t="str">
        <f>IF('Global Precios'!D261="","",'Global Precios'!D261)</f>
        <v>T4 "F" x 10 Comprimidos</v>
      </c>
      <c r="F260" s="18"/>
      <c r="G260" s="25">
        <f>IFERROR(VLOOKUP(C260,'BuscarV Stock'!$A$2:$C$478,3,0),"AAA")</f>
        <v>13</v>
      </c>
      <c r="H260" s="25">
        <f t="shared" si="1"/>
        <v>0.21</v>
      </c>
      <c r="I260" s="30">
        <f>IF('Global Precios'!H261="","",'Global Precios'!H261)</f>
        <v>2644.628099</v>
      </c>
      <c r="J260" s="82">
        <f>IF('Global Precios'!K261="","",'Global Precios'!K261)</f>
        <v>0.7</v>
      </c>
      <c r="K260" s="30">
        <f>IF('Global Precios'!Z261="Desactivado",0,IF('Global Precios'!L261="","",'Global Precios'!L261))</f>
        <v>5500</v>
      </c>
      <c r="L260" s="18"/>
      <c r="M260" s="18"/>
      <c r="N260" s="18"/>
      <c r="O260" s="18"/>
      <c r="P260" s="18"/>
      <c r="Q260" s="18"/>
      <c r="R260" s="18" t="str">
        <f>IF('Global Precios'!F261="","",'Global Precios'!F261)</f>
        <v>Medicamentos</v>
      </c>
      <c r="S260" s="18"/>
      <c r="T260" s="18" t="str">
        <f>IF('Global Precios'!E261="","",'Global Precios'!E261)</f>
        <v/>
      </c>
      <c r="U260" s="18"/>
      <c r="V260" s="18">
        <f t="shared" si="2"/>
        <v>0</v>
      </c>
      <c r="W260" s="18"/>
      <c r="X260" s="18"/>
      <c r="Y260" s="18"/>
      <c r="Z260" s="18"/>
      <c r="AA260" s="18"/>
      <c r="AB260" s="18">
        <f t="shared" si="3"/>
        <v>1</v>
      </c>
      <c r="AC260" s="18">
        <f t="shared" si="4"/>
        <v>1</v>
      </c>
      <c r="AD260" s="18">
        <f t="shared" si="5"/>
        <v>1</v>
      </c>
      <c r="AE260" s="18">
        <f t="shared" si="6"/>
        <v>1</v>
      </c>
    </row>
    <row r="261">
      <c r="A261" s="9">
        <f>IF(E261="","", IF('Global Precios'!B262="",0,'Global Precios'!B262))</f>
        <v>0</v>
      </c>
      <c r="B261" s="14" t="str">
        <f>IF('Global Precios'!B262="","",'Global Precios'!B262)</f>
        <v/>
      </c>
      <c r="C261" s="18">
        <f>IF('Global Precios'!A262="","",'Global Precios'!A262)</f>
        <v>285</v>
      </c>
      <c r="D261" s="18"/>
      <c r="E261" s="25" t="str">
        <f>IF('Global Precios'!D262="","",'Global Precios'!D262)</f>
        <v>LOCION NATURAL NEEM x 125 ml</v>
      </c>
      <c r="F261" s="18"/>
      <c r="G261" s="25">
        <f>IFERROR(VLOOKUP(C261,'BuscarV Stock'!$A$2:$C$478,3,0),"AAA")</f>
        <v>1</v>
      </c>
      <c r="H261" s="25">
        <f t="shared" si="1"/>
        <v>0.21</v>
      </c>
      <c r="I261" s="30">
        <f>IF('Global Precios'!H262="","",'Global Precios'!H262)</f>
        <v>8324.793388</v>
      </c>
      <c r="J261" s="82">
        <f>IF('Global Precios'!K262="","",'Global Precios'!K262)</f>
        <v>0.8</v>
      </c>
      <c r="K261" s="30">
        <f>IF('Global Precios'!Z262="Desactivado",0,IF('Global Precios'!L262="","",'Global Precios'!L262))</f>
        <v>18000</v>
      </c>
      <c r="L261" s="18"/>
      <c r="M261" s="18"/>
      <c r="N261" s="18"/>
      <c r="O261" s="18"/>
      <c r="P261" s="18"/>
      <c r="Q261" s="18"/>
      <c r="R261" s="18" t="str">
        <f>IF('Global Precios'!F262="","",'Global Precios'!F262)</f>
        <v>Medicamentos</v>
      </c>
      <c r="S261" s="18"/>
      <c r="T261" s="18" t="str">
        <f>IF('Global Precios'!E262="","",'Global Precios'!E262)</f>
        <v/>
      </c>
      <c r="U261" s="18"/>
      <c r="V261" s="18">
        <f t="shared" si="2"/>
        <v>0</v>
      </c>
      <c r="W261" s="18"/>
      <c r="X261" s="18"/>
      <c r="Y261" s="18"/>
      <c r="Z261" s="18"/>
      <c r="AA261" s="18"/>
      <c r="AB261" s="18">
        <f t="shared" si="3"/>
        <v>1</v>
      </c>
      <c r="AC261" s="18">
        <f t="shared" si="4"/>
        <v>1</v>
      </c>
      <c r="AD261" s="18">
        <f t="shared" si="5"/>
        <v>1</v>
      </c>
      <c r="AE261" s="18">
        <f t="shared" si="6"/>
        <v>1</v>
      </c>
    </row>
    <row r="262">
      <c r="A262" s="9">
        <f>IF(E262="","", IF('Global Precios'!B263="",0,'Global Precios'!B263))</f>
        <v>0</v>
      </c>
      <c r="B262" s="14" t="str">
        <f>IF('Global Precios'!B263="","",'Global Precios'!B263)</f>
        <v/>
      </c>
      <c r="C262" s="18">
        <f>IF('Global Precios'!A263="","",'Global Precios'!A263)</f>
        <v>286</v>
      </c>
      <c r="D262" s="18"/>
      <c r="E262" s="25" t="str">
        <f>IF('Global Precios'!D263="","",'Global Precios'!D263)</f>
        <v>ARTROSAN CANINO X 1 ML. (1 APLICACIÓN)</v>
      </c>
      <c r="F262" s="18"/>
      <c r="G262" s="25">
        <f>IFERROR(VLOOKUP(C262,'BuscarV Stock'!$A$2:$C$478,3,0),"AAA")</f>
        <v>0</v>
      </c>
      <c r="H262" s="25">
        <f t="shared" si="1"/>
        <v>0.21</v>
      </c>
      <c r="I262" s="30">
        <f>IF('Global Precios'!H263="","",'Global Precios'!H263)</f>
        <v>4793.38843</v>
      </c>
      <c r="J262" s="82">
        <f>IF('Global Precios'!K263="","",'Global Precios'!K263)</f>
        <v>1</v>
      </c>
      <c r="K262" s="30">
        <f>IF('Global Precios'!Z263="Desactivado",0,IF('Global Precios'!L263="","",'Global Precios'!L263))</f>
        <v>12000</v>
      </c>
      <c r="L262" s="18"/>
      <c r="M262" s="18"/>
      <c r="N262" s="18"/>
      <c r="O262" s="18"/>
      <c r="P262" s="18"/>
      <c r="Q262" s="18"/>
      <c r="R262" s="18" t="str">
        <f>IF('Global Precios'!F263="","",'Global Precios'!F263)</f>
        <v>Medicamentos</v>
      </c>
      <c r="S262" s="18"/>
      <c r="T262" s="18" t="str">
        <f>IF('Global Precios'!E263="","",'Global Precios'!E263)</f>
        <v/>
      </c>
      <c r="U262" s="18"/>
      <c r="V262" s="18">
        <f t="shared" si="2"/>
        <v>0</v>
      </c>
      <c r="W262" s="18"/>
      <c r="X262" s="18"/>
      <c r="Y262" s="18"/>
      <c r="Z262" s="18"/>
      <c r="AA262" s="18"/>
      <c r="AB262" s="18">
        <f t="shared" si="3"/>
        <v>1</v>
      </c>
      <c r="AC262" s="18">
        <f t="shared" si="4"/>
        <v>1</v>
      </c>
      <c r="AD262" s="18">
        <f t="shared" si="5"/>
        <v>1</v>
      </c>
      <c r="AE262" s="18">
        <f t="shared" si="6"/>
        <v>1</v>
      </c>
    </row>
    <row r="263">
      <c r="A263" s="9">
        <f>IF(E263="","", IF('Global Precios'!B264="",0,'Global Precios'!B264))</f>
        <v>0</v>
      </c>
      <c r="B263" s="14" t="str">
        <f>IF('Global Precios'!B264="","",'Global Precios'!B264)</f>
        <v/>
      </c>
      <c r="C263" s="18">
        <f>IF('Global Precios'!A264="","",'Global Precios'!A264)</f>
        <v>287</v>
      </c>
      <c r="D263" s="18"/>
      <c r="E263" s="25" t="str">
        <f>IF('Global Precios'!D264="","",'Global Precios'!D264)</f>
        <v>ARTROSAN CANINO X 10 ML.</v>
      </c>
      <c r="F263" s="18"/>
      <c r="G263" s="25">
        <f>IFERROR(VLOOKUP(C263,'BuscarV Stock'!$A$2:$C$478,3,0),"AAA")</f>
        <v>0</v>
      </c>
      <c r="H263" s="25">
        <f t="shared" si="1"/>
        <v>0.21</v>
      </c>
      <c r="I263" s="30">
        <f>IF('Global Precios'!H264="","",'Global Precios'!H264)</f>
        <v>41511.57025</v>
      </c>
      <c r="J263" s="82">
        <f>IF('Global Precios'!K264="","",'Global Precios'!K264)</f>
        <v>0.7</v>
      </c>
      <c r="K263" s="30">
        <f>IF('Global Precios'!Z264="Desactivado",0,IF('Global Precios'!L264="","",'Global Precios'!L264))</f>
        <v>85000</v>
      </c>
      <c r="L263" s="18"/>
      <c r="M263" s="18"/>
      <c r="N263" s="18"/>
      <c r="O263" s="18"/>
      <c r="P263" s="18"/>
      <c r="Q263" s="18"/>
      <c r="R263" s="18" t="str">
        <f>IF('Global Precios'!F264="","",'Global Precios'!F264)</f>
        <v>Medicamentos</v>
      </c>
      <c r="S263" s="18"/>
      <c r="T263" s="18" t="str">
        <f>IF('Global Precios'!E264="","",'Global Precios'!E264)</f>
        <v/>
      </c>
      <c r="U263" s="18"/>
      <c r="V263" s="18">
        <f t="shared" si="2"/>
        <v>0</v>
      </c>
      <c r="W263" s="18"/>
      <c r="X263" s="18"/>
      <c r="Y263" s="18"/>
      <c r="Z263" s="18"/>
      <c r="AA263" s="18"/>
      <c r="AB263" s="18">
        <f t="shared" si="3"/>
        <v>1</v>
      </c>
      <c r="AC263" s="18">
        <f t="shared" si="4"/>
        <v>1</v>
      </c>
      <c r="AD263" s="18">
        <f t="shared" si="5"/>
        <v>1</v>
      </c>
      <c r="AE263" s="18">
        <f t="shared" si="6"/>
        <v>1</v>
      </c>
    </row>
    <row r="264">
      <c r="A264" s="9">
        <f>IF(E264="","", IF('Global Precios'!B265="",0,'Global Precios'!B265))</f>
        <v>0</v>
      </c>
      <c r="B264" s="14" t="str">
        <f>IF('Global Precios'!B265="","",'Global Precios'!B265)</f>
        <v/>
      </c>
      <c r="C264" s="18">
        <f>IF('Global Precios'!A265="","",'Global Precios'!A265)</f>
        <v>288</v>
      </c>
      <c r="D264" s="18"/>
      <c r="E264" s="25" t="str">
        <f>IF('Global Precios'!D265="","",'Global Precios'!D265)</f>
        <v>CONTAL 60 X 10 Comprimidos</v>
      </c>
      <c r="F264" s="18"/>
      <c r="G264" s="25">
        <f>IFERROR(VLOOKUP(C264,'BuscarV Stock'!$A$2:$C$478,3,0),"AAA")</f>
        <v>4</v>
      </c>
      <c r="H264" s="25">
        <f t="shared" si="1"/>
        <v>0.21</v>
      </c>
      <c r="I264" s="30">
        <f>IF('Global Precios'!H265="","",'Global Precios'!H265)</f>
        <v>1928.099174</v>
      </c>
      <c r="J264" s="82">
        <f>IF('Global Precios'!K265="","",'Global Precios'!K265)</f>
        <v>0.8</v>
      </c>
      <c r="K264" s="30">
        <f>IF('Global Precios'!Z265="Desactivado",0,IF('Global Precios'!L265="","",'Global Precios'!L265))</f>
        <v>4000</v>
      </c>
      <c r="L264" s="18"/>
      <c r="M264" s="18"/>
      <c r="N264" s="18"/>
      <c r="O264" s="18"/>
      <c r="P264" s="18"/>
      <c r="Q264" s="18"/>
      <c r="R264" s="18" t="str">
        <f>IF('Global Precios'!F265="","",'Global Precios'!F265)</f>
        <v>Medicamentos</v>
      </c>
      <c r="S264" s="18"/>
      <c r="T264" s="18" t="str">
        <f>IF('Global Precios'!E265="","",'Global Precios'!E265)</f>
        <v/>
      </c>
      <c r="U264" s="18"/>
      <c r="V264" s="18">
        <f t="shared" si="2"/>
        <v>0</v>
      </c>
      <c r="W264" s="18"/>
      <c r="X264" s="18"/>
      <c r="Y264" s="18"/>
      <c r="Z264" s="18"/>
      <c r="AA264" s="18"/>
      <c r="AB264" s="18">
        <f t="shared" si="3"/>
        <v>1</v>
      </c>
      <c r="AC264" s="18">
        <f t="shared" si="4"/>
        <v>1</v>
      </c>
      <c r="AD264" s="18">
        <f t="shared" si="5"/>
        <v>1</v>
      </c>
      <c r="AE264" s="18">
        <f t="shared" si="6"/>
        <v>1</v>
      </c>
    </row>
    <row r="265">
      <c r="A265" s="9">
        <f>IF(E265="","", IF('Global Precios'!B266="",0,'Global Precios'!B266))</f>
        <v>0</v>
      </c>
      <c r="B265" s="14" t="str">
        <f>IF('Global Precios'!B266="","",'Global Precios'!B266)</f>
        <v/>
      </c>
      <c r="C265" s="18">
        <f>IF('Global Precios'!A266="","",'Global Precios'!A266)</f>
        <v>289</v>
      </c>
      <c r="D265" s="18"/>
      <c r="E265" s="25" t="str">
        <f>IF('Global Precios'!D266="","",'Global Precios'!D266)</f>
        <v>SHAMPOO DOUBLE 2 EN 1 X 250 ML</v>
      </c>
      <c r="F265" s="18"/>
      <c r="G265" s="25">
        <f>IFERROR(VLOOKUP(C265,'BuscarV Stock'!$A$2:$C$478,3,0),"AAA")</f>
        <v>3</v>
      </c>
      <c r="H265" s="25">
        <f t="shared" si="1"/>
        <v>0.21</v>
      </c>
      <c r="I265" s="30">
        <f>IF('Global Precios'!H266="","",'Global Precios'!H266)</f>
        <v>4696.694215</v>
      </c>
      <c r="J265" s="82">
        <f>IF('Global Precios'!K266="","",'Global Precios'!K266)</f>
        <v>0.8</v>
      </c>
      <c r="K265" s="30">
        <f>IF('Global Precios'!Z266="Desactivado",0,IF('Global Precios'!L266="","",'Global Precios'!L266))</f>
        <v>10000</v>
      </c>
      <c r="L265" s="18"/>
      <c r="M265" s="18"/>
      <c r="N265" s="18"/>
      <c r="O265" s="18"/>
      <c r="P265" s="18"/>
      <c r="Q265" s="18"/>
      <c r="R265" s="18" t="str">
        <f>IF('Global Precios'!F266="","",'Global Precios'!F266)</f>
        <v>Medicamentos</v>
      </c>
      <c r="S265" s="18"/>
      <c r="T265" s="18" t="str">
        <f>IF('Global Precios'!E266="","",'Global Precios'!E266)</f>
        <v/>
      </c>
      <c r="U265" s="18"/>
      <c r="V265" s="18">
        <f t="shared" si="2"/>
        <v>0</v>
      </c>
      <c r="W265" s="18"/>
      <c r="X265" s="18"/>
      <c r="Y265" s="18"/>
      <c r="Z265" s="18"/>
      <c r="AA265" s="18"/>
      <c r="AB265" s="18">
        <f t="shared" si="3"/>
        <v>1</v>
      </c>
      <c r="AC265" s="18">
        <f t="shared" si="4"/>
        <v>1</v>
      </c>
      <c r="AD265" s="18">
        <f t="shared" si="5"/>
        <v>1</v>
      </c>
      <c r="AE265" s="18">
        <f t="shared" si="6"/>
        <v>1</v>
      </c>
    </row>
    <row r="266">
      <c r="A266" s="9">
        <f>IF(E266="","", IF('Global Precios'!B267="",0,'Global Precios'!B267))</f>
        <v>0</v>
      </c>
      <c r="B266" s="14" t="str">
        <f>IF('Global Precios'!B267="","",'Global Precios'!B267)</f>
        <v/>
      </c>
      <c r="C266" s="18">
        <f>IF('Global Precios'!A267="","",'Global Precios'!A267)</f>
        <v>290</v>
      </c>
      <c r="D266" s="18"/>
      <c r="E266" s="25" t="str">
        <f>IF('Global Precios'!D267="","",'Global Precios'!D267)</f>
        <v>COLLAR ISABELINO N° 0</v>
      </c>
      <c r="F266" s="18"/>
      <c r="G266" s="25">
        <f>IFERROR(VLOOKUP(C266,'BuscarV Stock'!$A$2:$C$478,3,0),"AAA")</f>
        <v>0</v>
      </c>
      <c r="H266" s="25">
        <f t="shared" si="1"/>
        <v>0.21</v>
      </c>
      <c r="I266" s="30">
        <f>IF('Global Precios'!H267="","",'Global Precios'!H267)</f>
        <v>193</v>
      </c>
      <c r="J266" s="82">
        <f>IF('Global Precios'!K267="","",'Global Precios'!K267)</f>
        <v>1</v>
      </c>
      <c r="K266" s="30">
        <f>IF('Global Precios'!Z267="Desactivado",0,IF('Global Precios'!L267="","",'Global Precios'!L267))</f>
        <v>3500</v>
      </c>
      <c r="L266" s="18"/>
      <c r="M266" s="18"/>
      <c r="N266" s="18"/>
      <c r="O266" s="18"/>
      <c r="P266" s="18"/>
      <c r="Q266" s="18"/>
      <c r="R266" s="18" t="str">
        <f>IF('Global Precios'!F267="","",'Global Precios'!F267)</f>
        <v>Pet-shop</v>
      </c>
      <c r="S266" s="18"/>
      <c r="T266" s="18" t="str">
        <f>IF('Global Precios'!E267="","",'Global Precios'!E267)</f>
        <v/>
      </c>
      <c r="U266" s="18"/>
      <c r="V266" s="18">
        <f t="shared" si="2"/>
        <v>0</v>
      </c>
      <c r="W266" s="18"/>
      <c r="X266" s="18"/>
      <c r="Y266" s="18"/>
      <c r="Z266" s="18"/>
      <c r="AA266" s="18"/>
      <c r="AB266" s="18">
        <f t="shared" si="3"/>
        <v>1</v>
      </c>
      <c r="AC266" s="18">
        <f t="shared" si="4"/>
        <v>1</v>
      </c>
      <c r="AD266" s="18">
        <f t="shared" si="5"/>
        <v>1</v>
      </c>
      <c r="AE266" s="18">
        <f t="shared" si="6"/>
        <v>1</v>
      </c>
    </row>
    <row r="267">
      <c r="A267" s="9">
        <f>IF(E267="","", IF('Global Precios'!B268="",0,'Global Precios'!B268))</f>
        <v>0</v>
      </c>
      <c r="B267" s="14" t="str">
        <f>IF('Global Precios'!B268="","",'Global Precios'!B268)</f>
        <v/>
      </c>
      <c r="C267" s="18">
        <f>IF('Global Precios'!A268="","",'Global Precios'!A268)</f>
        <v>291</v>
      </c>
      <c r="D267" s="18"/>
      <c r="E267" s="25" t="str">
        <f>IF('Global Precios'!D268="","",'Global Precios'!D268)</f>
        <v>COLLAR ISABELINO N° 1</v>
      </c>
      <c r="F267" s="18"/>
      <c r="G267" s="25">
        <f>IFERROR(VLOOKUP(C267,'BuscarV Stock'!$A$2:$C$478,3,0),"AAA")</f>
        <v>2</v>
      </c>
      <c r="H267" s="25">
        <f t="shared" si="1"/>
        <v>0.21</v>
      </c>
      <c r="I267" s="30">
        <f>IF('Global Precios'!H268="","",'Global Precios'!H268)</f>
        <v>235</v>
      </c>
      <c r="J267" s="82">
        <f>IF('Global Precios'!K268="","",'Global Precios'!K268)</f>
        <v>1</v>
      </c>
      <c r="K267" s="30">
        <f>IF('Global Precios'!Z268="Desactivado",0,IF('Global Precios'!L268="","",'Global Precios'!L268))</f>
        <v>4000</v>
      </c>
      <c r="L267" s="18"/>
      <c r="M267" s="18"/>
      <c r="N267" s="18"/>
      <c r="O267" s="18"/>
      <c r="P267" s="18"/>
      <c r="Q267" s="18"/>
      <c r="R267" s="18" t="str">
        <f>IF('Global Precios'!F268="","",'Global Precios'!F268)</f>
        <v>Pet-shop</v>
      </c>
      <c r="S267" s="18"/>
      <c r="T267" s="18" t="str">
        <f>IF('Global Precios'!E268="","",'Global Precios'!E268)</f>
        <v/>
      </c>
      <c r="U267" s="18"/>
      <c r="V267" s="18">
        <f t="shared" si="2"/>
        <v>0</v>
      </c>
      <c r="W267" s="18"/>
      <c r="X267" s="18"/>
      <c r="Y267" s="18"/>
      <c r="Z267" s="18"/>
      <c r="AA267" s="18"/>
      <c r="AB267" s="18">
        <f t="shared" si="3"/>
        <v>1</v>
      </c>
      <c r="AC267" s="18">
        <f t="shared" si="4"/>
        <v>1</v>
      </c>
      <c r="AD267" s="18">
        <f t="shared" si="5"/>
        <v>1</v>
      </c>
      <c r="AE267" s="18">
        <f t="shared" si="6"/>
        <v>1</v>
      </c>
    </row>
    <row r="268">
      <c r="A268" s="9">
        <f>IF(E268="","", IF('Global Precios'!B269="",0,'Global Precios'!B269))</f>
        <v>0</v>
      </c>
      <c r="B268" s="14" t="str">
        <f>IF('Global Precios'!B269="","",'Global Precios'!B269)</f>
        <v/>
      </c>
      <c r="C268" s="18">
        <f>IF('Global Precios'!A269="","",'Global Precios'!A269)</f>
        <v>292</v>
      </c>
      <c r="D268" s="18"/>
      <c r="E268" s="25" t="str">
        <f>IF('Global Precios'!D269="","",'Global Precios'!D269)</f>
        <v>COLLAR ISABELINO N° 2</v>
      </c>
      <c r="F268" s="18"/>
      <c r="G268" s="25">
        <f>IFERROR(VLOOKUP(C268,'BuscarV Stock'!$A$2:$C$478,3,0),"AAA")</f>
        <v>4</v>
      </c>
      <c r="H268" s="25">
        <f t="shared" si="1"/>
        <v>0.21</v>
      </c>
      <c r="I268" s="30">
        <f>IF('Global Precios'!H269="","",'Global Precios'!H269)</f>
        <v>246</v>
      </c>
      <c r="J268" s="82">
        <f>IF('Global Precios'!K269="","",'Global Precios'!K269)</f>
        <v>1</v>
      </c>
      <c r="K268" s="30">
        <f>IF('Global Precios'!Z269="Desactivado",0,IF('Global Precios'!L269="","",'Global Precios'!L269))</f>
        <v>5500</v>
      </c>
      <c r="L268" s="18"/>
      <c r="M268" s="18"/>
      <c r="N268" s="18"/>
      <c r="O268" s="18"/>
      <c r="P268" s="18"/>
      <c r="Q268" s="18"/>
      <c r="R268" s="18" t="str">
        <f>IF('Global Precios'!F269="","",'Global Precios'!F269)</f>
        <v>Pet-shop</v>
      </c>
      <c r="S268" s="18"/>
      <c r="T268" s="18" t="str">
        <f>IF('Global Precios'!E269="","",'Global Precios'!E269)</f>
        <v/>
      </c>
      <c r="U268" s="18"/>
      <c r="V268" s="18">
        <f t="shared" si="2"/>
        <v>0</v>
      </c>
      <c r="W268" s="18"/>
      <c r="X268" s="18"/>
      <c r="Y268" s="18"/>
      <c r="Z268" s="18"/>
      <c r="AA268" s="18"/>
      <c r="AB268" s="18">
        <f t="shared" si="3"/>
        <v>1</v>
      </c>
      <c r="AC268" s="18">
        <f t="shared" si="4"/>
        <v>1</v>
      </c>
      <c r="AD268" s="18">
        <f t="shared" si="5"/>
        <v>1</v>
      </c>
      <c r="AE268" s="18">
        <f t="shared" si="6"/>
        <v>1</v>
      </c>
    </row>
    <row r="269">
      <c r="A269" s="9">
        <f>IF(E269="","", IF('Global Precios'!B270="",0,'Global Precios'!B270))</f>
        <v>0</v>
      </c>
      <c r="B269" s="14" t="str">
        <f>IF('Global Precios'!B270="","",'Global Precios'!B270)</f>
        <v/>
      </c>
      <c r="C269" s="18">
        <f>IF('Global Precios'!A270="","",'Global Precios'!A270)</f>
        <v>293</v>
      </c>
      <c r="D269" s="18"/>
      <c r="E269" s="25" t="str">
        <f>IF('Global Precios'!D270="","",'Global Precios'!D270)</f>
        <v>COLLAR ISABELINO N° 3</v>
      </c>
      <c r="F269" s="18"/>
      <c r="G269" s="25">
        <f>IFERROR(VLOOKUP(C269,'BuscarV Stock'!$A$2:$C$478,3,0),"AAA")</f>
        <v>1</v>
      </c>
      <c r="H269" s="25">
        <f t="shared" si="1"/>
        <v>0.21</v>
      </c>
      <c r="I269" s="30">
        <f>IF('Global Precios'!H270="","",'Global Precios'!H270)</f>
        <v>321</v>
      </c>
      <c r="J269" s="82">
        <f>IF('Global Precios'!K270="","",'Global Precios'!K270)</f>
        <v>1</v>
      </c>
      <c r="K269" s="30">
        <f>IF('Global Precios'!Z270="Desactivado",0,IF('Global Precios'!L270="","",'Global Precios'!L270))</f>
        <v>7500</v>
      </c>
      <c r="L269" s="18"/>
      <c r="M269" s="18"/>
      <c r="N269" s="18"/>
      <c r="O269" s="18"/>
      <c r="P269" s="18"/>
      <c r="Q269" s="18"/>
      <c r="R269" s="18" t="str">
        <f>IF('Global Precios'!F270="","",'Global Precios'!F270)</f>
        <v>Pet-shop</v>
      </c>
      <c r="S269" s="18"/>
      <c r="T269" s="18" t="str">
        <f>IF('Global Precios'!E270="","",'Global Precios'!E270)</f>
        <v/>
      </c>
      <c r="U269" s="18"/>
      <c r="V269" s="18">
        <f t="shared" si="2"/>
        <v>0</v>
      </c>
      <c r="W269" s="18"/>
      <c r="X269" s="18"/>
      <c r="Y269" s="18"/>
      <c r="Z269" s="18"/>
      <c r="AA269" s="18"/>
      <c r="AB269" s="18">
        <f t="shared" si="3"/>
        <v>1</v>
      </c>
      <c r="AC269" s="18">
        <f t="shared" si="4"/>
        <v>1</v>
      </c>
      <c r="AD269" s="18">
        <f t="shared" si="5"/>
        <v>1</v>
      </c>
      <c r="AE269" s="18">
        <f t="shared" si="6"/>
        <v>1</v>
      </c>
    </row>
    <row r="270">
      <c r="A270" s="9">
        <f>IF(E270="","", IF('Global Precios'!B271="",0,'Global Precios'!B271))</f>
        <v>0</v>
      </c>
      <c r="B270" s="14" t="str">
        <f>IF('Global Precios'!B271="","",'Global Precios'!B271)</f>
        <v/>
      </c>
      <c r="C270" s="18">
        <f>IF('Global Precios'!A271="","",'Global Precios'!A271)</f>
        <v>294</v>
      </c>
      <c r="D270" s="18"/>
      <c r="E270" s="25" t="str">
        <f>IF('Global Precios'!D271="","",'Global Precios'!D271)</f>
        <v>COLLAR ISABELINO N° 4</v>
      </c>
      <c r="F270" s="18"/>
      <c r="G270" s="25">
        <f>IFERROR(VLOOKUP(C270,'BuscarV Stock'!$A$2:$C$478,3,0),"AAA")</f>
        <v>3</v>
      </c>
      <c r="H270" s="25">
        <f t="shared" si="1"/>
        <v>0.21</v>
      </c>
      <c r="I270" s="30">
        <f>IF('Global Precios'!H271="","",'Global Precios'!H271)</f>
        <v>449</v>
      </c>
      <c r="J270" s="82">
        <f>IF('Global Precios'!K271="","",'Global Precios'!K271)</f>
        <v>1</v>
      </c>
      <c r="K270" s="30">
        <f>IF('Global Precios'!Z271="Desactivado",0,IF('Global Precios'!L271="","",'Global Precios'!L271))</f>
        <v>9000</v>
      </c>
      <c r="L270" s="18"/>
      <c r="M270" s="18"/>
      <c r="N270" s="18"/>
      <c r="O270" s="18"/>
      <c r="P270" s="18"/>
      <c r="Q270" s="18"/>
      <c r="R270" s="18" t="str">
        <f>IF('Global Precios'!F271="","",'Global Precios'!F271)</f>
        <v>Pet-shop</v>
      </c>
      <c r="S270" s="18"/>
      <c r="T270" s="18" t="str">
        <f>IF('Global Precios'!E271="","",'Global Precios'!E271)</f>
        <v/>
      </c>
      <c r="U270" s="18"/>
      <c r="V270" s="18">
        <f t="shared" si="2"/>
        <v>0</v>
      </c>
      <c r="W270" s="18"/>
      <c r="X270" s="18"/>
      <c r="Y270" s="18"/>
      <c r="Z270" s="18"/>
      <c r="AA270" s="18"/>
      <c r="AB270" s="18">
        <f t="shared" si="3"/>
        <v>1</v>
      </c>
      <c r="AC270" s="18">
        <f t="shared" si="4"/>
        <v>1</v>
      </c>
      <c r="AD270" s="18">
        <f t="shared" si="5"/>
        <v>1</v>
      </c>
      <c r="AE270" s="18">
        <f t="shared" si="6"/>
        <v>1</v>
      </c>
    </row>
    <row r="271">
      <c r="A271" s="9">
        <f>IF(E271="","", IF('Global Precios'!B272="",0,'Global Precios'!B272))</f>
        <v>0</v>
      </c>
      <c r="B271" s="14" t="str">
        <f>IF('Global Precios'!B272="","",'Global Precios'!B272)</f>
        <v/>
      </c>
      <c r="C271" s="18">
        <f>IF('Global Precios'!A272="","",'Global Precios'!A272)</f>
        <v>295</v>
      </c>
      <c r="D271" s="18"/>
      <c r="E271" s="25" t="str">
        <f>IF('Global Precios'!D272="","",'Global Precios'!D272)</f>
        <v>COLLAR ISABELINO N° 5</v>
      </c>
      <c r="F271" s="18"/>
      <c r="G271" s="25">
        <f>IFERROR(VLOOKUP(C271,'BuscarV Stock'!$A$2:$C$478,3,0),"AAA")</f>
        <v>2</v>
      </c>
      <c r="H271" s="25">
        <f t="shared" si="1"/>
        <v>0.21</v>
      </c>
      <c r="I271" s="30">
        <f>IF('Global Precios'!H272="","",'Global Precios'!H272)</f>
        <v>621</v>
      </c>
      <c r="J271" s="82">
        <f>IF('Global Precios'!K272="","",'Global Precios'!K272)</f>
        <v>1</v>
      </c>
      <c r="K271" s="30">
        <f>IF('Global Precios'!Z272="Desactivado",0,IF('Global Precios'!L272="","",'Global Precios'!L272))</f>
        <v>12000</v>
      </c>
      <c r="L271" s="18"/>
      <c r="M271" s="18"/>
      <c r="N271" s="18"/>
      <c r="O271" s="18"/>
      <c r="P271" s="18"/>
      <c r="Q271" s="18"/>
      <c r="R271" s="18" t="str">
        <f>IF('Global Precios'!F272="","",'Global Precios'!F272)</f>
        <v>Pet-shop</v>
      </c>
      <c r="S271" s="18"/>
      <c r="T271" s="18" t="str">
        <f>IF('Global Precios'!E272="","",'Global Precios'!E272)</f>
        <v/>
      </c>
      <c r="U271" s="18"/>
      <c r="V271" s="18">
        <f t="shared" si="2"/>
        <v>0</v>
      </c>
      <c r="W271" s="18"/>
      <c r="X271" s="18"/>
      <c r="Y271" s="18"/>
      <c r="Z271" s="18"/>
      <c r="AA271" s="18"/>
      <c r="AB271" s="18">
        <f t="shared" si="3"/>
        <v>1</v>
      </c>
      <c r="AC271" s="18">
        <f t="shared" si="4"/>
        <v>1</v>
      </c>
      <c r="AD271" s="18">
        <f t="shared" si="5"/>
        <v>1</v>
      </c>
      <c r="AE271" s="18">
        <f t="shared" si="6"/>
        <v>1</v>
      </c>
    </row>
    <row r="272">
      <c r="A272" s="9">
        <f>IF(E272="","", IF('Global Precios'!B273="",0,'Global Precios'!B273))</f>
        <v>0</v>
      </c>
      <c r="B272" s="14" t="str">
        <f>IF('Global Precios'!B273="","",'Global Precios'!B273)</f>
        <v/>
      </c>
      <c r="C272" s="18">
        <f>IF('Global Precios'!A273="","",'Global Precios'!A273)</f>
        <v>296</v>
      </c>
      <c r="D272" s="18"/>
      <c r="E272" s="25" t="str">
        <f>IF('Global Precios'!D273="","",'Global Precios'!D273)</f>
        <v>COLLAR ISABELINO N° 6</v>
      </c>
      <c r="F272" s="18"/>
      <c r="G272" s="25">
        <f>IFERROR(VLOOKUP(C272,'BuscarV Stock'!$A$2:$C$478,3,0),"AAA")</f>
        <v>0</v>
      </c>
      <c r="H272" s="25">
        <f t="shared" si="1"/>
        <v>0.21</v>
      </c>
      <c r="I272" s="30">
        <f>IF('Global Precios'!H273="","",'Global Precios'!H273)</f>
        <v>910</v>
      </c>
      <c r="J272" s="82">
        <f>IF('Global Precios'!K273="","",'Global Precios'!K273)</f>
        <v>0.8</v>
      </c>
      <c r="K272" s="30">
        <f>IF('Global Precios'!Z273="Desactivado",0,IF('Global Precios'!L273="","",'Global Precios'!L273))</f>
        <v>17000</v>
      </c>
      <c r="L272" s="18"/>
      <c r="M272" s="18"/>
      <c r="N272" s="18"/>
      <c r="O272" s="18"/>
      <c r="P272" s="18"/>
      <c r="Q272" s="18"/>
      <c r="R272" s="18" t="str">
        <f>IF('Global Precios'!F273="","",'Global Precios'!F273)</f>
        <v>Pet-shop</v>
      </c>
      <c r="S272" s="18"/>
      <c r="T272" s="18" t="str">
        <f>IF('Global Precios'!E273="","",'Global Precios'!E273)</f>
        <v/>
      </c>
      <c r="U272" s="18"/>
      <c r="V272" s="18">
        <f t="shared" si="2"/>
        <v>0</v>
      </c>
      <c r="W272" s="18"/>
      <c r="X272" s="18"/>
      <c r="Y272" s="18"/>
      <c r="Z272" s="18"/>
      <c r="AA272" s="18"/>
      <c r="AB272" s="18">
        <f t="shared" si="3"/>
        <v>1</v>
      </c>
      <c r="AC272" s="18">
        <f t="shared" si="4"/>
        <v>1</v>
      </c>
      <c r="AD272" s="18">
        <f t="shared" si="5"/>
        <v>1</v>
      </c>
      <c r="AE272" s="18">
        <f t="shared" si="6"/>
        <v>1</v>
      </c>
    </row>
    <row r="273">
      <c r="A273" s="9">
        <f>IF(E273="","", IF('Global Precios'!B274="",0,'Global Precios'!B274))</f>
        <v>0</v>
      </c>
      <c r="B273" s="14" t="str">
        <f>IF('Global Precios'!B274="","",'Global Precios'!B274)</f>
        <v/>
      </c>
      <c r="C273" s="18">
        <f>IF('Global Precios'!A274="","",'Global Precios'!A274)</f>
        <v>297</v>
      </c>
      <c r="D273" s="18"/>
      <c r="E273" s="25" t="str">
        <f>IF('Global Precios'!D274="","",'Global Precios'!D274)</f>
        <v>COLLAR ISABELINO N° 7</v>
      </c>
      <c r="F273" s="18"/>
      <c r="G273" s="25">
        <f>IFERROR(VLOOKUP(C273,'BuscarV Stock'!$A$2:$C$478,3,0),"AAA")</f>
        <v>0</v>
      </c>
      <c r="H273" s="25">
        <f t="shared" si="1"/>
        <v>0.21</v>
      </c>
      <c r="I273" s="30">
        <f>IF('Global Precios'!H274="","",'Global Precios'!H274)</f>
        <v>963</v>
      </c>
      <c r="J273" s="82">
        <f>IF('Global Precios'!K274="","",'Global Precios'!K274)</f>
        <v>1</v>
      </c>
      <c r="K273" s="30">
        <f>IF('Global Precios'!Z274="Desactivado",0,IF('Global Precios'!L274="","",'Global Precios'!L274))</f>
        <v>19000</v>
      </c>
      <c r="L273" s="18"/>
      <c r="M273" s="18"/>
      <c r="N273" s="18"/>
      <c r="O273" s="18"/>
      <c r="P273" s="18"/>
      <c r="Q273" s="18"/>
      <c r="R273" s="18" t="str">
        <f>IF('Global Precios'!F274="","",'Global Precios'!F274)</f>
        <v>Pet-shop</v>
      </c>
      <c r="S273" s="18"/>
      <c r="T273" s="18" t="str">
        <f>IF('Global Precios'!E274="","",'Global Precios'!E274)</f>
        <v/>
      </c>
      <c r="U273" s="18"/>
      <c r="V273" s="18">
        <f t="shared" si="2"/>
        <v>0</v>
      </c>
      <c r="W273" s="18"/>
      <c r="X273" s="18"/>
      <c r="Y273" s="18"/>
      <c r="Z273" s="18"/>
      <c r="AA273" s="18"/>
      <c r="AB273" s="18">
        <f t="shared" si="3"/>
        <v>1</v>
      </c>
      <c r="AC273" s="18">
        <f t="shared" si="4"/>
        <v>1</v>
      </c>
      <c r="AD273" s="18">
        <f t="shared" si="5"/>
        <v>1</v>
      </c>
      <c r="AE273" s="18">
        <f t="shared" si="6"/>
        <v>1</v>
      </c>
    </row>
    <row r="274">
      <c r="A274" s="9">
        <f>IF(E274="","", IF('Global Precios'!B275="",0,'Global Precios'!B275))</f>
        <v>0</v>
      </c>
      <c r="B274" s="14" t="str">
        <f>IF('Global Precios'!B275="","",'Global Precios'!B275)</f>
        <v/>
      </c>
      <c r="C274" s="18">
        <f>IF('Global Precios'!A275="","",'Global Precios'!A275)</f>
        <v>298</v>
      </c>
      <c r="D274" s="18"/>
      <c r="E274" s="25" t="str">
        <f>IF('Global Precios'!D275="","",'Global Precios'!D275)</f>
        <v>COMEDERO GRANDE</v>
      </c>
      <c r="F274" s="18"/>
      <c r="G274" s="25">
        <f>IFERROR(VLOOKUP(C274,'BuscarV Stock'!$A$2:$C$478,3,0),"AAA")</f>
        <v>2</v>
      </c>
      <c r="H274" s="25">
        <f t="shared" si="1"/>
        <v>0.21</v>
      </c>
      <c r="I274" s="30">
        <f>IF('Global Precios'!H275="","",'Global Precios'!H275)</f>
        <v>321</v>
      </c>
      <c r="J274" s="82">
        <f>IF('Global Precios'!K275="","",'Global Precios'!K275)</f>
        <v>1</v>
      </c>
      <c r="K274" s="30">
        <f>IF('Global Precios'!Z275="Desactivado",0,IF('Global Precios'!L275="","",'Global Precios'!L275))</f>
        <v>3500</v>
      </c>
      <c r="L274" s="18"/>
      <c r="M274" s="18"/>
      <c r="N274" s="18"/>
      <c r="O274" s="18"/>
      <c r="P274" s="18"/>
      <c r="Q274" s="18"/>
      <c r="R274" s="18" t="str">
        <f>IF('Global Precios'!F275="","",'Global Precios'!F275)</f>
        <v>Pet-shop</v>
      </c>
      <c r="S274" s="18"/>
      <c r="T274" s="18" t="str">
        <f>IF('Global Precios'!E275="","",'Global Precios'!E275)</f>
        <v/>
      </c>
      <c r="U274" s="18"/>
      <c r="V274" s="18">
        <f t="shared" si="2"/>
        <v>0</v>
      </c>
      <c r="W274" s="18"/>
      <c r="X274" s="18"/>
      <c r="Y274" s="18"/>
      <c r="Z274" s="18"/>
      <c r="AA274" s="18"/>
      <c r="AB274" s="18">
        <f t="shared" si="3"/>
        <v>1</v>
      </c>
      <c r="AC274" s="18">
        <f t="shared" si="4"/>
        <v>1</v>
      </c>
      <c r="AD274" s="18">
        <f t="shared" si="5"/>
        <v>1</v>
      </c>
      <c r="AE274" s="18">
        <f t="shared" si="6"/>
        <v>1</v>
      </c>
    </row>
    <row r="275">
      <c r="A275" s="9">
        <f>IF(E275="","", IF('Global Precios'!B276="",0,'Global Precios'!B276))</f>
        <v>0</v>
      </c>
      <c r="B275" s="14" t="str">
        <f>IF('Global Precios'!B276="","",'Global Precios'!B276)</f>
        <v/>
      </c>
      <c r="C275" s="18">
        <f>IF('Global Precios'!A276="","",'Global Precios'!A276)</f>
        <v>299</v>
      </c>
      <c r="D275" s="18"/>
      <c r="E275" s="25" t="str">
        <f>IF('Global Precios'!D276="","",'Global Precios'!D276)</f>
        <v>COMEDERO COME LENTO</v>
      </c>
      <c r="F275" s="18"/>
      <c r="G275" s="25">
        <f>IFERROR(VLOOKUP(C275,'BuscarV Stock'!$A$2:$C$478,3,0),"AAA")</f>
        <v>2</v>
      </c>
      <c r="H275" s="25">
        <f t="shared" si="1"/>
        <v>0.21</v>
      </c>
      <c r="I275" s="30">
        <f>IF('Global Precios'!H276="","",'Global Precios'!H276)</f>
        <v>696</v>
      </c>
      <c r="J275" s="82">
        <f>IF('Global Precios'!K276="","",'Global Precios'!K276)</f>
        <v>1</v>
      </c>
      <c r="K275" s="30">
        <f>IF('Global Precios'!Z276="Desactivado",0,IF('Global Precios'!L276="","",'Global Precios'!L276))</f>
        <v>7500</v>
      </c>
      <c r="L275" s="18"/>
      <c r="M275" s="18"/>
      <c r="N275" s="18"/>
      <c r="O275" s="18"/>
      <c r="P275" s="18"/>
      <c r="Q275" s="18"/>
      <c r="R275" s="18" t="str">
        <f>IF('Global Precios'!F276="","",'Global Precios'!F276)</f>
        <v>Pet-shop</v>
      </c>
      <c r="S275" s="18"/>
      <c r="T275" s="18" t="str">
        <f>IF('Global Precios'!E276="","",'Global Precios'!E276)</f>
        <v/>
      </c>
      <c r="U275" s="18"/>
      <c r="V275" s="18">
        <f t="shared" si="2"/>
        <v>0</v>
      </c>
      <c r="W275" s="18"/>
      <c r="X275" s="18"/>
      <c r="Y275" s="18"/>
      <c r="Z275" s="18"/>
      <c r="AA275" s="18"/>
      <c r="AB275" s="18">
        <f t="shared" si="3"/>
        <v>1</v>
      </c>
      <c r="AC275" s="18">
        <f t="shared" si="4"/>
        <v>1</v>
      </c>
      <c r="AD275" s="18">
        <f t="shared" si="5"/>
        <v>1</v>
      </c>
      <c r="AE275" s="18">
        <f t="shared" si="6"/>
        <v>1</v>
      </c>
    </row>
    <row r="276">
      <c r="A276" s="9">
        <f>IF(E276="","", IF('Global Precios'!B277="",0,'Global Precios'!B277))</f>
        <v>0</v>
      </c>
      <c r="B276" s="14" t="str">
        <f>IF('Global Precios'!B277="","",'Global Precios'!B277)</f>
        <v/>
      </c>
      <c r="C276" s="18">
        <f>IF('Global Precios'!A277="","",'Global Precios'!A277)</f>
        <v>300</v>
      </c>
      <c r="D276" s="18"/>
      <c r="E276" s="25" t="str">
        <f>IF('Global Precios'!D277="","",'Global Precios'!D277)</f>
        <v>COMEDERO MEDIANO</v>
      </c>
      <c r="F276" s="18"/>
      <c r="G276" s="25">
        <f>IFERROR(VLOOKUP(C276,'BuscarV Stock'!$A$2:$C$478,3,0),"AAA")</f>
        <v>1</v>
      </c>
      <c r="H276" s="25">
        <f t="shared" si="1"/>
        <v>0.21</v>
      </c>
      <c r="I276" s="30">
        <f>IF('Global Precios'!H277="","",'Global Precios'!H277)</f>
        <v>278</v>
      </c>
      <c r="J276" s="82">
        <f>IF('Global Precios'!K277="","",'Global Precios'!K277)</f>
        <v>1</v>
      </c>
      <c r="K276" s="30">
        <f>IF('Global Precios'!Z277="Desactivado",0,IF('Global Precios'!L277="","",'Global Precios'!L277))</f>
        <v>2500</v>
      </c>
      <c r="L276" s="18"/>
      <c r="M276" s="18"/>
      <c r="N276" s="18"/>
      <c r="O276" s="18"/>
      <c r="P276" s="18"/>
      <c r="Q276" s="18"/>
      <c r="R276" s="18" t="str">
        <f>IF('Global Precios'!F277="","",'Global Precios'!F277)</f>
        <v>Pet-shop</v>
      </c>
      <c r="S276" s="18"/>
      <c r="T276" s="18" t="str">
        <f>IF('Global Precios'!E277="","",'Global Precios'!E277)</f>
        <v/>
      </c>
      <c r="U276" s="18"/>
      <c r="V276" s="18">
        <f t="shared" si="2"/>
        <v>0</v>
      </c>
      <c r="W276" s="18"/>
      <c r="X276" s="18"/>
      <c r="Y276" s="18"/>
      <c r="Z276" s="18"/>
      <c r="AA276" s="18"/>
      <c r="AB276" s="18">
        <f t="shared" si="3"/>
        <v>1</v>
      </c>
      <c r="AC276" s="18">
        <f t="shared" si="4"/>
        <v>1</v>
      </c>
      <c r="AD276" s="18">
        <f t="shared" si="5"/>
        <v>1</v>
      </c>
      <c r="AE276" s="18">
        <f t="shared" si="6"/>
        <v>1</v>
      </c>
    </row>
    <row r="277">
      <c r="A277" s="9">
        <f>IF(E277="","", IF('Global Precios'!B278="",0,'Global Precios'!B278))</f>
        <v>0</v>
      </c>
      <c r="B277" s="14" t="str">
        <f>IF('Global Precios'!B278="","",'Global Precios'!B278)</f>
        <v/>
      </c>
      <c r="C277" s="18">
        <f>IF('Global Precios'!A278="","",'Global Precios'!A278)</f>
        <v>301</v>
      </c>
      <c r="D277" s="18"/>
      <c r="E277" s="25" t="str">
        <f>IF('Global Precios'!D278="","",'Global Precios'!D278)</f>
        <v>YENU REDUCIDO EN CALORIAS Present: 3 kg</v>
      </c>
      <c r="F277" s="18"/>
      <c r="G277" s="25">
        <f>IFERROR(VLOOKUP(C277,'BuscarV Stock'!$A$2:$C$478,3,0),"AAA")</f>
        <v>0</v>
      </c>
      <c r="H277" s="25">
        <f t="shared" si="1"/>
        <v>0.21</v>
      </c>
      <c r="I277" s="30">
        <f>IF('Global Precios'!H278="","",'Global Precios'!H278)</f>
        <v>1198.347107</v>
      </c>
      <c r="J277" s="82">
        <f>IF('Global Precios'!K278="","",'Global Precios'!K278)</f>
        <v>0.4</v>
      </c>
      <c r="K277" s="30">
        <f>IF('Global Precios'!Z278="Desactivado",0,IF('Global Precios'!L278="","",'Global Precios'!L278))</f>
        <v>0</v>
      </c>
      <c r="L277" s="18"/>
      <c r="M277" s="18"/>
      <c r="N277" s="18"/>
      <c r="O277" s="18"/>
      <c r="P277" s="18"/>
      <c r="Q277" s="18"/>
      <c r="R277" s="18" t="str">
        <f>IF('Global Precios'!F278="","",'Global Precios'!F278)</f>
        <v>Alimentos</v>
      </c>
      <c r="S277" s="18"/>
      <c r="T277" s="18" t="str">
        <f>IF('Global Precios'!E278="","",'Global Precios'!E278)</f>
        <v>YENU</v>
      </c>
      <c r="U277" s="18"/>
      <c r="V277" s="18">
        <f t="shared" si="2"/>
        <v>0</v>
      </c>
      <c r="W277" s="18"/>
      <c r="X277" s="18"/>
      <c r="Y277" s="18"/>
      <c r="Z277" s="18"/>
      <c r="AA277" s="18"/>
      <c r="AB277" s="18">
        <f t="shared" si="3"/>
        <v>1</v>
      </c>
      <c r="AC277" s="18">
        <f t="shared" si="4"/>
        <v>1</v>
      </c>
      <c r="AD277" s="18">
        <f t="shared" si="5"/>
        <v>1</v>
      </c>
      <c r="AE277" s="18">
        <f t="shared" si="6"/>
        <v>1</v>
      </c>
    </row>
    <row r="278">
      <c r="A278" s="9">
        <f>IF(E278="","", IF('Global Precios'!B279="",0,'Global Precios'!B279))</f>
        <v>0</v>
      </c>
      <c r="B278" s="14" t="str">
        <f>IF('Global Precios'!B279="","",'Global Precios'!B279)</f>
        <v/>
      </c>
      <c r="C278" s="18">
        <f>IF('Global Precios'!A279="","",'Global Precios'!A279)</f>
        <v>302</v>
      </c>
      <c r="D278" s="18"/>
      <c r="E278" s="25" t="str">
        <f>IF('Global Precios'!D279="","",'Global Precios'!D279)</f>
        <v>PEINE SACA NUDOS</v>
      </c>
      <c r="F278" s="18"/>
      <c r="G278" s="25">
        <f>IFERROR(VLOOKUP(C278,'BuscarV Stock'!$A$2:$C$478,3,0),"AAA")</f>
        <v>0</v>
      </c>
      <c r="H278" s="25">
        <f t="shared" si="1"/>
        <v>0.21</v>
      </c>
      <c r="I278" s="30">
        <f>IF('Global Precios'!H279="","",'Global Precios'!H279)</f>
        <v>738</v>
      </c>
      <c r="J278" s="82">
        <f>IF('Global Precios'!K279="","",'Global Precios'!K279)</f>
        <v>1</v>
      </c>
      <c r="K278" s="30">
        <f>IF('Global Precios'!Z279="Desactivado",0,IF('Global Precios'!L279="","",'Global Precios'!L279))</f>
        <v>0</v>
      </c>
      <c r="L278" s="18"/>
      <c r="M278" s="18"/>
      <c r="N278" s="18"/>
      <c r="O278" s="18"/>
      <c r="P278" s="18"/>
      <c r="Q278" s="18"/>
      <c r="R278" s="18" t="str">
        <f>IF('Global Precios'!F279="","",'Global Precios'!F279)</f>
        <v>Pet-shop</v>
      </c>
      <c r="S278" s="18"/>
      <c r="T278" s="18" t="str">
        <f>IF('Global Precios'!E279="","",'Global Precios'!E279)</f>
        <v/>
      </c>
      <c r="U278" s="18"/>
      <c r="V278" s="18">
        <f t="shared" si="2"/>
        <v>0</v>
      </c>
      <c r="W278" s="18"/>
      <c r="X278" s="18"/>
      <c r="Y278" s="18"/>
      <c r="Z278" s="18"/>
      <c r="AA278" s="18"/>
      <c r="AB278" s="18">
        <f t="shared" si="3"/>
        <v>1</v>
      </c>
      <c r="AC278" s="18">
        <f t="shared" si="4"/>
        <v>1</v>
      </c>
      <c r="AD278" s="18">
        <f t="shared" si="5"/>
        <v>1</v>
      </c>
      <c r="AE278" s="18">
        <f t="shared" si="6"/>
        <v>1</v>
      </c>
    </row>
    <row r="279">
      <c r="A279" s="9">
        <f>IF(E279="","", IF('Global Precios'!B280="",0,'Global Precios'!B280))</f>
        <v>0</v>
      </c>
      <c r="B279" s="14" t="str">
        <f>IF('Global Precios'!B280="","",'Global Precios'!B280)</f>
        <v/>
      </c>
      <c r="C279" s="18">
        <f>IF('Global Precios'!A280="","",'Global Precios'!A280)</f>
        <v>303</v>
      </c>
      <c r="D279" s="18"/>
      <c r="E279" s="25" t="str">
        <f>IF('Global Precios'!D280="","",'Global Precios'!D280)</f>
        <v>SOGA CON 2 NUDOS CHICO</v>
      </c>
      <c r="F279" s="18"/>
      <c r="G279" s="25">
        <f>IFERROR(VLOOKUP(C279,'BuscarV Stock'!$A$2:$C$478,3,0),"AAA")</f>
        <v>0</v>
      </c>
      <c r="H279" s="25">
        <f t="shared" si="1"/>
        <v>0.21</v>
      </c>
      <c r="I279" s="30">
        <f>IF('Global Precios'!H280="","",'Global Precios'!H280)</f>
        <v>444</v>
      </c>
      <c r="J279" s="82">
        <f>IF('Global Precios'!K280="","",'Global Precios'!K280)</f>
        <v>1</v>
      </c>
      <c r="K279" s="30">
        <f>IF('Global Precios'!Z280="Desactivado",0,IF('Global Precios'!L280="","",'Global Precios'!L280))</f>
        <v>3500</v>
      </c>
      <c r="L279" s="18"/>
      <c r="M279" s="18"/>
      <c r="N279" s="18"/>
      <c r="O279" s="18"/>
      <c r="P279" s="18"/>
      <c r="Q279" s="18"/>
      <c r="R279" s="18" t="str">
        <f>IF('Global Precios'!F280="","",'Global Precios'!F280)</f>
        <v>Pet-shop</v>
      </c>
      <c r="S279" s="18"/>
      <c r="T279" s="18" t="str">
        <f>IF('Global Precios'!E280="","",'Global Precios'!E280)</f>
        <v/>
      </c>
      <c r="U279" s="18"/>
      <c r="V279" s="18">
        <f t="shared" si="2"/>
        <v>0</v>
      </c>
      <c r="W279" s="18"/>
      <c r="X279" s="18"/>
      <c r="Y279" s="18"/>
      <c r="Z279" s="18"/>
      <c r="AA279" s="18"/>
      <c r="AB279" s="18">
        <f t="shared" si="3"/>
        <v>1</v>
      </c>
      <c r="AC279" s="18">
        <f t="shared" si="4"/>
        <v>1</v>
      </c>
      <c r="AD279" s="18">
        <f t="shared" si="5"/>
        <v>1</v>
      </c>
      <c r="AE279" s="18">
        <f t="shared" si="6"/>
        <v>1</v>
      </c>
    </row>
    <row r="280">
      <c r="A280" s="9">
        <f>IF(E280="","", IF('Global Precios'!B281="",0,'Global Precios'!B281))</f>
        <v>0</v>
      </c>
      <c r="B280" s="14" t="str">
        <f>IF('Global Precios'!B281="","",'Global Precios'!B281)</f>
        <v/>
      </c>
      <c r="C280" s="18">
        <f>IF('Global Precios'!A281="","",'Global Precios'!A281)</f>
        <v>304</v>
      </c>
      <c r="D280" s="18"/>
      <c r="E280" s="25" t="str">
        <f>IF('Global Precios'!D281="","",'Global Precios'!D281)</f>
        <v>CORREA CORTA</v>
      </c>
      <c r="F280" s="18"/>
      <c r="G280" s="25">
        <f>IFERROR(VLOOKUP(C280,'BuscarV Stock'!$A$2:$C$478,3,0),"AAA")</f>
        <v>2</v>
      </c>
      <c r="H280" s="25">
        <f t="shared" si="1"/>
        <v>0.21</v>
      </c>
      <c r="I280" s="30">
        <f>IF('Global Precios'!H281="","",'Global Precios'!H281)</f>
        <v>488</v>
      </c>
      <c r="J280" s="82">
        <f>IF('Global Precios'!K281="","",'Global Precios'!K281)</f>
        <v>1</v>
      </c>
      <c r="K280" s="30">
        <f>IF('Global Precios'!Z281="Desactivado",0,IF('Global Precios'!L281="","",'Global Precios'!L281))</f>
        <v>0</v>
      </c>
      <c r="L280" s="18"/>
      <c r="M280" s="18"/>
      <c r="N280" s="18"/>
      <c r="O280" s="18"/>
      <c r="P280" s="18"/>
      <c r="Q280" s="18"/>
      <c r="R280" s="18" t="str">
        <f>IF('Global Precios'!F281="","",'Global Precios'!F281)</f>
        <v>Pet-shop</v>
      </c>
      <c r="S280" s="18"/>
      <c r="T280" s="18" t="str">
        <f>IF('Global Precios'!E281="","",'Global Precios'!E281)</f>
        <v/>
      </c>
      <c r="U280" s="18"/>
      <c r="V280" s="18">
        <f t="shared" si="2"/>
        <v>0</v>
      </c>
      <c r="W280" s="18"/>
      <c r="X280" s="18"/>
      <c r="Y280" s="18"/>
      <c r="Z280" s="18"/>
      <c r="AA280" s="18"/>
      <c r="AB280" s="18">
        <f t="shared" si="3"/>
        <v>1</v>
      </c>
      <c r="AC280" s="18">
        <f t="shared" si="4"/>
        <v>1</v>
      </c>
      <c r="AD280" s="18">
        <f t="shared" si="5"/>
        <v>1</v>
      </c>
      <c r="AE280" s="18">
        <f t="shared" si="6"/>
        <v>1</v>
      </c>
    </row>
    <row r="281">
      <c r="A281" s="9">
        <f>IF(E281="","", IF('Global Precios'!B282="",0,'Global Precios'!B282))</f>
        <v>0</v>
      </c>
      <c r="B281" s="14" t="str">
        <f>IF('Global Precios'!B282="","",'Global Precios'!B282)</f>
        <v/>
      </c>
      <c r="C281" s="18">
        <f>IF('Global Precios'!A282="","",'Global Precios'!A282)</f>
        <v>3050</v>
      </c>
      <c r="D281" s="18"/>
      <c r="E281" s="25" t="str">
        <f>IF('Global Precios'!D282="","",'Global Precios'!D282)</f>
        <v>KUALCODERM CREMA X 20 GRS</v>
      </c>
      <c r="F281" s="18"/>
      <c r="G281" s="25">
        <f>IFERROR(VLOOKUP(C281,'BuscarV Stock'!$A$2:$C$478,3,0),"AAA")</f>
        <v>0</v>
      </c>
      <c r="H281" s="25">
        <f t="shared" si="1"/>
        <v>0.21</v>
      </c>
      <c r="I281" s="30">
        <f>IF('Global Precios'!H282="","",'Global Precios'!H282)</f>
        <v>3852.892562</v>
      </c>
      <c r="J281" s="82">
        <f>IF('Global Precios'!K282="","",'Global Precios'!K282)</f>
        <v>1</v>
      </c>
      <c r="K281" s="30">
        <f>IF('Global Precios'!Z282="Desactivado",0,IF('Global Precios'!L282="","",'Global Precios'!L282))</f>
        <v>9500</v>
      </c>
      <c r="L281" s="18"/>
      <c r="M281" s="18"/>
      <c r="N281" s="18"/>
      <c r="O281" s="18"/>
      <c r="P281" s="18"/>
      <c r="Q281" s="18"/>
      <c r="R281" s="18" t="str">
        <f>IF('Global Precios'!F282="","",'Global Precios'!F282)</f>
        <v>Medicamentos</v>
      </c>
      <c r="S281" s="18"/>
      <c r="T281" s="18" t="str">
        <f>IF('Global Precios'!E282="","",'Global Precios'!E282)</f>
        <v/>
      </c>
      <c r="U281" s="18"/>
      <c r="V281" s="18">
        <f t="shared" si="2"/>
        <v>0</v>
      </c>
      <c r="W281" s="18"/>
      <c r="X281" s="18"/>
      <c r="Y281" s="18"/>
      <c r="Z281" s="18"/>
      <c r="AA281" s="18"/>
      <c r="AB281" s="18">
        <f t="shared" si="3"/>
        <v>1</v>
      </c>
      <c r="AC281" s="18">
        <f t="shared" si="4"/>
        <v>1</v>
      </c>
      <c r="AD281" s="18">
        <f t="shared" si="5"/>
        <v>1</v>
      </c>
      <c r="AE281" s="18">
        <f t="shared" si="6"/>
        <v>1</v>
      </c>
    </row>
    <row r="282">
      <c r="A282" s="9">
        <f>IF(E282="","", IF('Global Precios'!B283="",0,'Global Precios'!B283))</f>
        <v>0</v>
      </c>
      <c r="B282" s="14" t="str">
        <f>IF('Global Precios'!B283="","",'Global Precios'!B283)</f>
        <v/>
      </c>
      <c r="C282" s="18">
        <f>IF('Global Precios'!A283="","",'Global Precios'!A283)</f>
        <v>305</v>
      </c>
      <c r="D282" s="18"/>
      <c r="E282" s="25" t="str">
        <f>IF('Global Precios'!D283="","",'Global Precios'!D283)</f>
        <v>SHAMPOO A2 X 250 ML</v>
      </c>
      <c r="F282" s="18"/>
      <c r="G282" s="25">
        <f>IFERROR(VLOOKUP(C282,'BuscarV Stock'!$A$2:$C$478,3,0),"AAA")</f>
        <v>0</v>
      </c>
      <c r="H282" s="25">
        <f t="shared" si="1"/>
        <v>0.21</v>
      </c>
      <c r="I282" s="30">
        <f>IF('Global Precios'!H283="","",'Global Precios'!H283)</f>
        <v>4517.355372</v>
      </c>
      <c r="J282" s="82">
        <f>IF('Global Precios'!K283="","",'Global Precios'!K283)</f>
        <v>0.8</v>
      </c>
      <c r="K282" s="30">
        <f>IF('Global Precios'!Z283="Desactivado",0,IF('Global Precios'!L283="","",'Global Precios'!L283))</f>
        <v>10000</v>
      </c>
      <c r="L282" s="18"/>
      <c r="M282" s="18"/>
      <c r="N282" s="18"/>
      <c r="O282" s="18"/>
      <c r="P282" s="18"/>
      <c r="Q282" s="18"/>
      <c r="R282" s="18" t="str">
        <f>IF('Global Precios'!F283="","",'Global Precios'!F283)</f>
        <v>Medicamentos</v>
      </c>
      <c r="S282" s="18"/>
      <c r="T282" s="18" t="str">
        <f>IF('Global Precios'!E283="","",'Global Precios'!E283)</f>
        <v/>
      </c>
      <c r="U282" s="18"/>
      <c r="V282" s="18">
        <f t="shared" si="2"/>
        <v>0</v>
      </c>
      <c r="W282" s="18"/>
      <c r="X282" s="18"/>
      <c r="Y282" s="18"/>
      <c r="Z282" s="18"/>
      <c r="AA282" s="18"/>
      <c r="AB282" s="18">
        <f t="shared" si="3"/>
        <v>1</v>
      </c>
      <c r="AC282" s="18">
        <f t="shared" si="4"/>
        <v>1</v>
      </c>
      <c r="AD282" s="18">
        <f t="shared" si="5"/>
        <v>1</v>
      </c>
      <c r="AE282" s="18">
        <f t="shared" si="6"/>
        <v>1</v>
      </c>
    </row>
    <row r="283">
      <c r="A283" s="9">
        <f>IF(E283="","", IF('Global Precios'!B284="",0,'Global Precios'!B284))</f>
        <v>0</v>
      </c>
      <c r="B283" s="14" t="str">
        <f>IF('Global Precios'!B284="","",'Global Precios'!B284)</f>
        <v/>
      </c>
      <c r="C283" s="18">
        <f>IF('Global Precios'!A284="","",'Global Precios'!A284)</f>
        <v>306</v>
      </c>
      <c r="D283" s="18"/>
      <c r="E283" s="25" t="str">
        <f>IF('Global Precios'!D284="","",'Global Precios'!D284)</f>
        <v>TIU 2 BL X 1 COMPRIMIDO</v>
      </c>
      <c r="F283" s="18"/>
      <c r="G283" s="25">
        <f>IFERROR(VLOOKUP(C283,'BuscarV Stock'!$A$2:$C$478,3,0),"AAA")</f>
        <v>37</v>
      </c>
      <c r="H283" s="25">
        <f t="shared" si="1"/>
        <v>0.21</v>
      </c>
      <c r="I283" s="30">
        <f>IF('Global Precios'!H284="","",'Global Precios'!H284)</f>
        <v>909.0909091</v>
      </c>
      <c r="J283" s="82">
        <f>IF('Global Precios'!K284="","",'Global Precios'!K284)</f>
        <v>0.8</v>
      </c>
      <c r="K283" s="30">
        <f>IF('Global Precios'!Z284="Desactivado",0,IF('Global Precios'!L284="","",'Global Precios'!L284))</f>
        <v>2000</v>
      </c>
      <c r="L283" s="18"/>
      <c r="M283" s="18"/>
      <c r="N283" s="18"/>
      <c r="O283" s="18"/>
      <c r="P283" s="18"/>
      <c r="Q283" s="18"/>
      <c r="R283" s="18" t="str">
        <f>IF('Global Precios'!F284="","",'Global Precios'!F284)</f>
        <v>Medicamentos</v>
      </c>
      <c r="S283" s="18"/>
      <c r="T283" s="18" t="str">
        <f>IF('Global Precios'!E284="","",'Global Precios'!E284)</f>
        <v/>
      </c>
      <c r="U283" s="18"/>
      <c r="V283" s="18">
        <f t="shared" si="2"/>
        <v>0</v>
      </c>
      <c r="W283" s="18"/>
      <c r="X283" s="18"/>
      <c r="Y283" s="18"/>
      <c r="Z283" s="18"/>
      <c r="AA283" s="18"/>
      <c r="AB283" s="18">
        <f t="shared" si="3"/>
        <v>1</v>
      </c>
      <c r="AC283" s="18">
        <f t="shared" si="4"/>
        <v>1</v>
      </c>
      <c r="AD283" s="18">
        <f t="shared" si="5"/>
        <v>1</v>
      </c>
      <c r="AE283" s="18">
        <f t="shared" si="6"/>
        <v>1</v>
      </c>
    </row>
    <row r="284">
      <c r="A284" s="9">
        <f>IF(E284="","", IF('Global Precios'!B285="",0,'Global Precios'!B285))</f>
        <v>0</v>
      </c>
      <c r="B284" s="14" t="str">
        <f>IF('Global Precios'!B285="","",'Global Precios'!B285)</f>
        <v/>
      </c>
      <c r="C284" s="18">
        <f>IF('Global Precios'!A285="","",'Global Precios'!A285)</f>
        <v>307</v>
      </c>
      <c r="D284" s="18"/>
      <c r="E284" s="25" t="str">
        <f>IF('Global Precios'!D285="","",'Global Precios'!D285)</f>
        <v>FELILAX X 40 GRS</v>
      </c>
      <c r="F284" s="18"/>
      <c r="G284" s="25">
        <f>IFERROR(VLOOKUP(C284,'BuscarV Stock'!$A$2:$C$478,3,0),"AAA")</f>
        <v>2</v>
      </c>
      <c r="H284" s="25">
        <f t="shared" si="1"/>
        <v>0.21</v>
      </c>
      <c r="I284" s="30">
        <f>IF('Global Precios'!H285="","",'Global Precios'!H285)</f>
        <v>7024.793388</v>
      </c>
      <c r="J284" s="82">
        <f>IF('Global Precios'!K285="","",'Global Precios'!K285)</f>
        <v>0.8</v>
      </c>
      <c r="K284" s="30">
        <f>IF('Global Precios'!Z285="Desactivado",0,IF('Global Precios'!L285="","",'Global Precios'!L285))</f>
        <v>15000</v>
      </c>
      <c r="L284" s="18"/>
      <c r="M284" s="18"/>
      <c r="N284" s="18"/>
      <c r="O284" s="18"/>
      <c r="P284" s="18"/>
      <c r="Q284" s="18"/>
      <c r="R284" s="18" t="str">
        <f>IF('Global Precios'!F285="","",'Global Precios'!F285)</f>
        <v>Medicamentos</v>
      </c>
      <c r="S284" s="18"/>
      <c r="T284" s="18" t="str">
        <f>IF('Global Precios'!E285="","",'Global Precios'!E285)</f>
        <v/>
      </c>
      <c r="U284" s="18"/>
      <c r="V284" s="18">
        <f t="shared" si="2"/>
        <v>0</v>
      </c>
      <c r="W284" s="18"/>
      <c r="X284" s="18"/>
      <c r="Y284" s="18"/>
      <c r="Z284" s="18"/>
      <c r="AA284" s="18"/>
      <c r="AB284" s="18">
        <f t="shared" si="3"/>
        <v>1</v>
      </c>
      <c r="AC284" s="18">
        <f t="shared" si="4"/>
        <v>1</v>
      </c>
      <c r="AD284" s="18">
        <f t="shared" si="5"/>
        <v>1</v>
      </c>
      <c r="AE284" s="18">
        <f t="shared" si="6"/>
        <v>1</v>
      </c>
    </row>
    <row r="285">
      <c r="A285" s="9">
        <f>IF(E285="","", IF('Global Precios'!B286="",0,'Global Precios'!B286))</f>
        <v>0</v>
      </c>
      <c r="B285" s="14" t="str">
        <f>IF('Global Precios'!B286="","",'Global Precios'!B286)</f>
        <v/>
      </c>
      <c r="C285" s="18">
        <f>IF('Global Precios'!A286="","",'Global Precios'!A286)</f>
        <v>308</v>
      </c>
      <c r="D285" s="18"/>
      <c r="E285" s="25" t="str">
        <f>IF('Global Precios'!D286="","",'Global Precios'!D286)</f>
        <v>GALMETRIN PLUS SPRAY X 440 ML.</v>
      </c>
      <c r="F285" s="18"/>
      <c r="G285" s="25">
        <f>IFERROR(VLOOKUP(C285,'BuscarV Stock'!$A$2:$C$478,3,0),"AAA")</f>
        <v>2</v>
      </c>
      <c r="H285" s="25">
        <f t="shared" si="1"/>
        <v>0.21</v>
      </c>
      <c r="I285" s="30">
        <f>IF('Global Precios'!H286="","",'Global Precios'!H286)</f>
        <v>4594.214876</v>
      </c>
      <c r="J285" s="82">
        <f>IF('Global Precios'!K286="","",'Global Precios'!K286)</f>
        <v>0.8</v>
      </c>
      <c r="K285" s="30">
        <f>IF('Global Precios'!Z286="Desactivado",0,IF('Global Precios'!L286="","",'Global Precios'!L286))</f>
        <v>10000</v>
      </c>
      <c r="L285" s="18"/>
      <c r="M285" s="18"/>
      <c r="N285" s="18"/>
      <c r="O285" s="18"/>
      <c r="P285" s="18"/>
      <c r="Q285" s="18"/>
      <c r="R285" s="18" t="str">
        <f>IF('Global Precios'!F286="","",'Global Precios'!F286)</f>
        <v>Medicamentos</v>
      </c>
      <c r="S285" s="18"/>
      <c r="T285" s="18" t="str">
        <f>IF('Global Precios'!E286="","",'Global Precios'!E286)</f>
        <v/>
      </c>
      <c r="U285" s="18"/>
      <c r="V285" s="18">
        <f t="shared" si="2"/>
        <v>0</v>
      </c>
      <c r="W285" s="18"/>
      <c r="X285" s="18"/>
      <c r="Y285" s="18"/>
      <c r="Z285" s="18"/>
      <c r="AA285" s="18"/>
      <c r="AB285" s="18">
        <f t="shared" si="3"/>
        <v>1</v>
      </c>
      <c r="AC285" s="18">
        <f t="shared" si="4"/>
        <v>1</v>
      </c>
      <c r="AD285" s="18">
        <f t="shared" si="5"/>
        <v>1</v>
      </c>
      <c r="AE285" s="18">
        <f t="shared" si="6"/>
        <v>1</v>
      </c>
    </row>
    <row r="286">
      <c r="A286" s="9">
        <f>IF(E286="","", IF('Global Precios'!B287="",0,'Global Precios'!B287))</f>
        <v>0</v>
      </c>
      <c r="B286" s="14" t="str">
        <f>IF('Global Precios'!B287="","",'Global Precios'!B287)</f>
        <v/>
      </c>
      <c r="C286" s="18">
        <f>IF('Global Precios'!A287="","",'Global Precios'!A287)</f>
        <v>309</v>
      </c>
      <c r="D286" s="18"/>
      <c r="E286" s="25" t="str">
        <f>IF('Global Precios'!D287="","",'Global Precios'!D287)</f>
        <v>ODONTOLIMP NOVO X 60 ML</v>
      </c>
      <c r="F286" s="18"/>
      <c r="G286" s="25">
        <f>IFERROR(VLOOKUP(C286,'BuscarV Stock'!$A$2:$C$478,3,0),"AAA")</f>
        <v>0</v>
      </c>
      <c r="H286" s="25">
        <f t="shared" si="1"/>
        <v>0.21</v>
      </c>
      <c r="I286" s="30">
        <f>IF('Global Precios'!H287="","",'Global Precios'!H287)</f>
        <v>5128.92562</v>
      </c>
      <c r="J286" s="82">
        <f>IF('Global Precios'!K287="","",'Global Precios'!K287)</f>
        <v>0.8</v>
      </c>
      <c r="K286" s="30">
        <f>IF('Global Precios'!Z287="Desactivado",0,IF('Global Precios'!L287="","",'Global Precios'!L287))</f>
        <v>11000</v>
      </c>
      <c r="L286" s="18"/>
      <c r="M286" s="18"/>
      <c r="N286" s="18"/>
      <c r="O286" s="18"/>
      <c r="P286" s="18"/>
      <c r="Q286" s="18"/>
      <c r="R286" s="18" t="str">
        <f>IF('Global Precios'!F287="","",'Global Precios'!F287)</f>
        <v>Medicamentos</v>
      </c>
      <c r="S286" s="18"/>
      <c r="T286" s="18" t="str">
        <f>IF('Global Precios'!E287="","",'Global Precios'!E287)</f>
        <v/>
      </c>
      <c r="U286" s="18"/>
      <c r="V286" s="18">
        <f t="shared" si="2"/>
        <v>0</v>
      </c>
      <c r="W286" s="18"/>
      <c r="X286" s="18"/>
      <c r="Y286" s="18"/>
      <c r="Z286" s="18"/>
      <c r="AA286" s="18"/>
      <c r="AB286" s="18">
        <f t="shared" si="3"/>
        <v>1</v>
      </c>
      <c r="AC286" s="18">
        <f t="shared" si="4"/>
        <v>1</v>
      </c>
      <c r="AD286" s="18">
        <f t="shared" si="5"/>
        <v>1</v>
      </c>
      <c r="AE286" s="18">
        <f t="shared" si="6"/>
        <v>1</v>
      </c>
    </row>
    <row r="287">
      <c r="A287" s="9">
        <f>IF(E287="","", IF('Global Precios'!B288="",0,'Global Precios'!B288))</f>
        <v>0</v>
      </c>
      <c r="B287" s="14" t="str">
        <f>IF('Global Precios'!B288="","",'Global Precios'!B288)</f>
        <v/>
      </c>
      <c r="C287" s="18">
        <f>IF('Global Precios'!A288="","",'Global Precios'!A288)</f>
        <v>310</v>
      </c>
      <c r="D287" s="18"/>
      <c r="E287" s="25" t="str">
        <f>IF('Global Precios'!D288="","",'Global Precios'!D288)</f>
        <v>TALCO RUMINAL X 100 GRS</v>
      </c>
      <c r="F287" s="18"/>
      <c r="G287" s="25">
        <f>IFERROR(VLOOKUP(C287,'BuscarV Stock'!$A$2:$C$478,3,0),"AAA")</f>
        <v>0</v>
      </c>
      <c r="H287" s="25">
        <f t="shared" si="1"/>
        <v>0.21</v>
      </c>
      <c r="I287" s="30">
        <f>IF('Global Precios'!H288="","",'Global Precios'!H288)</f>
        <v>2272.727273</v>
      </c>
      <c r="J287" s="82">
        <f>IF('Global Precios'!K288="","",'Global Precios'!K288)</f>
        <v>0.8</v>
      </c>
      <c r="K287" s="30">
        <f>IF('Global Precios'!Z288="Desactivado",0,IF('Global Precios'!L288="","",'Global Precios'!L288))</f>
        <v>5000</v>
      </c>
      <c r="L287" s="18"/>
      <c r="M287" s="18"/>
      <c r="N287" s="18"/>
      <c r="O287" s="18"/>
      <c r="P287" s="18"/>
      <c r="Q287" s="18"/>
      <c r="R287" s="18" t="str">
        <f>IF('Global Precios'!F288="","",'Global Precios'!F288)</f>
        <v>Medicamentos</v>
      </c>
      <c r="S287" s="18"/>
      <c r="T287" s="18" t="str">
        <f>IF('Global Precios'!E288="","",'Global Precios'!E288)</f>
        <v/>
      </c>
      <c r="U287" s="18"/>
      <c r="V287" s="18">
        <f t="shared" si="2"/>
        <v>0</v>
      </c>
      <c r="W287" s="18"/>
      <c r="X287" s="18"/>
      <c r="Y287" s="18"/>
      <c r="Z287" s="18"/>
      <c r="AA287" s="18"/>
      <c r="AB287" s="18">
        <f t="shared" si="3"/>
        <v>1</v>
      </c>
      <c r="AC287" s="18">
        <f t="shared" si="4"/>
        <v>1</v>
      </c>
      <c r="AD287" s="18">
        <f t="shared" si="5"/>
        <v>1</v>
      </c>
      <c r="AE287" s="18">
        <f t="shared" si="6"/>
        <v>1</v>
      </c>
    </row>
    <row r="288">
      <c r="A288" s="9">
        <f>IF(E288="","", IF('Global Precios'!B289="",0,'Global Precios'!B289))</f>
        <v>0</v>
      </c>
      <c r="B288" s="14" t="str">
        <f>IF('Global Precios'!B289="","",'Global Precios'!B289)</f>
        <v/>
      </c>
      <c r="C288" s="18">
        <f>IF('Global Precios'!A289="","",'Global Precios'!A289)</f>
        <v>311</v>
      </c>
      <c r="D288" s="18"/>
      <c r="E288" s="25" t="str">
        <f>IF('Global Precios'!D289="","",'Global Precios'!D289)</f>
        <v>CORULETS POMADA OFTALMICA X 5 ML</v>
      </c>
      <c r="F288" s="18"/>
      <c r="G288" s="25">
        <f>IFERROR(VLOOKUP(C288,'BuscarV Stock'!$A$2:$C$478,3,0),"AAA")</f>
        <v>5</v>
      </c>
      <c r="H288" s="25">
        <f t="shared" si="1"/>
        <v>0.21</v>
      </c>
      <c r="I288" s="30">
        <f>IF('Global Precios'!H289="","",'Global Precios'!H289)</f>
        <v>3514.876033</v>
      </c>
      <c r="J288" s="82">
        <f>IF('Global Precios'!K289="","",'Global Precios'!K289)</f>
        <v>0.8</v>
      </c>
      <c r="K288" s="30">
        <f>IF('Global Precios'!Z289="Desactivado",0,IF('Global Precios'!L289="","",'Global Precios'!L289))</f>
        <v>7500</v>
      </c>
      <c r="L288" s="18"/>
      <c r="M288" s="18"/>
      <c r="N288" s="18"/>
      <c r="O288" s="18"/>
      <c r="P288" s="18"/>
      <c r="Q288" s="18"/>
      <c r="R288" s="18" t="str">
        <f>IF('Global Precios'!F289="","",'Global Precios'!F289)</f>
        <v>Medicamentos</v>
      </c>
      <c r="S288" s="18"/>
      <c r="T288" s="18" t="str">
        <f>IF('Global Precios'!E289="","",'Global Precios'!E289)</f>
        <v/>
      </c>
      <c r="U288" s="18"/>
      <c r="V288" s="18">
        <f t="shared" si="2"/>
        <v>0</v>
      </c>
      <c r="W288" s="18"/>
      <c r="X288" s="18"/>
      <c r="Y288" s="18"/>
      <c r="Z288" s="18"/>
      <c r="AA288" s="18"/>
      <c r="AB288" s="18">
        <f t="shared" si="3"/>
        <v>1</v>
      </c>
      <c r="AC288" s="18">
        <f t="shared" si="4"/>
        <v>1</v>
      </c>
      <c r="AD288" s="18">
        <f t="shared" si="5"/>
        <v>1</v>
      </c>
      <c r="AE288" s="18">
        <f t="shared" si="6"/>
        <v>1</v>
      </c>
    </row>
    <row r="289">
      <c r="A289" s="9">
        <f>IF(E289="","", IF('Global Precios'!B290="",0,'Global Precios'!B290))</f>
        <v>0</v>
      </c>
      <c r="B289" s="14" t="str">
        <f>IF('Global Precios'!B290="","",'Global Precios'!B290)</f>
        <v/>
      </c>
      <c r="C289" s="18">
        <f>IF('Global Precios'!A290="","",'Global Precios'!A290)</f>
        <v>312</v>
      </c>
      <c r="D289" s="18"/>
      <c r="E289" s="25" t="str">
        <f>IF('Global Precios'!D290="","",'Global Precios'!D290)</f>
        <v>PROPLAN VETERINARY URINARY</v>
      </c>
      <c r="F289" s="18"/>
      <c r="G289" s="25">
        <f>IFERROR(VLOOKUP(C289,'BuscarV Stock'!$A$2:$C$478,3,0),"AAA")</f>
        <v>0</v>
      </c>
      <c r="H289" s="25">
        <f t="shared" si="1"/>
        <v>0.21</v>
      </c>
      <c r="I289" s="30">
        <f>IF('Global Precios'!H290="","",'Global Precios'!H290)</f>
        <v>8930.578512</v>
      </c>
      <c r="J289" s="82">
        <f>IF('Global Precios'!K290="","",'Global Precios'!K290)</f>
        <v>0.43</v>
      </c>
      <c r="K289" s="30">
        <f>IF('Global Precios'!Z290="Desactivado",0,IF('Global Precios'!L290="","",'Global Precios'!L290))</f>
        <v>0</v>
      </c>
      <c r="L289" s="18"/>
      <c r="M289" s="18"/>
      <c r="N289" s="18"/>
      <c r="O289" s="18"/>
      <c r="P289" s="18"/>
      <c r="Q289" s="18"/>
      <c r="R289" s="18" t="str">
        <f>IF('Global Precios'!F290="","",'Global Precios'!F290)</f>
        <v>Alimentos</v>
      </c>
      <c r="S289" s="18"/>
      <c r="T289" s="18" t="str">
        <f>IF('Global Precios'!E290="","",'Global Precios'!E290)</f>
        <v>PRO PLAN</v>
      </c>
      <c r="U289" s="18"/>
      <c r="V289" s="18">
        <f t="shared" si="2"/>
        <v>0</v>
      </c>
      <c r="W289" s="18"/>
      <c r="X289" s="18"/>
      <c r="Y289" s="18"/>
      <c r="Z289" s="18"/>
      <c r="AA289" s="18"/>
      <c r="AB289" s="18">
        <f t="shared" si="3"/>
        <v>1</v>
      </c>
      <c r="AC289" s="18">
        <f t="shared" si="4"/>
        <v>1</v>
      </c>
      <c r="AD289" s="18">
        <f t="shared" si="5"/>
        <v>1</v>
      </c>
      <c r="AE289" s="18">
        <f t="shared" si="6"/>
        <v>1</v>
      </c>
    </row>
    <row r="290">
      <c r="A290" s="9">
        <f>IF(E290="","", IF('Global Precios'!B291="",0,'Global Precios'!B291))</f>
        <v>0</v>
      </c>
      <c r="B290" s="14" t="str">
        <f>IF('Global Precios'!B291="","",'Global Precios'!B291)</f>
        <v/>
      </c>
      <c r="C290" s="18">
        <f>IF('Global Precios'!A291="","",'Global Precios'!A291)</f>
        <v>313</v>
      </c>
      <c r="D290" s="18"/>
      <c r="E290" s="25" t="str">
        <f>IF('Global Precios'!D291="","",'Global Precios'!D291)</f>
        <v>FELIX Sensaciones ATUN x sobre de 0.85 g</v>
      </c>
      <c r="F290" s="18"/>
      <c r="G290" s="25">
        <f>IFERROR(VLOOKUP(C290,'BuscarV Stock'!$A$2:$C$478,3,0),"AAA")</f>
        <v>0</v>
      </c>
      <c r="H290" s="25">
        <f t="shared" si="1"/>
        <v>0.21</v>
      </c>
      <c r="I290" s="30">
        <f>IF('Global Precios'!H291="","",'Global Precios'!H291)</f>
        <v>909.0909091</v>
      </c>
      <c r="J290" s="82">
        <f>IF('Global Precios'!K291="","",'Global Precios'!K291)</f>
        <v>0.4</v>
      </c>
      <c r="K290" s="30">
        <f>IF('Global Precios'!Z291="Desactivado",0,IF('Global Precios'!L291="","",'Global Precios'!L291))</f>
        <v>0</v>
      </c>
      <c r="L290" s="18"/>
      <c r="M290" s="18"/>
      <c r="N290" s="18"/>
      <c r="O290" s="18"/>
      <c r="P290" s="18"/>
      <c r="Q290" s="18"/>
      <c r="R290" s="18" t="str">
        <f>IF('Global Precios'!F291="","",'Global Precios'!F291)</f>
        <v>Alimentos</v>
      </c>
      <c r="S290" s="18"/>
      <c r="T290" s="18" t="str">
        <f>IF('Global Precios'!E291="","",'Global Precios'!E291)</f>
        <v>Excellent</v>
      </c>
      <c r="U290" s="18"/>
      <c r="V290" s="18">
        <f t="shared" si="2"/>
        <v>0</v>
      </c>
      <c r="W290" s="18"/>
      <c r="X290" s="18"/>
      <c r="Y290" s="18"/>
      <c r="Z290" s="18"/>
      <c r="AA290" s="18"/>
      <c r="AB290" s="18">
        <f t="shared" si="3"/>
        <v>1</v>
      </c>
      <c r="AC290" s="18">
        <f t="shared" si="4"/>
        <v>1</v>
      </c>
      <c r="AD290" s="18">
        <f t="shared" si="5"/>
        <v>1</v>
      </c>
      <c r="AE290" s="18">
        <f t="shared" si="6"/>
        <v>1</v>
      </c>
    </row>
    <row r="291">
      <c r="A291" s="9">
        <f>IF(E291="","", IF('Global Precios'!B292="",0,'Global Precios'!B292))</f>
        <v>0</v>
      </c>
      <c r="B291" s="14" t="str">
        <f>IF('Global Precios'!B292="","",'Global Precios'!B292)</f>
        <v/>
      </c>
      <c r="C291" s="18">
        <f>IF('Global Precios'!A292="","",'Global Precios'!A292)</f>
        <v>314</v>
      </c>
      <c r="D291" s="18"/>
      <c r="E291" s="25" t="str">
        <f>IF('Global Precios'!D292="","",'Global Precios'!D292)</f>
        <v>FELIX Sensaciones SALMON x sobre de 0.85 g</v>
      </c>
      <c r="F291" s="18"/>
      <c r="G291" s="25">
        <f>IFERROR(VLOOKUP(C291,'BuscarV Stock'!$A$2:$C$478,3,0),"AAA")</f>
        <v>1</v>
      </c>
      <c r="H291" s="25">
        <f t="shared" si="1"/>
        <v>0.21</v>
      </c>
      <c r="I291" s="30">
        <f>IF('Global Precios'!H292="","",'Global Precios'!H292)</f>
        <v>826.446281</v>
      </c>
      <c r="J291" s="82">
        <f>IF('Global Precios'!K292="","",'Global Precios'!K292)</f>
        <v>0.4</v>
      </c>
      <c r="K291" s="30">
        <f>IF('Global Precios'!Z292="Desactivado",0,IF('Global Precios'!L292="","",'Global Precios'!L292))</f>
        <v>0</v>
      </c>
      <c r="L291" s="18"/>
      <c r="M291" s="18"/>
      <c r="N291" s="18"/>
      <c r="O291" s="18"/>
      <c r="P291" s="18"/>
      <c r="Q291" s="18"/>
      <c r="R291" s="18" t="str">
        <f>IF('Global Precios'!F292="","",'Global Precios'!F292)</f>
        <v>Alimentos</v>
      </c>
      <c r="S291" s="18"/>
      <c r="T291" s="18" t="str">
        <f>IF('Global Precios'!E292="","",'Global Precios'!E292)</f>
        <v>Excellent</v>
      </c>
      <c r="U291" s="18"/>
      <c r="V291" s="18">
        <f t="shared" si="2"/>
        <v>0</v>
      </c>
      <c r="W291" s="18"/>
      <c r="X291" s="18"/>
      <c r="Y291" s="18"/>
      <c r="Z291" s="18"/>
      <c r="AA291" s="18"/>
      <c r="AB291" s="18">
        <f t="shared" si="3"/>
        <v>1</v>
      </c>
      <c r="AC291" s="18">
        <f t="shared" si="4"/>
        <v>1</v>
      </c>
      <c r="AD291" s="18">
        <f t="shared" si="5"/>
        <v>1</v>
      </c>
      <c r="AE291" s="18">
        <f t="shared" si="6"/>
        <v>1</v>
      </c>
    </row>
    <row r="292">
      <c r="A292" s="9">
        <f>IF(E292="","", IF('Global Precios'!B293="",0,'Global Precios'!B293))</f>
        <v>0</v>
      </c>
      <c r="B292" s="14" t="str">
        <f>IF('Global Precios'!B293="","",'Global Precios'!B293)</f>
        <v/>
      </c>
      <c r="C292" s="18">
        <f>IF('Global Precios'!A293="","",'Global Precios'!A293)</f>
        <v>315</v>
      </c>
      <c r="D292" s="18"/>
      <c r="E292" s="25" t="str">
        <f>IF('Global Precios'!D293="","",'Global Precios'!D293)</f>
        <v>FELIX Sensaciones SARDINA x sobre de 0.85 g</v>
      </c>
      <c r="F292" s="18"/>
      <c r="G292" s="25">
        <f>IFERROR(VLOOKUP(C292,'BuscarV Stock'!$A$2:$C$478,3,0),"AAA")</f>
        <v>0</v>
      </c>
      <c r="H292" s="25">
        <f t="shared" si="1"/>
        <v>0.21</v>
      </c>
      <c r="I292" s="30">
        <f>IF('Global Precios'!H293="","",'Global Precios'!H293)</f>
        <v>684.2975207</v>
      </c>
      <c r="J292" s="82">
        <f>IF('Global Precios'!K293="","",'Global Precios'!K293)</f>
        <v>0.4</v>
      </c>
      <c r="K292" s="30">
        <f>IF('Global Precios'!Z293="Desactivado",0,IF('Global Precios'!L293="","",'Global Precios'!L293))</f>
        <v>0</v>
      </c>
      <c r="L292" s="18"/>
      <c r="M292" s="18"/>
      <c r="N292" s="18"/>
      <c r="O292" s="18"/>
      <c r="P292" s="18"/>
      <c r="Q292" s="18"/>
      <c r="R292" s="18" t="str">
        <f>IF('Global Precios'!F293="","",'Global Precios'!F293)</f>
        <v>Alimentos</v>
      </c>
      <c r="S292" s="18"/>
      <c r="T292" s="18" t="str">
        <f>IF('Global Precios'!E293="","",'Global Precios'!E293)</f>
        <v>Excellent</v>
      </c>
      <c r="U292" s="18"/>
      <c r="V292" s="18">
        <f t="shared" si="2"/>
        <v>0</v>
      </c>
      <c r="W292" s="18"/>
      <c r="X292" s="18"/>
      <c r="Y292" s="18"/>
      <c r="Z292" s="18"/>
      <c r="AA292" s="18"/>
      <c r="AB292" s="18">
        <f t="shared" si="3"/>
        <v>1</v>
      </c>
      <c r="AC292" s="18">
        <f t="shared" si="4"/>
        <v>1</v>
      </c>
      <c r="AD292" s="18">
        <f t="shared" si="5"/>
        <v>1</v>
      </c>
      <c r="AE292" s="18">
        <f t="shared" si="6"/>
        <v>1</v>
      </c>
    </row>
    <row r="293">
      <c r="A293" s="9">
        <f>IF(E293="","", IF('Global Precios'!B294="",0,'Global Precios'!B294))</f>
        <v>0</v>
      </c>
      <c r="B293" s="14" t="str">
        <f>IF('Global Precios'!B294="","",'Global Precios'!B294)</f>
        <v/>
      </c>
      <c r="C293" s="18">
        <f>IF('Global Precios'!A294="","",'Global Precios'!A294)</f>
        <v>316</v>
      </c>
      <c r="D293" s="18"/>
      <c r="E293" s="25" t="str">
        <f>IF('Global Precios'!D294="","",'Global Precios'!D294)</f>
        <v>HEPATOVET-C x blister de 10 comp.</v>
      </c>
      <c r="F293" s="18"/>
      <c r="G293" s="25">
        <f>IFERROR(VLOOKUP(C293,'BuscarV Stock'!$A$2:$C$478,3,0),"AAA")</f>
        <v>6</v>
      </c>
      <c r="H293" s="25">
        <f t="shared" si="1"/>
        <v>0.21</v>
      </c>
      <c r="I293" s="30">
        <f>IF('Global Precios'!H294="","",'Global Precios'!H294)</f>
        <v>1969.421488</v>
      </c>
      <c r="J293" s="82">
        <f>IF('Global Precios'!K294="","",'Global Precios'!K294)</f>
        <v>0.8</v>
      </c>
      <c r="K293" s="30">
        <f>IF('Global Precios'!Z294="Desactivado",0,IF('Global Precios'!L294="","",'Global Precios'!L294))</f>
        <v>4500</v>
      </c>
      <c r="L293" s="18"/>
      <c r="M293" s="18"/>
      <c r="N293" s="18"/>
      <c r="O293" s="18"/>
      <c r="P293" s="18"/>
      <c r="Q293" s="18"/>
      <c r="R293" s="18" t="str">
        <f>IF('Global Precios'!F294="","",'Global Precios'!F294)</f>
        <v>Medicamentos</v>
      </c>
      <c r="S293" s="18"/>
      <c r="T293" s="18" t="str">
        <f>IF('Global Precios'!E294="","",'Global Precios'!E294)</f>
        <v/>
      </c>
      <c r="U293" s="18"/>
      <c r="V293" s="18">
        <f t="shared" si="2"/>
        <v>0</v>
      </c>
      <c r="W293" s="18"/>
      <c r="X293" s="18"/>
      <c r="Y293" s="18"/>
      <c r="Z293" s="18"/>
      <c r="AA293" s="18"/>
      <c r="AB293" s="18">
        <f t="shared" si="3"/>
        <v>1</v>
      </c>
      <c r="AC293" s="18">
        <f t="shared" si="4"/>
        <v>1</v>
      </c>
      <c r="AD293" s="18">
        <f t="shared" si="5"/>
        <v>1</v>
      </c>
      <c r="AE293" s="18">
        <f t="shared" si="6"/>
        <v>1</v>
      </c>
    </row>
    <row r="294">
      <c r="A294" s="9">
        <f>IF(E294="","", IF('Global Precios'!B295="",0,'Global Precios'!B295))</f>
        <v>0</v>
      </c>
      <c r="B294" s="14" t="str">
        <f>IF('Global Precios'!B295="","",'Global Precios'!B295)</f>
        <v/>
      </c>
      <c r="C294" s="18">
        <f>IF('Global Precios'!A295="","",'Global Precios'!A295)</f>
        <v>317</v>
      </c>
      <c r="D294" s="18"/>
      <c r="E294" s="25" t="str">
        <f>IF('Global Precios'!D295="","",'Global Precios'!D295)</f>
        <v>ASPERPUL ANTIPARACITARIO EXTERNO</v>
      </c>
      <c r="F294" s="18"/>
      <c r="G294" s="25">
        <f>IFERROR(VLOOKUP(C294,'BuscarV Stock'!$A$2:$C$478,3,0),"AAA")</f>
        <v>0</v>
      </c>
      <c r="H294" s="25">
        <f t="shared" si="1"/>
        <v>0.21</v>
      </c>
      <c r="I294" s="30">
        <f>IF('Global Precios'!H295="","",'Global Precios'!H295)</f>
        <v>1171.07438</v>
      </c>
      <c r="J294" s="82">
        <f>IF('Global Precios'!K295="","",'Global Precios'!K295)</f>
        <v>0.8</v>
      </c>
      <c r="K294" s="30">
        <f>IF('Global Precios'!Z295="Desactivado",0,IF('Global Precios'!L295="","",'Global Precios'!L295))</f>
        <v>0</v>
      </c>
      <c r="L294" s="18"/>
      <c r="M294" s="18"/>
      <c r="N294" s="18"/>
      <c r="O294" s="18"/>
      <c r="P294" s="18"/>
      <c r="Q294" s="18"/>
      <c r="R294" s="18" t="str">
        <f>IF('Global Precios'!F295="","",'Global Precios'!F295)</f>
        <v>Medicamentos</v>
      </c>
      <c r="S294" s="18"/>
      <c r="T294" s="18" t="str">
        <f>IF('Global Precios'!E295="","",'Global Precios'!E295)</f>
        <v/>
      </c>
      <c r="U294" s="18"/>
      <c r="V294" s="18">
        <f t="shared" si="2"/>
        <v>0</v>
      </c>
      <c r="W294" s="18"/>
      <c r="X294" s="18"/>
      <c r="Y294" s="18"/>
      <c r="Z294" s="18"/>
      <c r="AA294" s="18"/>
      <c r="AB294" s="18">
        <f t="shared" si="3"/>
        <v>1</v>
      </c>
      <c r="AC294" s="18">
        <f t="shared" si="4"/>
        <v>1</v>
      </c>
      <c r="AD294" s="18">
        <f t="shared" si="5"/>
        <v>1</v>
      </c>
      <c r="AE294" s="18">
        <f t="shared" si="6"/>
        <v>1</v>
      </c>
    </row>
    <row r="295">
      <c r="A295" s="9">
        <f>IF(E295="","", IF('Global Precios'!B296="",0,'Global Precios'!B296))</f>
        <v>0</v>
      </c>
      <c r="B295" s="14" t="str">
        <f>IF('Global Precios'!B296="","",'Global Precios'!B296)</f>
        <v/>
      </c>
      <c r="C295" s="18">
        <f>IF('Global Precios'!A296="","",'Global Precios'!A296)</f>
        <v>318</v>
      </c>
      <c r="D295" s="18"/>
      <c r="E295" s="25" t="str">
        <f>IF('Global Precios'!D296="","",'Global Precios'!D296)</f>
        <v>CEPILLOS DE DIENTES PACK X 2</v>
      </c>
      <c r="F295" s="18"/>
      <c r="G295" s="25">
        <f>IFERROR(VLOOKUP(C295,'BuscarV Stock'!$A$2:$C$478,3,0),"AAA")</f>
        <v>0</v>
      </c>
      <c r="H295" s="25">
        <f t="shared" si="1"/>
        <v>0.21</v>
      </c>
      <c r="I295" s="30">
        <f>IF('Global Precios'!H296="","",'Global Precios'!H296)</f>
        <v>463</v>
      </c>
      <c r="J295" s="82">
        <f>IF('Global Precios'!K296="","",'Global Precios'!K296)</f>
        <v>1</v>
      </c>
      <c r="K295" s="30">
        <f>IF('Global Precios'!Z296="Desactivado",0,IF('Global Precios'!L296="","",'Global Precios'!L296))</f>
        <v>4500</v>
      </c>
      <c r="L295" s="18"/>
      <c r="M295" s="18"/>
      <c r="N295" s="18"/>
      <c r="O295" s="18"/>
      <c r="P295" s="18"/>
      <c r="Q295" s="18"/>
      <c r="R295" s="18" t="str">
        <f>IF('Global Precios'!F296="","",'Global Precios'!F296)</f>
        <v>Pet-shop</v>
      </c>
      <c r="S295" s="18"/>
      <c r="T295" s="18" t="str">
        <f>IF('Global Precios'!E296="","",'Global Precios'!E296)</f>
        <v/>
      </c>
      <c r="U295" s="18"/>
      <c r="V295" s="18">
        <f t="shared" si="2"/>
        <v>0</v>
      </c>
      <c r="W295" s="18"/>
      <c r="X295" s="18"/>
      <c r="Y295" s="18"/>
      <c r="Z295" s="18"/>
      <c r="AA295" s="18"/>
      <c r="AB295" s="18">
        <f t="shared" si="3"/>
        <v>1</v>
      </c>
      <c r="AC295" s="18">
        <f t="shared" si="4"/>
        <v>1</v>
      </c>
      <c r="AD295" s="18">
        <f t="shared" si="5"/>
        <v>1</v>
      </c>
      <c r="AE295" s="18">
        <f t="shared" si="6"/>
        <v>1</v>
      </c>
    </row>
    <row r="296">
      <c r="A296" s="9">
        <f>IF(E296="","", IF('Global Precios'!B297="",0,'Global Precios'!B297))</f>
        <v>0</v>
      </c>
      <c r="B296" s="14" t="str">
        <f>IF('Global Precios'!B297="","",'Global Precios'!B297)</f>
        <v/>
      </c>
      <c r="C296" s="18">
        <f>IF('Global Precios'!A297="","",'Global Precios'!A297)</f>
        <v>319</v>
      </c>
      <c r="D296" s="18"/>
      <c r="E296" s="25" t="str">
        <f>IF('Global Precios'!D297="","",'Global Precios'!D297)</f>
        <v>MANOPLA DE GOMA</v>
      </c>
      <c r="F296" s="18"/>
      <c r="G296" s="25">
        <f>IFERROR(VLOOKUP(C296,'BuscarV Stock'!$A$2:$C$478,3,0),"AAA")</f>
        <v>1</v>
      </c>
      <c r="H296" s="25">
        <f t="shared" si="1"/>
        <v>0.21</v>
      </c>
      <c r="I296" s="30">
        <f>IF('Global Precios'!H297="","",'Global Precios'!H297)</f>
        <v>268</v>
      </c>
      <c r="J296" s="82">
        <f>IF('Global Precios'!K297="","",'Global Precios'!K297)</f>
        <v>1</v>
      </c>
      <c r="K296" s="30">
        <f>IF('Global Precios'!Z297="Desactivado",0,IF('Global Precios'!L297="","",'Global Precios'!L297))</f>
        <v>0</v>
      </c>
      <c r="L296" s="18"/>
      <c r="M296" s="18"/>
      <c r="N296" s="18"/>
      <c r="O296" s="18"/>
      <c r="P296" s="18"/>
      <c r="Q296" s="18"/>
      <c r="R296" s="18" t="str">
        <f>IF('Global Precios'!F297="","",'Global Precios'!F297)</f>
        <v>Pet-shop</v>
      </c>
      <c r="S296" s="18"/>
      <c r="T296" s="18" t="str">
        <f>IF('Global Precios'!E297="","",'Global Precios'!E297)</f>
        <v/>
      </c>
      <c r="U296" s="18"/>
      <c r="V296" s="18">
        <f t="shared" si="2"/>
        <v>0</v>
      </c>
      <c r="W296" s="18"/>
      <c r="X296" s="18"/>
      <c r="Y296" s="18"/>
      <c r="Z296" s="18"/>
      <c r="AA296" s="18"/>
      <c r="AB296" s="18">
        <f t="shared" si="3"/>
        <v>1</v>
      </c>
      <c r="AC296" s="18">
        <f t="shared" si="4"/>
        <v>1</v>
      </c>
      <c r="AD296" s="18">
        <f t="shared" si="5"/>
        <v>1</v>
      </c>
      <c r="AE296" s="18">
        <f t="shared" si="6"/>
        <v>1</v>
      </c>
    </row>
    <row r="297">
      <c r="A297" s="9">
        <f>IF(E297="","", IF('Global Precios'!B298="",0,'Global Precios'!B298))</f>
        <v>0</v>
      </c>
      <c r="B297" s="14" t="str">
        <f>IF('Global Precios'!B298="","",'Global Precios'!B298)</f>
        <v/>
      </c>
      <c r="C297" s="18">
        <f>IF('Global Precios'!A298="","",'Global Precios'!A298)</f>
        <v>320</v>
      </c>
      <c r="D297" s="18"/>
      <c r="E297" s="25" t="str">
        <f>IF('Global Precios'!D298="","",'Global Precios'!D298)</f>
        <v>MOISES NIDO REGULABLE</v>
      </c>
      <c r="F297" s="18"/>
      <c r="G297" s="25">
        <f>IFERROR(VLOOKUP(C297,'BuscarV Stock'!$A$2:$C$478,3,0),"AAA")</f>
        <v>0</v>
      </c>
      <c r="H297" s="25">
        <f t="shared" si="1"/>
        <v>0.21</v>
      </c>
      <c r="I297" s="30">
        <f>IF('Global Precios'!H298="","",'Global Precios'!H298)</f>
        <v>2568</v>
      </c>
      <c r="J297" s="82">
        <f>IF('Global Precios'!K298="","",'Global Precios'!K298)</f>
        <v>0.8</v>
      </c>
      <c r="K297" s="30">
        <f>IF('Global Precios'!Z298="Desactivado",0,IF('Global Precios'!L298="","",'Global Precios'!L298))</f>
        <v>0</v>
      </c>
      <c r="L297" s="18"/>
      <c r="M297" s="18"/>
      <c r="N297" s="18"/>
      <c r="O297" s="18"/>
      <c r="P297" s="18"/>
      <c r="Q297" s="18"/>
      <c r="R297" s="18" t="str">
        <f>IF('Global Precios'!F298="","",'Global Precios'!F298)</f>
        <v>Pet-shop</v>
      </c>
      <c r="S297" s="18"/>
      <c r="T297" s="18" t="str">
        <f>IF('Global Precios'!E298="","",'Global Precios'!E298)</f>
        <v/>
      </c>
      <c r="U297" s="18"/>
      <c r="V297" s="18">
        <f t="shared" si="2"/>
        <v>0</v>
      </c>
      <c r="W297" s="18"/>
      <c r="X297" s="18"/>
      <c r="Y297" s="18"/>
      <c r="Z297" s="18"/>
      <c r="AA297" s="18"/>
      <c r="AB297" s="18">
        <f t="shared" si="3"/>
        <v>1</v>
      </c>
      <c r="AC297" s="18">
        <f t="shared" si="4"/>
        <v>1</v>
      </c>
      <c r="AD297" s="18">
        <f t="shared" si="5"/>
        <v>1</v>
      </c>
      <c r="AE297" s="18">
        <f t="shared" si="6"/>
        <v>1</v>
      </c>
    </row>
    <row r="298">
      <c r="A298" s="9">
        <f>IF(E298="","", IF('Global Precios'!B299="",0,'Global Precios'!B299))</f>
        <v>0</v>
      </c>
      <c r="B298" s="14" t="str">
        <f>IF('Global Precios'!B299="","",'Global Precios'!B299)</f>
        <v/>
      </c>
      <c r="C298" s="18">
        <f>IF('Global Precios'!A299="","",'Global Precios'!A299)</f>
        <v>321</v>
      </c>
      <c r="D298" s="18"/>
      <c r="E298" s="25" t="str">
        <f>IF('Global Precios'!D299="","",'Global Precios'!D299)</f>
        <v>GOLOCAN</v>
      </c>
      <c r="F298" s="18"/>
      <c r="G298" s="25">
        <f>IFERROR(VLOOKUP(C298,'BuscarV Stock'!$A$2:$C$478,3,0),"AAA")</f>
        <v>0</v>
      </c>
      <c r="H298" s="25">
        <f t="shared" si="1"/>
        <v>0.21</v>
      </c>
      <c r="I298" s="30">
        <f>IF('Global Precios'!H299="","",'Global Precios'!H299)</f>
        <v>262</v>
      </c>
      <c r="J298" s="82">
        <f>IF('Global Precios'!K299="","",'Global Precios'!K299)</f>
        <v>1</v>
      </c>
      <c r="K298" s="30">
        <f>IF('Global Precios'!Z299="Desactivado",0,IF('Global Precios'!L299="","",'Global Precios'!L299))</f>
        <v>0</v>
      </c>
      <c r="L298" s="18"/>
      <c r="M298" s="18"/>
      <c r="N298" s="18"/>
      <c r="O298" s="18"/>
      <c r="P298" s="18"/>
      <c r="Q298" s="18"/>
      <c r="R298" s="18" t="str">
        <f>IF('Global Precios'!F299="","",'Global Precios'!F299)</f>
        <v>Pet-shop</v>
      </c>
      <c r="S298" s="18"/>
      <c r="T298" s="18" t="str">
        <f>IF('Global Precios'!E299="","",'Global Precios'!E299)</f>
        <v/>
      </c>
      <c r="U298" s="18"/>
      <c r="V298" s="18">
        <f t="shared" si="2"/>
        <v>0</v>
      </c>
      <c r="W298" s="18"/>
      <c r="X298" s="18"/>
      <c r="Y298" s="18"/>
      <c r="Z298" s="18"/>
      <c r="AA298" s="18"/>
      <c r="AB298" s="18">
        <f t="shared" si="3"/>
        <v>1</v>
      </c>
      <c r="AC298" s="18">
        <f t="shared" si="4"/>
        <v>1</v>
      </c>
      <c r="AD298" s="18">
        <f t="shared" si="5"/>
        <v>1</v>
      </c>
      <c r="AE298" s="18">
        <f t="shared" si="6"/>
        <v>1</v>
      </c>
    </row>
    <row r="299">
      <c r="A299" s="9">
        <f>IF(E299="","", IF('Global Precios'!B300="",0,'Global Precios'!B300))</f>
        <v>0</v>
      </c>
      <c r="B299" s="14" t="str">
        <f>IF('Global Precios'!B300="","",'Global Precios'!B300)</f>
        <v/>
      </c>
      <c r="C299" s="18">
        <f>IF('Global Precios'!A300="","",'Global Precios'!A300)</f>
        <v>322</v>
      </c>
      <c r="D299" s="18"/>
      <c r="E299" s="25" t="str">
        <f>IF('Global Precios'!D300="","",'Global Precios'!D300)</f>
        <v>PELOTA OVAL RUGBY CON SOGA</v>
      </c>
      <c r="F299" s="18"/>
      <c r="G299" s="25">
        <f>IFERROR(VLOOKUP(C299,'BuscarV Stock'!$A$2:$C$478,3,0),"AAA")</f>
        <v>0</v>
      </c>
      <c r="H299" s="25">
        <f t="shared" si="1"/>
        <v>0.21</v>
      </c>
      <c r="I299" s="30">
        <f>IF('Global Precios'!H300="","",'Global Precios'!H300)</f>
        <v>574</v>
      </c>
      <c r="J299" s="82">
        <f>IF('Global Precios'!K300="","",'Global Precios'!K300)</f>
        <v>1</v>
      </c>
      <c r="K299" s="30">
        <f>IF('Global Precios'!Z300="Desactivado",0,IF('Global Precios'!L300="","",'Global Precios'!L300))</f>
        <v>0</v>
      </c>
      <c r="L299" s="18"/>
      <c r="M299" s="18"/>
      <c r="N299" s="18"/>
      <c r="O299" s="18"/>
      <c r="P299" s="18"/>
      <c r="Q299" s="18"/>
      <c r="R299" s="18" t="str">
        <f>IF('Global Precios'!F300="","",'Global Precios'!F300)</f>
        <v>Pet-shop</v>
      </c>
      <c r="S299" s="18"/>
      <c r="T299" s="18" t="str">
        <f>IF('Global Precios'!E300="","",'Global Precios'!E300)</f>
        <v/>
      </c>
      <c r="U299" s="18"/>
      <c r="V299" s="18">
        <f t="shared" si="2"/>
        <v>0</v>
      </c>
      <c r="W299" s="18"/>
      <c r="X299" s="18"/>
      <c r="Y299" s="18"/>
      <c r="Z299" s="18"/>
      <c r="AA299" s="18"/>
      <c r="AB299" s="18">
        <f t="shared" si="3"/>
        <v>1</v>
      </c>
      <c r="AC299" s="18">
        <f t="shared" si="4"/>
        <v>1</v>
      </c>
      <c r="AD299" s="18">
        <f t="shared" si="5"/>
        <v>1</v>
      </c>
      <c r="AE299" s="18">
        <f t="shared" si="6"/>
        <v>1</v>
      </c>
    </row>
    <row r="300">
      <c r="A300" s="9">
        <f>IF(E300="","", IF('Global Precios'!B301="",0,'Global Precios'!B301))</f>
        <v>0</v>
      </c>
      <c r="B300" s="14" t="str">
        <f>IF('Global Precios'!B301="","",'Global Precios'!B301)</f>
        <v/>
      </c>
      <c r="C300" s="18">
        <f>IF('Global Precios'!A301="","",'Global Precios'!A301)</f>
        <v>323</v>
      </c>
      <c r="D300" s="18"/>
      <c r="E300" s="25" t="str">
        <f>IF('Global Precios'!D301="","",'Global Precios'!D301)</f>
        <v>PEPINILLO</v>
      </c>
      <c r="F300" s="18"/>
      <c r="G300" s="25">
        <f>IFERROR(VLOOKUP(C300,'BuscarV Stock'!$A$2:$C$478,3,0),"AAA")</f>
        <v>0</v>
      </c>
      <c r="H300" s="25">
        <f t="shared" si="1"/>
        <v>0.21</v>
      </c>
      <c r="I300" s="30">
        <f>IF('Global Precios'!H301="","",'Global Precios'!H301)</f>
        <v>642</v>
      </c>
      <c r="J300" s="82">
        <f>IF('Global Precios'!K301="","",'Global Precios'!K301)</f>
        <v>1</v>
      </c>
      <c r="K300" s="30">
        <f>IF('Global Precios'!Z301="Desactivado",0,IF('Global Precios'!L301="","",'Global Precios'!L301))</f>
        <v>5500</v>
      </c>
      <c r="L300" s="18"/>
      <c r="M300" s="18"/>
      <c r="N300" s="18"/>
      <c r="O300" s="18"/>
      <c r="P300" s="18"/>
      <c r="Q300" s="18"/>
      <c r="R300" s="18" t="str">
        <f>IF('Global Precios'!F301="","",'Global Precios'!F301)</f>
        <v>Pet-shop</v>
      </c>
      <c r="S300" s="18"/>
      <c r="T300" s="18" t="str">
        <f>IF('Global Precios'!E301="","",'Global Precios'!E301)</f>
        <v/>
      </c>
      <c r="U300" s="18"/>
      <c r="V300" s="18">
        <f t="shared" si="2"/>
        <v>0</v>
      </c>
      <c r="W300" s="18"/>
      <c r="X300" s="18"/>
      <c r="Y300" s="18"/>
      <c r="Z300" s="18"/>
      <c r="AA300" s="18"/>
      <c r="AB300" s="18">
        <f t="shared" si="3"/>
        <v>1</v>
      </c>
      <c r="AC300" s="18">
        <f t="shared" si="4"/>
        <v>1</v>
      </c>
      <c r="AD300" s="18">
        <f t="shared" si="5"/>
        <v>1</v>
      </c>
      <c r="AE300" s="18">
        <f t="shared" si="6"/>
        <v>1</v>
      </c>
    </row>
    <row r="301">
      <c r="A301" s="9">
        <f>IF(E301="","", IF('Global Precios'!B302="",0,'Global Precios'!B302))</f>
        <v>0</v>
      </c>
      <c r="B301" s="14" t="str">
        <f>IF('Global Precios'!B302="","",'Global Precios'!B302)</f>
        <v/>
      </c>
      <c r="C301" s="18">
        <f>IF('Global Precios'!A302="","",'Global Precios'!A302)</f>
        <v>324</v>
      </c>
      <c r="D301" s="18"/>
      <c r="E301" s="25" t="str">
        <f>IF('Global Precios'!D302="","",'Global Precios'!D302)</f>
        <v>MOISES CUADRADO N° 1</v>
      </c>
      <c r="F301" s="18"/>
      <c r="G301" s="25">
        <f>IFERROR(VLOOKUP(C301,'BuscarV Stock'!$A$2:$C$478,3,0),"AAA")</f>
        <v>0</v>
      </c>
      <c r="H301" s="25">
        <f t="shared" si="1"/>
        <v>0.21</v>
      </c>
      <c r="I301" s="30">
        <f>IF('Global Precios'!H302="","",'Global Precios'!H302)</f>
        <v>2836</v>
      </c>
      <c r="J301" s="82">
        <f>IF('Global Precios'!K302="","",'Global Precios'!K302)</f>
        <v>0.8</v>
      </c>
      <c r="K301" s="30">
        <f>IF('Global Precios'!Z302="Desactivado",0,IF('Global Precios'!L302="","",'Global Precios'!L302))</f>
        <v>0</v>
      </c>
      <c r="L301" s="18"/>
      <c r="M301" s="18"/>
      <c r="N301" s="18"/>
      <c r="O301" s="18"/>
      <c r="P301" s="18"/>
      <c r="Q301" s="18"/>
      <c r="R301" s="18" t="str">
        <f>IF('Global Precios'!F302="","",'Global Precios'!F302)</f>
        <v>Pet-shop</v>
      </c>
      <c r="S301" s="18"/>
      <c r="T301" s="18" t="str">
        <f>IF('Global Precios'!E302="","",'Global Precios'!E302)</f>
        <v/>
      </c>
      <c r="U301" s="18"/>
      <c r="V301" s="18">
        <f t="shared" si="2"/>
        <v>0</v>
      </c>
      <c r="W301" s="18"/>
      <c r="X301" s="18"/>
      <c r="Y301" s="18"/>
      <c r="Z301" s="18"/>
      <c r="AA301" s="18"/>
      <c r="AB301" s="18">
        <f t="shared" si="3"/>
        <v>1</v>
      </c>
      <c r="AC301" s="18">
        <f t="shared" si="4"/>
        <v>1</v>
      </c>
      <c r="AD301" s="18">
        <f t="shared" si="5"/>
        <v>1</v>
      </c>
      <c r="AE301" s="18">
        <f t="shared" si="6"/>
        <v>1</v>
      </c>
    </row>
    <row r="302">
      <c r="A302" s="9">
        <f>IF(E302="","", IF('Global Precios'!B303="",0,'Global Precios'!B303))</f>
        <v>0</v>
      </c>
      <c r="B302" s="14" t="str">
        <f>IF('Global Precios'!B303="","",'Global Precios'!B303)</f>
        <v/>
      </c>
      <c r="C302" s="18">
        <f>IF('Global Precios'!A303="","",'Global Precios'!A303)</f>
        <v>325</v>
      </c>
      <c r="D302" s="18"/>
      <c r="E302" s="25" t="str">
        <f>IF('Global Precios'!D303="","",'Global Precios'!D303)</f>
        <v>MOISES CUADRADO N° 2</v>
      </c>
      <c r="F302" s="18"/>
      <c r="G302" s="25">
        <f>IFERROR(VLOOKUP(C302,'BuscarV Stock'!$A$2:$C$478,3,0),"AAA")</f>
        <v>0</v>
      </c>
      <c r="H302" s="25">
        <f t="shared" si="1"/>
        <v>0.21</v>
      </c>
      <c r="I302" s="30">
        <f>IF('Global Precios'!H303="","",'Global Precios'!H303)</f>
        <v>3050</v>
      </c>
      <c r="J302" s="82">
        <f>IF('Global Precios'!K303="","",'Global Precios'!K303)</f>
        <v>0.7</v>
      </c>
      <c r="K302" s="30">
        <f>IF('Global Precios'!Z303="Desactivado",0,IF('Global Precios'!L303="","",'Global Precios'!L303))</f>
        <v>0</v>
      </c>
      <c r="L302" s="18"/>
      <c r="M302" s="18"/>
      <c r="N302" s="18"/>
      <c r="O302" s="18"/>
      <c r="P302" s="18"/>
      <c r="Q302" s="18"/>
      <c r="R302" s="18" t="str">
        <f>IF('Global Precios'!F303="","",'Global Precios'!F303)</f>
        <v>Pet-shop</v>
      </c>
      <c r="S302" s="18"/>
      <c r="T302" s="18" t="str">
        <f>IF('Global Precios'!E303="","",'Global Precios'!E303)</f>
        <v/>
      </c>
      <c r="U302" s="18"/>
      <c r="V302" s="18">
        <f t="shared" si="2"/>
        <v>0</v>
      </c>
      <c r="W302" s="18"/>
      <c r="X302" s="18"/>
      <c r="Y302" s="18"/>
      <c r="Z302" s="18"/>
      <c r="AA302" s="18"/>
      <c r="AB302" s="18">
        <f t="shared" si="3"/>
        <v>1</v>
      </c>
      <c r="AC302" s="18">
        <f t="shared" si="4"/>
        <v>1</v>
      </c>
      <c r="AD302" s="18">
        <f t="shared" si="5"/>
        <v>1</v>
      </c>
      <c r="AE302" s="18">
        <f t="shared" si="6"/>
        <v>1</v>
      </c>
    </row>
    <row r="303">
      <c r="A303" s="9">
        <f>IF(E303="","", IF('Global Precios'!B304="",0,'Global Precios'!B304))</f>
        <v>0</v>
      </c>
      <c r="B303" s="14" t="str">
        <f>IF('Global Precios'!B304="","",'Global Precios'!B304)</f>
        <v/>
      </c>
      <c r="C303" s="18">
        <f>IF('Global Precios'!A304="","",'Global Precios'!A304)</f>
        <v>326</v>
      </c>
      <c r="D303" s="18"/>
      <c r="E303" s="25" t="str">
        <f>IF('Global Precios'!D304="","",'Global Precios'!D304)</f>
        <v>MOISES CUADRADO N°3</v>
      </c>
      <c r="F303" s="18"/>
      <c r="G303" s="25">
        <f>IFERROR(VLOOKUP(C303,'BuscarV Stock'!$A$2:$C$478,3,0),"AAA")</f>
        <v>0</v>
      </c>
      <c r="H303" s="25">
        <f t="shared" si="1"/>
        <v>0.21</v>
      </c>
      <c r="I303" s="30">
        <f>IF('Global Precios'!H304="","",'Global Precios'!H304)</f>
        <v>3317</v>
      </c>
      <c r="J303" s="82">
        <f>IF('Global Precios'!K304="","",'Global Precios'!K304)</f>
        <v>0.7</v>
      </c>
      <c r="K303" s="30">
        <f>IF('Global Precios'!Z304="Desactivado",0,IF('Global Precios'!L304="","",'Global Precios'!L304))</f>
        <v>0</v>
      </c>
      <c r="L303" s="18"/>
      <c r="M303" s="18"/>
      <c r="N303" s="18"/>
      <c r="O303" s="18"/>
      <c r="P303" s="18"/>
      <c r="Q303" s="18"/>
      <c r="R303" s="18" t="str">
        <f>IF('Global Precios'!F304="","",'Global Precios'!F304)</f>
        <v>Pet-shop</v>
      </c>
      <c r="S303" s="18"/>
      <c r="T303" s="18" t="str">
        <f>IF('Global Precios'!E304="","",'Global Precios'!E304)</f>
        <v/>
      </c>
      <c r="U303" s="18"/>
      <c r="V303" s="18">
        <f t="shared" si="2"/>
        <v>0</v>
      </c>
      <c r="W303" s="18"/>
      <c r="X303" s="18"/>
      <c r="Y303" s="18"/>
      <c r="Z303" s="18"/>
      <c r="AA303" s="18"/>
      <c r="AB303" s="18">
        <f t="shared" si="3"/>
        <v>1</v>
      </c>
      <c r="AC303" s="18">
        <f t="shared" si="4"/>
        <v>1</v>
      </c>
      <c r="AD303" s="18">
        <f t="shared" si="5"/>
        <v>1</v>
      </c>
      <c r="AE303" s="18">
        <f t="shared" si="6"/>
        <v>1</v>
      </c>
    </row>
    <row r="304">
      <c r="A304" s="9">
        <f>IF(E304="","", IF('Global Precios'!B305="",0,'Global Precios'!B305))</f>
        <v>0</v>
      </c>
      <c r="B304" s="14" t="str">
        <f>IF('Global Precios'!B305="","",'Global Precios'!B305)</f>
        <v/>
      </c>
      <c r="C304" s="18">
        <f>IF('Global Precios'!A305="","",'Global Precios'!A305)</f>
        <v>327</v>
      </c>
      <c r="D304" s="18"/>
      <c r="E304" s="25" t="str">
        <f>IF('Global Precios'!D305="","",'Global Precios'!D305)</f>
        <v>JUGUETE DOSIFICADOR PARA RELLENAR</v>
      </c>
      <c r="F304" s="18"/>
      <c r="G304" s="25">
        <f>IFERROR(VLOOKUP(C304,'BuscarV Stock'!$A$2:$C$478,3,0),"AAA")</f>
        <v>0</v>
      </c>
      <c r="H304" s="25">
        <f t="shared" si="1"/>
        <v>0.21</v>
      </c>
      <c r="I304" s="30">
        <f>IF('Global Precios'!H305="","",'Global Precios'!H305)</f>
        <v>830</v>
      </c>
      <c r="J304" s="82">
        <f>IF('Global Precios'!K305="","",'Global Precios'!K305)</f>
        <v>1</v>
      </c>
      <c r="K304" s="30">
        <f>IF('Global Precios'!Z305="Desactivado",0,IF('Global Precios'!L305="","",'Global Precios'!L305))</f>
        <v>0</v>
      </c>
      <c r="L304" s="18"/>
      <c r="M304" s="18"/>
      <c r="N304" s="18"/>
      <c r="O304" s="18"/>
      <c r="P304" s="18"/>
      <c r="Q304" s="18"/>
      <c r="R304" s="18" t="str">
        <f>IF('Global Precios'!F305="","",'Global Precios'!F305)</f>
        <v>Pet-shop</v>
      </c>
      <c r="S304" s="18"/>
      <c r="T304" s="18" t="str">
        <f>IF('Global Precios'!E305="","",'Global Precios'!E305)</f>
        <v/>
      </c>
      <c r="U304" s="18"/>
      <c r="V304" s="18">
        <f t="shared" si="2"/>
        <v>0</v>
      </c>
      <c r="W304" s="18"/>
      <c r="X304" s="18"/>
      <c r="Y304" s="18"/>
      <c r="Z304" s="18"/>
      <c r="AA304" s="18"/>
      <c r="AB304" s="18">
        <f t="shared" si="3"/>
        <v>1</v>
      </c>
      <c r="AC304" s="18">
        <f t="shared" si="4"/>
        <v>1</v>
      </c>
      <c r="AD304" s="18">
        <f t="shared" si="5"/>
        <v>1</v>
      </c>
      <c r="AE304" s="18">
        <f t="shared" si="6"/>
        <v>1</v>
      </c>
    </row>
    <row r="305">
      <c r="A305" s="9">
        <f>IF(E305="","", IF('Global Precios'!B306="",0,'Global Precios'!B306))</f>
        <v>0</v>
      </c>
      <c r="B305" s="14" t="str">
        <f>IF('Global Precios'!B306="","",'Global Precios'!B306)</f>
        <v/>
      </c>
      <c r="C305" s="18">
        <f>IF('Global Precios'!A306="","",'Global Precios'!A306)</f>
        <v>328</v>
      </c>
      <c r="D305" s="18"/>
      <c r="E305" s="25" t="str">
        <f>IF('Global Precios'!D306="","",'Global Precios'!D306)</f>
        <v>CONJUNTO PRETAL Y CORREA ESTAMP XXL</v>
      </c>
      <c r="F305" s="18"/>
      <c r="G305" s="25">
        <f>IFERROR(VLOOKUP(C305,'BuscarV Stock'!$A$2:$C$478,3,0),"AAA")</f>
        <v>0</v>
      </c>
      <c r="H305" s="25">
        <f t="shared" si="1"/>
        <v>0.21</v>
      </c>
      <c r="I305" s="30">
        <f>IF('Global Precios'!H306="","",'Global Precios'!H306)</f>
        <v>1059</v>
      </c>
      <c r="J305" s="82">
        <f>IF('Global Precios'!K306="","",'Global Precios'!K306)</f>
        <v>1</v>
      </c>
      <c r="K305" s="30">
        <f>IF('Global Precios'!Z306="Desactivado",0,IF('Global Precios'!L306="","",'Global Precios'!L306))</f>
        <v>14000</v>
      </c>
      <c r="L305" s="18"/>
      <c r="M305" s="18"/>
      <c r="N305" s="18"/>
      <c r="O305" s="18"/>
      <c r="P305" s="18"/>
      <c r="Q305" s="18"/>
      <c r="R305" s="18" t="str">
        <f>IF('Global Precios'!F306="","",'Global Precios'!F306)</f>
        <v>Pet-shop</v>
      </c>
      <c r="S305" s="18"/>
      <c r="T305" s="18" t="str">
        <f>IF('Global Precios'!E306="","",'Global Precios'!E306)</f>
        <v/>
      </c>
      <c r="U305" s="18"/>
      <c r="V305" s="18">
        <f t="shared" si="2"/>
        <v>0</v>
      </c>
      <c r="W305" s="18"/>
      <c r="X305" s="18"/>
      <c r="Y305" s="18"/>
      <c r="Z305" s="18"/>
      <c r="AA305" s="18"/>
      <c r="AB305" s="18">
        <f t="shared" si="3"/>
        <v>1</v>
      </c>
      <c r="AC305" s="18">
        <f t="shared" si="4"/>
        <v>1</v>
      </c>
      <c r="AD305" s="18">
        <f t="shared" si="5"/>
        <v>1</v>
      </c>
      <c r="AE305" s="18">
        <f t="shared" si="6"/>
        <v>1</v>
      </c>
    </row>
    <row r="306">
      <c r="A306" s="9">
        <f>IF(E306="","", IF('Global Precios'!B307="",0,'Global Precios'!B307))</f>
        <v>0</v>
      </c>
      <c r="B306" s="14" t="str">
        <f>IF('Global Precios'!B307="","",'Global Precios'!B307)</f>
        <v/>
      </c>
      <c r="C306" s="18">
        <f>IF('Global Precios'!A307="","",'Global Precios'!A307)</f>
        <v>329</v>
      </c>
      <c r="D306" s="18"/>
      <c r="E306" s="25" t="str">
        <f>IF('Global Precios'!D307="","",'Global Precios'!D307)</f>
        <v>ARO MULTICOLOR GRANDE</v>
      </c>
      <c r="F306" s="18"/>
      <c r="G306" s="25">
        <f>IFERROR(VLOOKUP(C306,'BuscarV Stock'!$A$2:$C$478,3,0),"AAA")</f>
        <v>0</v>
      </c>
      <c r="H306" s="25">
        <f t="shared" si="1"/>
        <v>0.21</v>
      </c>
      <c r="I306" s="30">
        <f>IF('Global Precios'!H307="","",'Global Precios'!H307)</f>
        <v>553</v>
      </c>
      <c r="J306" s="82">
        <f>IF('Global Precios'!K307="","",'Global Precios'!K307)</f>
        <v>0.8</v>
      </c>
      <c r="K306" s="30">
        <f>IF('Global Precios'!Z307="Desactivado",0,IF('Global Precios'!L307="","",'Global Precios'!L307))</f>
        <v>6000</v>
      </c>
      <c r="L306" s="18"/>
      <c r="M306" s="18"/>
      <c r="N306" s="18"/>
      <c r="O306" s="18"/>
      <c r="P306" s="18"/>
      <c r="Q306" s="18"/>
      <c r="R306" s="18" t="str">
        <f>IF('Global Precios'!F307="","",'Global Precios'!F307)</f>
        <v>Pet-shop</v>
      </c>
      <c r="S306" s="18"/>
      <c r="T306" s="18" t="str">
        <f>IF('Global Precios'!E307="","",'Global Precios'!E307)</f>
        <v/>
      </c>
      <c r="U306" s="18"/>
      <c r="V306" s="18">
        <f t="shared" si="2"/>
        <v>0</v>
      </c>
      <c r="W306" s="18"/>
      <c r="X306" s="18"/>
      <c r="Y306" s="18"/>
      <c r="Z306" s="18"/>
      <c r="AA306" s="18"/>
      <c r="AB306" s="18">
        <f t="shared" si="3"/>
        <v>1</v>
      </c>
      <c r="AC306" s="18">
        <f t="shared" si="4"/>
        <v>1</v>
      </c>
      <c r="AD306" s="18">
        <f t="shared" si="5"/>
        <v>1</v>
      </c>
      <c r="AE306" s="18">
        <f t="shared" si="6"/>
        <v>1</v>
      </c>
    </row>
    <row r="307">
      <c r="A307" s="9">
        <f>IF(E307="","", IF('Global Precios'!B308="",0,'Global Precios'!B308))</f>
        <v>0</v>
      </c>
      <c r="B307" s="14" t="str">
        <f>IF('Global Precios'!B308="","",'Global Precios'!B308)</f>
        <v/>
      </c>
      <c r="C307" s="18">
        <f>IF('Global Precios'!A308="","",'Global Precios'!A308)</f>
        <v>330</v>
      </c>
      <c r="D307" s="18"/>
      <c r="E307" s="25" t="str">
        <f>IF('Global Precios'!D308="","",'Global Precios'!D308)</f>
        <v>ARO MULTICOLOR CHICO</v>
      </c>
      <c r="F307" s="18"/>
      <c r="G307" s="25">
        <f>IFERROR(VLOOKUP(C307,'BuscarV Stock'!$A$2:$C$478,3,0),"AAA")</f>
        <v>0</v>
      </c>
      <c r="H307" s="25">
        <f t="shared" si="1"/>
        <v>0.21</v>
      </c>
      <c r="I307" s="30">
        <f>IF('Global Precios'!H308="","",'Global Precios'!H308)</f>
        <v>394</v>
      </c>
      <c r="J307" s="82">
        <f>IF('Global Precios'!K308="","",'Global Precios'!K308)</f>
        <v>1</v>
      </c>
      <c r="K307" s="30">
        <f>IF('Global Precios'!Z308="Desactivado",0,IF('Global Precios'!L308="","",'Global Precios'!L308))</f>
        <v>5000</v>
      </c>
      <c r="L307" s="18"/>
      <c r="M307" s="18"/>
      <c r="N307" s="18"/>
      <c r="O307" s="18"/>
      <c r="P307" s="18"/>
      <c r="Q307" s="18"/>
      <c r="R307" s="18" t="str">
        <f>IF('Global Precios'!F308="","",'Global Precios'!F308)</f>
        <v>Pet-shop</v>
      </c>
      <c r="S307" s="18"/>
      <c r="T307" s="18" t="str">
        <f>IF('Global Precios'!E308="","",'Global Precios'!E308)</f>
        <v/>
      </c>
      <c r="U307" s="18"/>
      <c r="V307" s="18">
        <f t="shared" si="2"/>
        <v>0</v>
      </c>
      <c r="W307" s="18"/>
      <c r="X307" s="18"/>
      <c r="Y307" s="18"/>
      <c r="Z307" s="18"/>
      <c r="AA307" s="18"/>
      <c r="AB307" s="18">
        <f t="shared" si="3"/>
        <v>1</v>
      </c>
      <c r="AC307" s="18">
        <f t="shared" si="4"/>
        <v>1</v>
      </c>
      <c r="AD307" s="18">
        <f t="shared" si="5"/>
        <v>1</v>
      </c>
      <c r="AE307" s="18">
        <f t="shared" si="6"/>
        <v>1</v>
      </c>
    </row>
    <row r="308">
      <c r="A308" s="9">
        <f>IF(E308="","", IF('Global Precios'!B309="",0,'Global Precios'!B309))</f>
        <v>0</v>
      </c>
      <c r="B308" s="14" t="str">
        <f>IF('Global Precios'!B309="","",'Global Precios'!B309)</f>
        <v/>
      </c>
      <c r="C308" s="18">
        <f>IF('Global Precios'!A309="","",'Global Precios'!A309)</f>
        <v>331</v>
      </c>
      <c r="D308" s="18"/>
      <c r="E308" s="25" t="str">
        <f>IF('Global Precios'!D309="","",'Global Precios'!D309)</f>
        <v>MORDILLO PESA</v>
      </c>
      <c r="F308" s="18"/>
      <c r="G308" s="25">
        <f>IFERROR(VLOOKUP(C308,'BuscarV Stock'!$A$2:$C$478,3,0),"AAA")</f>
        <v>0</v>
      </c>
      <c r="H308" s="25">
        <f t="shared" si="1"/>
        <v>0.21</v>
      </c>
      <c r="I308" s="30">
        <f>IF('Global Precios'!H309="","",'Global Precios'!H309)</f>
        <v>330</v>
      </c>
      <c r="J308" s="82">
        <f>IF('Global Precios'!K309="","",'Global Precios'!K309)</f>
        <v>1</v>
      </c>
      <c r="K308" s="30">
        <f>IF('Global Precios'!Z309="Desactivado",0,IF('Global Precios'!L309="","",'Global Precios'!L309))</f>
        <v>0</v>
      </c>
      <c r="L308" s="18"/>
      <c r="M308" s="18"/>
      <c r="N308" s="18"/>
      <c r="O308" s="18"/>
      <c r="P308" s="18"/>
      <c r="Q308" s="18"/>
      <c r="R308" s="18" t="str">
        <f>IF('Global Precios'!F309="","",'Global Precios'!F309)</f>
        <v>Pet-shop</v>
      </c>
      <c r="S308" s="18"/>
      <c r="T308" s="18" t="str">
        <f>IF('Global Precios'!E309="","",'Global Precios'!E309)</f>
        <v/>
      </c>
      <c r="U308" s="18"/>
      <c r="V308" s="18">
        <f t="shared" si="2"/>
        <v>0</v>
      </c>
      <c r="W308" s="18"/>
      <c r="X308" s="18"/>
      <c r="Y308" s="18"/>
      <c r="Z308" s="18"/>
      <c r="AA308" s="18"/>
      <c r="AB308" s="18">
        <f t="shared" si="3"/>
        <v>1</v>
      </c>
      <c r="AC308" s="18">
        <f t="shared" si="4"/>
        <v>1</v>
      </c>
      <c r="AD308" s="18">
        <f t="shared" si="5"/>
        <v>1</v>
      </c>
      <c r="AE308" s="18">
        <f t="shared" si="6"/>
        <v>1</v>
      </c>
    </row>
    <row r="309">
      <c r="A309" s="9">
        <f>IF(E309="","", IF('Global Precios'!B310="",0,'Global Precios'!B310))</f>
        <v>0</v>
      </c>
      <c r="B309" s="14" t="str">
        <f>IF('Global Precios'!B310="","",'Global Precios'!B310)</f>
        <v/>
      </c>
      <c r="C309" s="18">
        <f>IF('Global Precios'!A310="","",'Global Precios'!A310)</f>
        <v>332</v>
      </c>
      <c r="D309" s="18"/>
      <c r="E309" s="25" t="str">
        <f>IF('Global Precios'!D310="","",'Global Precios'!D310)</f>
        <v>PRETAL NYLON N 5</v>
      </c>
      <c r="F309" s="18"/>
      <c r="G309" s="25">
        <f>IFERROR(VLOOKUP(C309,'BuscarV Stock'!$A$2:$C$478,3,0),"AAA")</f>
        <v>0</v>
      </c>
      <c r="H309" s="25">
        <f t="shared" si="1"/>
        <v>0.21</v>
      </c>
      <c r="I309" s="30">
        <f>IF('Global Precios'!H310="","",'Global Precios'!H310)</f>
        <v>450</v>
      </c>
      <c r="J309" s="82">
        <f>IF('Global Precios'!K310="","",'Global Precios'!K310)</f>
        <v>1</v>
      </c>
      <c r="K309" s="30">
        <f>IF('Global Precios'!Z310="Desactivado",0,IF('Global Precios'!L310="","",'Global Precios'!L310))</f>
        <v>4500</v>
      </c>
      <c r="L309" s="18"/>
      <c r="M309" s="18"/>
      <c r="N309" s="18"/>
      <c r="O309" s="18"/>
      <c r="P309" s="18"/>
      <c r="Q309" s="18"/>
      <c r="R309" s="18" t="str">
        <f>IF('Global Precios'!F310="","",'Global Precios'!F310)</f>
        <v>Pet-shop</v>
      </c>
      <c r="S309" s="18"/>
      <c r="T309" s="18" t="str">
        <f>IF('Global Precios'!E310="","",'Global Precios'!E310)</f>
        <v/>
      </c>
      <c r="U309" s="18"/>
      <c r="V309" s="18">
        <f t="shared" si="2"/>
        <v>0</v>
      </c>
      <c r="W309" s="18"/>
      <c r="X309" s="18"/>
      <c r="Y309" s="18"/>
      <c r="Z309" s="18"/>
      <c r="AA309" s="18"/>
      <c r="AB309" s="18">
        <f t="shared" si="3"/>
        <v>1</v>
      </c>
      <c r="AC309" s="18">
        <f t="shared" si="4"/>
        <v>1</v>
      </c>
      <c r="AD309" s="18">
        <f t="shared" si="5"/>
        <v>1</v>
      </c>
      <c r="AE309" s="18">
        <f t="shared" si="6"/>
        <v>1</v>
      </c>
    </row>
    <row r="310">
      <c r="A310" s="9">
        <f>IF(E310="","", IF('Global Precios'!B311="",0,'Global Precios'!B311))</f>
        <v>0</v>
      </c>
      <c r="B310" s="14" t="str">
        <f>IF('Global Precios'!B311="","",'Global Precios'!B311)</f>
        <v/>
      </c>
      <c r="C310" s="18">
        <f>IF('Global Precios'!A311="","",'Global Precios'!A311)</f>
        <v>333</v>
      </c>
      <c r="D310" s="18"/>
      <c r="E310" s="25" t="str">
        <f>IF('Global Precios'!D311="","",'Global Precios'!D311)</f>
        <v>CONJUNTO PRETAL Y CORREA ESTAMP TALLE S</v>
      </c>
      <c r="F310" s="18"/>
      <c r="G310" s="25">
        <f>IFERROR(VLOOKUP(C310,'BuscarV Stock'!$A$2:$C$478,3,0),"AAA")</f>
        <v>0</v>
      </c>
      <c r="H310" s="25">
        <f t="shared" si="1"/>
        <v>0.21</v>
      </c>
      <c r="I310" s="30">
        <f>IF('Global Precios'!H311="","",'Global Precios'!H311)</f>
        <v>589</v>
      </c>
      <c r="J310" s="82">
        <f>IF('Global Precios'!K311="","",'Global Precios'!K311)</f>
        <v>1</v>
      </c>
      <c r="K310" s="30">
        <f>IF('Global Precios'!Z311="Desactivado",0,IF('Global Precios'!L311="","",'Global Precios'!L311))</f>
        <v>4000</v>
      </c>
      <c r="L310" s="18"/>
      <c r="M310" s="18"/>
      <c r="N310" s="18"/>
      <c r="O310" s="18"/>
      <c r="P310" s="18"/>
      <c r="Q310" s="18"/>
      <c r="R310" s="18" t="str">
        <f>IF('Global Precios'!F311="","",'Global Precios'!F311)</f>
        <v>Pet-shop</v>
      </c>
      <c r="S310" s="18"/>
      <c r="T310" s="18" t="str">
        <f>IF('Global Precios'!E311="","",'Global Precios'!E311)</f>
        <v/>
      </c>
      <c r="U310" s="18"/>
      <c r="V310" s="18">
        <f t="shared" si="2"/>
        <v>0</v>
      </c>
      <c r="W310" s="18"/>
      <c r="X310" s="18"/>
      <c r="Y310" s="18"/>
      <c r="Z310" s="18"/>
      <c r="AA310" s="18"/>
      <c r="AB310" s="18">
        <f t="shared" si="3"/>
        <v>1</v>
      </c>
      <c r="AC310" s="18">
        <f t="shared" si="4"/>
        <v>1</v>
      </c>
      <c r="AD310" s="18">
        <f t="shared" si="5"/>
        <v>1</v>
      </c>
      <c r="AE310" s="18">
        <f t="shared" si="6"/>
        <v>1</v>
      </c>
    </row>
    <row r="311">
      <c r="A311" s="9">
        <f>IF(E311="","", IF('Global Precios'!B312="",0,'Global Precios'!B312))</f>
        <v>0</v>
      </c>
      <c r="B311" s="14" t="str">
        <f>IF('Global Precios'!B312="","",'Global Precios'!B312)</f>
        <v/>
      </c>
      <c r="C311" s="18">
        <f>IF('Global Precios'!A312="","",'Global Precios'!A312)</f>
        <v>334</v>
      </c>
      <c r="D311" s="18"/>
      <c r="E311" s="25" t="str">
        <f>IF('Global Precios'!D312="","",'Global Precios'!D312)</f>
        <v>TONANVIT X 100 ML</v>
      </c>
      <c r="F311" s="18"/>
      <c r="G311" s="25">
        <f>IFERROR(VLOOKUP(C311,'BuscarV Stock'!$A$2:$C$478,3,0),"AAA")</f>
        <v>1</v>
      </c>
      <c r="H311" s="25">
        <f t="shared" si="1"/>
        <v>0.21</v>
      </c>
      <c r="I311" s="30">
        <f>IF('Global Precios'!H312="","",'Global Precios'!H312)</f>
        <v>8200</v>
      </c>
      <c r="J311" s="82">
        <f>IF('Global Precios'!K312="","",'Global Precios'!K312)</f>
        <v>0.8</v>
      </c>
      <c r="K311" s="30">
        <f>IF('Global Precios'!Z312="Desactivado",0,IF('Global Precios'!L312="","",'Global Precios'!L312))</f>
        <v>18000</v>
      </c>
      <c r="L311" s="18"/>
      <c r="M311" s="18"/>
      <c r="N311" s="18"/>
      <c r="O311" s="18"/>
      <c r="P311" s="18"/>
      <c r="Q311" s="18"/>
      <c r="R311" s="18" t="str">
        <f>IF('Global Precios'!F312="","",'Global Precios'!F312)</f>
        <v>Medicamentos</v>
      </c>
      <c r="S311" s="18"/>
      <c r="T311" s="18" t="str">
        <f>IF('Global Precios'!E312="","",'Global Precios'!E312)</f>
        <v/>
      </c>
      <c r="U311" s="18"/>
      <c r="V311" s="18">
        <f t="shared" si="2"/>
        <v>0</v>
      </c>
      <c r="W311" s="18"/>
      <c r="X311" s="18"/>
      <c r="Y311" s="18"/>
      <c r="Z311" s="18"/>
      <c r="AA311" s="18"/>
      <c r="AB311" s="18">
        <f t="shared" si="3"/>
        <v>1</v>
      </c>
      <c r="AC311" s="18">
        <f t="shared" si="4"/>
        <v>1</v>
      </c>
      <c r="AD311" s="18">
        <f t="shared" si="5"/>
        <v>1</v>
      </c>
      <c r="AE311" s="18">
        <f t="shared" si="6"/>
        <v>1</v>
      </c>
    </row>
    <row r="312">
      <c r="A312" s="9">
        <f>IF(E312="","", IF('Global Precios'!B313="",0,'Global Precios'!B313))</f>
        <v>0</v>
      </c>
      <c r="B312" s="14" t="str">
        <f>IF('Global Precios'!B313="","",'Global Precios'!B313)</f>
        <v/>
      </c>
      <c r="C312" s="18">
        <f>IF('Global Precios'!A313="","",'Global Precios'!A313)</f>
        <v>335</v>
      </c>
      <c r="D312" s="18"/>
      <c r="E312" s="25" t="str">
        <f>IF('Global Precios'!D313="","",'Global Precios'!D313)</f>
        <v>BRAVECTO 40 a 56 kg x 1 compr.</v>
      </c>
      <c r="F312" s="18"/>
      <c r="G312" s="25">
        <f>IFERROR(VLOOKUP(C312,'BuscarV Stock'!$A$2:$C$478,3,0),"AAA")</f>
        <v>0</v>
      </c>
      <c r="H312" s="25">
        <f t="shared" si="1"/>
        <v>0.21</v>
      </c>
      <c r="I312" s="30">
        <f>IF('Global Precios'!H313="","",'Global Precios'!H313)</f>
        <v>28099.17355</v>
      </c>
      <c r="J312" s="82">
        <f>IF('Global Precios'!K313="","",'Global Precios'!K313)</f>
        <v>0.3</v>
      </c>
      <c r="K312" s="30">
        <f>IF('Global Precios'!Z313="Desactivado",0,IF('Global Precios'!L313="","",'Global Precios'!L313))</f>
        <v>0</v>
      </c>
      <c r="L312" s="18"/>
      <c r="M312" s="18"/>
      <c r="N312" s="18"/>
      <c r="O312" s="18"/>
      <c r="P312" s="18"/>
      <c r="Q312" s="18"/>
      <c r="R312" s="18" t="str">
        <f>IF('Global Precios'!F313="","",'Global Precios'!F313)</f>
        <v>Medicamentos</v>
      </c>
      <c r="S312" s="18"/>
      <c r="T312" s="18" t="str">
        <f>IF('Global Precios'!E313="","",'Global Precios'!E313)</f>
        <v/>
      </c>
      <c r="U312" s="18"/>
      <c r="V312" s="18">
        <f t="shared" si="2"/>
        <v>0</v>
      </c>
      <c r="W312" s="18"/>
      <c r="X312" s="18"/>
      <c r="Y312" s="18"/>
      <c r="Z312" s="18"/>
      <c r="AA312" s="18"/>
      <c r="AB312" s="18">
        <f t="shared" si="3"/>
        <v>1</v>
      </c>
      <c r="AC312" s="18">
        <f t="shared" si="4"/>
        <v>1</v>
      </c>
      <c r="AD312" s="18">
        <f t="shared" si="5"/>
        <v>1</v>
      </c>
      <c r="AE312" s="18">
        <f t="shared" si="6"/>
        <v>1</v>
      </c>
    </row>
    <row r="313">
      <c r="A313" s="9">
        <f>IF(E313="","", IF('Global Precios'!B314="",0,'Global Precios'!B314))</f>
        <v>0</v>
      </c>
      <c r="B313" s="14" t="str">
        <f>IF('Global Precios'!B314="","",'Global Precios'!B314)</f>
        <v/>
      </c>
      <c r="C313" s="18">
        <f>IF('Global Precios'!A314="","",'Global Precios'!A314)</f>
        <v>336</v>
      </c>
      <c r="D313" s="18"/>
      <c r="E313" s="25" t="str">
        <f>IF('Global Precios'!D314="","",'Global Precios'!D314)</f>
        <v>SEDAGOTAS X 10 ML</v>
      </c>
      <c r="F313" s="18"/>
      <c r="G313" s="25">
        <f>IFERROR(VLOOKUP(C313,'BuscarV Stock'!$A$2:$C$478,3,0),"AAA")</f>
        <v>0</v>
      </c>
      <c r="H313" s="25">
        <f t="shared" si="1"/>
        <v>0.21</v>
      </c>
      <c r="I313" s="30">
        <f>IF('Global Precios'!H314="","",'Global Precios'!H314)</f>
        <v>1941.322314</v>
      </c>
      <c r="J313" s="82">
        <f>IF('Global Precios'!K314="","",'Global Precios'!K314)</f>
        <v>1</v>
      </c>
      <c r="K313" s="30">
        <f>IF('Global Precios'!Z314="Desactivado",0,IF('Global Precios'!L314="","",'Global Precios'!L314))</f>
        <v>4500</v>
      </c>
      <c r="L313" s="18"/>
      <c r="M313" s="18"/>
      <c r="N313" s="18"/>
      <c r="O313" s="18"/>
      <c r="P313" s="18"/>
      <c r="Q313" s="18"/>
      <c r="R313" s="18" t="str">
        <f>IF('Global Precios'!F314="","",'Global Precios'!F314)</f>
        <v>Medicamentos</v>
      </c>
      <c r="S313" s="18"/>
      <c r="T313" s="18" t="str">
        <f>IF('Global Precios'!E314="","",'Global Precios'!E314)</f>
        <v/>
      </c>
      <c r="U313" s="18"/>
      <c r="V313" s="18">
        <f t="shared" si="2"/>
        <v>0</v>
      </c>
      <c r="W313" s="18"/>
      <c r="X313" s="18"/>
      <c r="Y313" s="18"/>
      <c r="Z313" s="18"/>
      <c r="AA313" s="18"/>
      <c r="AB313" s="18">
        <f t="shared" si="3"/>
        <v>1</v>
      </c>
      <c r="AC313" s="18">
        <f t="shared" si="4"/>
        <v>1</v>
      </c>
      <c r="AD313" s="18">
        <f t="shared" si="5"/>
        <v>1</v>
      </c>
      <c r="AE313" s="18">
        <f t="shared" si="6"/>
        <v>1</v>
      </c>
    </row>
    <row r="314">
      <c r="A314" s="9">
        <f>IF(E314="","", IF('Global Precios'!B315="",0,'Global Precios'!B315))</f>
        <v>0</v>
      </c>
      <c r="B314" s="14" t="str">
        <f>IF('Global Precios'!B315="","",'Global Precios'!B315)</f>
        <v/>
      </c>
      <c r="C314" s="18">
        <f>IF('Global Precios'!A315="","",'Global Precios'!A315)</f>
        <v>337</v>
      </c>
      <c r="D314" s="18"/>
      <c r="E314" s="25" t="str">
        <f>IF('Global Precios'!D315="","",'Global Precios'!D315)</f>
        <v>No Va repelente x 500 ml</v>
      </c>
      <c r="F314" s="18"/>
      <c r="G314" s="25">
        <f>IFERROR(VLOOKUP(C314,'BuscarV Stock'!$A$2:$C$478,3,0),"AAA")</f>
        <v>0</v>
      </c>
      <c r="H314" s="25">
        <f t="shared" si="1"/>
        <v>0.21</v>
      </c>
      <c r="I314" s="30">
        <f>IF('Global Precios'!H315="","",'Global Precios'!H315)</f>
        <v>927.2727273</v>
      </c>
      <c r="J314" s="82">
        <f>IF('Global Precios'!K315="","",'Global Precios'!K315)</f>
        <v>1</v>
      </c>
      <c r="K314" s="30">
        <f>IF('Global Precios'!Z315="Desactivado",0,IF('Global Precios'!L315="","",'Global Precios'!L315))</f>
        <v>0</v>
      </c>
      <c r="L314" s="18"/>
      <c r="M314" s="18"/>
      <c r="N314" s="18"/>
      <c r="O314" s="18"/>
      <c r="P314" s="18"/>
      <c r="Q314" s="18"/>
      <c r="R314" s="18" t="str">
        <f>IF('Global Precios'!F315="","",'Global Precios'!F315)</f>
        <v>Medicamentos</v>
      </c>
      <c r="S314" s="18"/>
      <c r="T314" s="18" t="str">
        <f>IF('Global Precios'!E315="","",'Global Precios'!E315)</f>
        <v/>
      </c>
      <c r="U314" s="18"/>
      <c r="V314" s="18">
        <f t="shared" si="2"/>
        <v>0</v>
      </c>
      <c r="W314" s="18"/>
      <c r="X314" s="18"/>
      <c r="Y314" s="18"/>
      <c r="Z314" s="18"/>
      <c r="AA314" s="18"/>
      <c r="AB314" s="18">
        <f t="shared" si="3"/>
        <v>1</v>
      </c>
      <c r="AC314" s="18">
        <f t="shared" si="4"/>
        <v>1</v>
      </c>
      <c r="AD314" s="18">
        <f t="shared" si="5"/>
        <v>1</v>
      </c>
      <c r="AE314" s="18">
        <f t="shared" si="6"/>
        <v>1</v>
      </c>
    </row>
    <row r="315">
      <c r="A315" s="9">
        <f>IF(E315="","", IF('Global Precios'!B316="",0,'Global Precios'!B316))</f>
        <v>0</v>
      </c>
      <c r="B315" s="14" t="str">
        <f>IF('Global Precios'!B316="","",'Global Precios'!B316)</f>
        <v/>
      </c>
      <c r="C315" s="18">
        <f>IF('Global Precios'!A316="","",'Global Precios'!A316)</f>
        <v>338</v>
      </c>
      <c r="D315" s="18"/>
      <c r="E315" s="25" t="str">
        <f>IF('Global Precios'!D316="","",'Global Precios'!D316)</f>
        <v>ENROFLOXACINA KUALKOS 200 MG x 10 Comp</v>
      </c>
      <c r="F315" s="18"/>
      <c r="G315" s="25">
        <f>IFERROR(VLOOKUP(C315,'BuscarV Stock'!$A$2:$C$478,3,0),"AAA")</f>
        <v>7</v>
      </c>
      <c r="H315" s="25">
        <f t="shared" si="1"/>
        <v>0.21</v>
      </c>
      <c r="I315" s="30">
        <f>IF('Global Precios'!H316="","",'Global Precios'!H316)</f>
        <v>1818.181818</v>
      </c>
      <c r="J315" s="82">
        <f>IF('Global Precios'!K316="","",'Global Precios'!K316)</f>
        <v>1</v>
      </c>
      <c r="K315" s="30">
        <f>IF('Global Precios'!Z316="Desactivado",0,IF('Global Precios'!L316="","",'Global Precios'!L316))</f>
        <v>4500</v>
      </c>
      <c r="L315" s="18"/>
      <c r="M315" s="18"/>
      <c r="N315" s="18"/>
      <c r="O315" s="18"/>
      <c r="P315" s="18"/>
      <c r="Q315" s="18"/>
      <c r="R315" s="18" t="str">
        <f>IF('Global Precios'!F316="","",'Global Precios'!F316)</f>
        <v>Medicamentos</v>
      </c>
      <c r="S315" s="18"/>
      <c r="T315" s="18" t="str">
        <f>IF('Global Precios'!E316="","",'Global Precios'!E316)</f>
        <v/>
      </c>
      <c r="U315" s="18"/>
      <c r="V315" s="18">
        <f t="shared" si="2"/>
        <v>0</v>
      </c>
      <c r="W315" s="18"/>
      <c r="X315" s="18"/>
      <c r="Y315" s="18"/>
      <c r="Z315" s="18"/>
      <c r="AA315" s="18"/>
      <c r="AB315" s="18">
        <f t="shared" si="3"/>
        <v>1</v>
      </c>
      <c r="AC315" s="18">
        <f t="shared" si="4"/>
        <v>1</v>
      </c>
      <c r="AD315" s="18">
        <f t="shared" si="5"/>
        <v>1</v>
      </c>
      <c r="AE315" s="18">
        <f t="shared" si="6"/>
        <v>1</v>
      </c>
    </row>
    <row r="316">
      <c r="A316" s="9">
        <f>IF(E316="","", IF('Global Precios'!B317="",0,'Global Precios'!B317))</f>
        <v>0</v>
      </c>
      <c r="B316" s="14" t="str">
        <f>IF('Global Precios'!B317="","",'Global Precios'!B317)</f>
        <v/>
      </c>
      <c r="C316" s="18">
        <f>IF('Global Precios'!A317="","",'Global Precios'!A317)</f>
        <v>339</v>
      </c>
      <c r="D316" s="18"/>
      <c r="E316" s="25" t="str">
        <f>IF('Global Precios'!D317="","",'Global Precios'!D317)</f>
        <v>NEXGARD M (4,1 A 10 KG)</v>
      </c>
      <c r="F316" s="18"/>
      <c r="G316" s="25">
        <f>IFERROR(VLOOKUP(C316,'BuscarV Stock'!$A$2:$C$478,3,0),"AAA")</f>
        <v>4</v>
      </c>
      <c r="H316" s="25">
        <f t="shared" si="1"/>
        <v>0.21</v>
      </c>
      <c r="I316" s="30">
        <f>IF('Global Precios'!H317="","",'Global Precios'!H317)</f>
        <v>10578.5124</v>
      </c>
      <c r="J316" s="82">
        <f>IF('Global Precios'!K317="","",'Global Precios'!K317)</f>
        <v>0.8</v>
      </c>
      <c r="K316" s="30">
        <f>IF('Global Precios'!Z317="Desactivado",0,IF('Global Precios'!L317="","",'Global Precios'!L317))</f>
        <v>23000</v>
      </c>
      <c r="L316" s="18"/>
      <c r="M316" s="18"/>
      <c r="N316" s="18"/>
      <c r="O316" s="18"/>
      <c r="P316" s="18"/>
      <c r="Q316" s="18"/>
      <c r="R316" s="18" t="str">
        <f>IF('Global Precios'!F317="","",'Global Precios'!F317)</f>
        <v>Medicamentos</v>
      </c>
      <c r="S316" s="18"/>
      <c r="T316" s="18" t="str">
        <f>IF('Global Precios'!E317="","",'Global Precios'!E317)</f>
        <v>FRONTLINE</v>
      </c>
      <c r="U316" s="18"/>
      <c r="V316" s="18">
        <f t="shared" si="2"/>
        <v>0</v>
      </c>
      <c r="W316" s="18"/>
      <c r="X316" s="18"/>
      <c r="Y316" s="18"/>
      <c r="Z316" s="18"/>
      <c r="AA316" s="18"/>
      <c r="AB316" s="18">
        <f t="shared" si="3"/>
        <v>1</v>
      </c>
      <c r="AC316" s="18">
        <f t="shared" si="4"/>
        <v>1</v>
      </c>
      <c r="AD316" s="18">
        <f t="shared" si="5"/>
        <v>1</v>
      </c>
      <c r="AE316" s="18">
        <f t="shared" si="6"/>
        <v>1</v>
      </c>
    </row>
    <row r="317">
      <c r="A317" s="9">
        <f>IF(E317="","", IF('Global Precios'!B318="",0,'Global Precios'!B318))</f>
        <v>0</v>
      </c>
      <c r="B317" s="14" t="str">
        <f>IF('Global Precios'!B318="","",'Global Precios'!B318)</f>
        <v/>
      </c>
      <c r="C317" s="18">
        <f>IF('Global Precios'!A318="","",'Global Precios'!A318)</f>
        <v>340</v>
      </c>
      <c r="D317" s="18"/>
      <c r="E317" s="25" t="str">
        <f>IF('Global Precios'!D318="","",'Global Precios'!D318)</f>
        <v>URSOMARINA x Blister 10 COMP</v>
      </c>
      <c r="F317" s="18"/>
      <c r="G317" s="25">
        <f>IFERROR(VLOOKUP(C317,'BuscarV Stock'!$A$2:$C$478,3,0),"AAA")</f>
        <v>0</v>
      </c>
      <c r="H317" s="25">
        <f t="shared" si="1"/>
        <v>0.21</v>
      </c>
      <c r="I317" s="30">
        <f>IF('Global Precios'!H318="","",'Global Precios'!H318)</f>
        <v>7300</v>
      </c>
      <c r="J317" s="82">
        <f>IF('Global Precios'!K318="","",'Global Precios'!K318)</f>
        <v>0.8</v>
      </c>
      <c r="K317" s="30">
        <f>IF('Global Precios'!Z318="Desactivado",0,IF('Global Precios'!L318="","",'Global Precios'!L318))</f>
        <v>15900</v>
      </c>
      <c r="L317" s="18"/>
      <c r="M317" s="18"/>
      <c r="N317" s="18"/>
      <c r="O317" s="18"/>
      <c r="P317" s="18"/>
      <c r="Q317" s="18"/>
      <c r="R317" s="18" t="str">
        <f>IF('Global Precios'!F318="","",'Global Precios'!F318)</f>
        <v>Medicamentos</v>
      </c>
      <c r="S317" s="18"/>
      <c r="T317" s="18" t="str">
        <f>IF('Global Precios'!E318="","",'Global Precios'!E318)</f>
        <v/>
      </c>
      <c r="U317" s="18"/>
      <c r="V317" s="18">
        <f t="shared" si="2"/>
        <v>0</v>
      </c>
      <c r="W317" s="18"/>
      <c r="X317" s="18"/>
      <c r="Y317" s="18"/>
      <c r="Z317" s="18"/>
      <c r="AA317" s="18"/>
      <c r="AB317" s="18">
        <f t="shared" si="3"/>
        <v>1</v>
      </c>
      <c r="AC317" s="18">
        <f t="shared" si="4"/>
        <v>1</v>
      </c>
      <c r="AD317" s="18">
        <f t="shared" si="5"/>
        <v>1</v>
      </c>
      <c r="AE317" s="18">
        <f t="shared" si="6"/>
        <v>1</v>
      </c>
    </row>
    <row r="318">
      <c r="A318" s="9">
        <f>IF(E318="","", IF('Global Precios'!B319="",0,'Global Precios'!B319))</f>
        <v>0</v>
      </c>
      <c r="B318" s="14" t="str">
        <f>IF('Global Precios'!B319="","",'Global Precios'!B319)</f>
        <v/>
      </c>
      <c r="C318" s="18">
        <f>IF('Global Precios'!A319="","",'Global Precios'!A319)</f>
        <v>341</v>
      </c>
      <c r="D318" s="18"/>
      <c r="E318" s="25" t="str">
        <f>IF('Global Precios'!D319="","",'Global Precios'!D319)</f>
        <v>T4 comun x Blister 10 Comp</v>
      </c>
      <c r="F318" s="18"/>
      <c r="G318" s="25">
        <f>IFERROR(VLOOKUP(C318,'BuscarV Stock'!$A$2:$C$478,3,0),"AAA")</f>
        <v>5</v>
      </c>
      <c r="H318" s="25">
        <f t="shared" si="1"/>
        <v>0.21</v>
      </c>
      <c r="I318" s="30">
        <f>IF('Global Precios'!H319="","",'Global Precios'!H319)</f>
        <v>1818.181818</v>
      </c>
      <c r="J318" s="82">
        <f>IF('Global Precios'!K319="","",'Global Precios'!K319)</f>
        <v>0.8</v>
      </c>
      <c r="K318" s="30">
        <f>IF('Global Precios'!Z319="Desactivado",0,IF('Global Precios'!L319="","",'Global Precios'!L319))</f>
        <v>4000</v>
      </c>
      <c r="L318" s="18"/>
      <c r="M318" s="18"/>
      <c r="N318" s="18"/>
      <c r="O318" s="18"/>
      <c r="P318" s="18"/>
      <c r="Q318" s="18"/>
      <c r="R318" s="18" t="str">
        <f>IF('Global Precios'!F319="","",'Global Precios'!F319)</f>
        <v>Medicamentos</v>
      </c>
      <c r="S318" s="18"/>
      <c r="T318" s="18" t="str">
        <f>IF('Global Precios'!E319="","",'Global Precios'!E319)</f>
        <v>LAMAR</v>
      </c>
      <c r="U318" s="18"/>
      <c r="V318" s="18">
        <f t="shared" si="2"/>
        <v>0</v>
      </c>
      <c r="W318" s="18"/>
      <c r="X318" s="18"/>
      <c r="Y318" s="18"/>
      <c r="Z318" s="18"/>
      <c r="AA318" s="18"/>
      <c r="AB318" s="18">
        <f t="shared" si="3"/>
        <v>1</v>
      </c>
      <c r="AC318" s="18">
        <f t="shared" si="4"/>
        <v>1</v>
      </c>
      <c r="AD318" s="18">
        <f t="shared" si="5"/>
        <v>1</v>
      </c>
      <c r="AE318" s="18">
        <f t="shared" si="6"/>
        <v>1</v>
      </c>
    </row>
    <row r="319">
      <c r="A319" s="9">
        <f>IF(E319="","", IF('Global Precios'!B320="",0,'Global Precios'!B320))</f>
        <v>0</v>
      </c>
      <c r="B319" s="14" t="str">
        <f>IF('Global Precios'!B320="","",'Global Precios'!B320)</f>
        <v/>
      </c>
      <c r="C319" s="18">
        <f>IF('Global Precios'!A320="","",'Global Precios'!A320)</f>
        <v>342</v>
      </c>
      <c r="D319" s="18"/>
      <c r="E319" s="25" t="str">
        <f>IF('Global Precios'!D320="","",'Global Precios'!D320)</f>
        <v>SACANUDOS DESLANADOR</v>
      </c>
      <c r="F319" s="18"/>
      <c r="G319" s="25">
        <f>IFERROR(VLOOKUP(C319,'BuscarV Stock'!$A$2:$C$478,3,0),"AAA")</f>
        <v>0</v>
      </c>
      <c r="H319" s="25">
        <f t="shared" si="1"/>
        <v>0.21</v>
      </c>
      <c r="I319" s="30">
        <f>IF('Global Precios'!H320="","",'Global Precios'!H320)</f>
        <v>1338</v>
      </c>
      <c r="J319" s="82">
        <f>IF('Global Precios'!K320="","",'Global Precios'!K320)</f>
        <v>0.8</v>
      </c>
      <c r="K319" s="30">
        <f>IF('Global Precios'!Z320="Desactivado",0,IF('Global Precios'!L320="","",'Global Precios'!L320))</f>
        <v>0</v>
      </c>
      <c r="L319" s="18"/>
      <c r="M319" s="18"/>
      <c r="N319" s="18"/>
      <c r="O319" s="18"/>
      <c r="P319" s="18"/>
      <c r="Q319" s="18"/>
      <c r="R319" s="18" t="str">
        <f>IF('Global Precios'!F320="","",'Global Precios'!F320)</f>
        <v>PET-shop</v>
      </c>
      <c r="S319" s="18"/>
      <c r="T319" s="18" t="str">
        <f>IF('Global Precios'!E320="","",'Global Precios'!E320)</f>
        <v/>
      </c>
      <c r="U319" s="18"/>
      <c r="V319" s="18">
        <f t="shared" si="2"/>
        <v>0</v>
      </c>
      <c r="W319" s="18"/>
      <c r="X319" s="18"/>
      <c r="Y319" s="18"/>
      <c r="Z319" s="18"/>
      <c r="AA319" s="18"/>
      <c r="AB319" s="18">
        <f t="shared" si="3"/>
        <v>1</v>
      </c>
      <c r="AC319" s="18">
        <f t="shared" si="4"/>
        <v>1</v>
      </c>
      <c r="AD319" s="18">
        <f t="shared" si="5"/>
        <v>1</v>
      </c>
      <c r="AE319" s="18">
        <f t="shared" si="6"/>
        <v>1</v>
      </c>
    </row>
    <row r="320">
      <c r="A320" s="9">
        <f>IF(E320="","", IF('Global Precios'!B321="",0,'Global Precios'!B321))</f>
        <v>0</v>
      </c>
      <c r="B320" s="14" t="str">
        <f>IF('Global Precios'!B321="","",'Global Precios'!B321)</f>
        <v/>
      </c>
      <c r="C320" s="18">
        <f>IF('Global Precios'!A321="","",'Global Precios'!A321)</f>
        <v>343</v>
      </c>
      <c r="D320" s="18"/>
      <c r="E320" s="25" t="str">
        <f>IF('Global Precios'!D321="","",'Global Precios'!D321)</f>
        <v>CAT NIP SPRAY X 60 ML</v>
      </c>
      <c r="F320" s="18"/>
      <c r="G320" s="25">
        <f>IFERROR(VLOOKUP(C320,'BuscarV Stock'!$A$2:$C$478,3,0),"AAA")</f>
        <v>0</v>
      </c>
      <c r="H320" s="25">
        <f t="shared" si="1"/>
        <v>0.21</v>
      </c>
      <c r="I320" s="30">
        <f>IF('Global Precios'!H321="","",'Global Precios'!H321)</f>
        <v>585</v>
      </c>
      <c r="J320" s="82">
        <f>IF('Global Precios'!K321="","",'Global Precios'!K321)</f>
        <v>0.8</v>
      </c>
      <c r="K320" s="30">
        <f>IF('Global Precios'!Z321="Desactivado",0,IF('Global Precios'!L321="","",'Global Precios'!L321))</f>
        <v>0</v>
      </c>
      <c r="L320" s="18"/>
      <c r="M320" s="18"/>
      <c r="N320" s="18"/>
      <c r="O320" s="18"/>
      <c r="P320" s="18"/>
      <c r="Q320" s="18"/>
      <c r="R320" s="18" t="str">
        <f>IF('Global Precios'!F321="","",'Global Precios'!F321)</f>
        <v>PET-shop</v>
      </c>
      <c r="S320" s="18"/>
      <c r="T320" s="18" t="str">
        <f>IF('Global Precios'!E321="","",'Global Precios'!E321)</f>
        <v/>
      </c>
      <c r="U320" s="18"/>
      <c r="V320" s="18">
        <f t="shared" si="2"/>
        <v>0</v>
      </c>
      <c r="W320" s="18"/>
      <c r="X320" s="18"/>
      <c r="Y320" s="18"/>
      <c r="Z320" s="18"/>
      <c r="AA320" s="18"/>
      <c r="AB320" s="18">
        <f t="shared" si="3"/>
        <v>1</v>
      </c>
      <c r="AC320" s="18">
        <f t="shared" si="4"/>
        <v>1</v>
      </c>
      <c r="AD320" s="18">
        <f t="shared" si="5"/>
        <v>1</v>
      </c>
      <c r="AE320" s="18">
        <f t="shared" si="6"/>
        <v>1</v>
      </c>
    </row>
    <row r="321">
      <c r="A321" s="9">
        <f>IF(E321="","", IF('Global Precios'!B322="",0,'Global Precios'!B322))</f>
        <v>0</v>
      </c>
      <c r="B321" s="14" t="str">
        <f>IF('Global Precios'!B322="","",'Global Precios'!B322)</f>
        <v/>
      </c>
      <c r="C321" s="18">
        <f>IF('Global Precios'!A322="","",'Global Precios'!A322)</f>
        <v>344</v>
      </c>
      <c r="D321" s="18"/>
      <c r="E321" s="25" t="str">
        <f>IF('Global Precios'!D322="","",'Global Precios'!D322)</f>
        <v>DIPIRONA  400 MG BLISTER X 10 COMP</v>
      </c>
      <c r="F321" s="18"/>
      <c r="G321" s="25">
        <f>IFERROR(VLOOKUP(C321,'BuscarV Stock'!$A$2:$C$478,3,0),"AAA")</f>
        <v>2</v>
      </c>
      <c r="H321" s="25">
        <f t="shared" si="1"/>
        <v>0.21</v>
      </c>
      <c r="I321" s="30">
        <f>IF('Global Precios'!H322="","",'Global Precios'!H322)</f>
        <v>2003.305785</v>
      </c>
      <c r="J321" s="82">
        <f>IF('Global Precios'!K322="","",'Global Precios'!K322)</f>
        <v>1</v>
      </c>
      <c r="K321" s="30">
        <f>IF('Global Precios'!Z322="Desactivado",0,IF('Global Precios'!L322="","",'Global Precios'!L322))</f>
        <v>0</v>
      </c>
      <c r="L321" s="18"/>
      <c r="M321" s="18"/>
      <c r="N321" s="18"/>
      <c r="O321" s="18"/>
      <c r="P321" s="18"/>
      <c r="Q321" s="18"/>
      <c r="R321" s="18" t="str">
        <f>IF('Global Precios'!F322="","",'Global Precios'!F322)</f>
        <v>Medicamentos</v>
      </c>
      <c r="S321" s="18"/>
      <c r="T321" s="18" t="str">
        <f>IF('Global Precios'!E322="","",'Global Precios'!E322)</f>
        <v/>
      </c>
      <c r="U321" s="18"/>
      <c r="V321" s="18">
        <f t="shared" si="2"/>
        <v>0</v>
      </c>
      <c r="W321" s="18"/>
      <c r="X321" s="18"/>
      <c r="Y321" s="18"/>
      <c r="Z321" s="18"/>
      <c r="AA321" s="18"/>
      <c r="AB321" s="18">
        <f t="shared" si="3"/>
        <v>1</v>
      </c>
      <c r="AC321" s="18">
        <f t="shared" si="4"/>
        <v>1</v>
      </c>
      <c r="AD321" s="18">
        <f t="shared" si="5"/>
        <v>1</v>
      </c>
      <c r="AE321" s="18">
        <f t="shared" si="6"/>
        <v>1</v>
      </c>
    </row>
    <row r="322">
      <c r="A322" s="9">
        <f>IF(E322="","", IF('Global Precios'!B323="",0,'Global Precios'!B323))</f>
        <v>0</v>
      </c>
      <c r="B322" s="14" t="str">
        <f>IF('Global Precios'!B323="","",'Global Precios'!B323)</f>
        <v/>
      </c>
      <c r="C322" s="18">
        <f>IF('Global Precios'!A323="","",'Global Precios'!A323)</f>
        <v>345</v>
      </c>
      <c r="D322" s="18"/>
      <c r="E322" s="25" t="str">
        <f>IF('Global Precios'!D323="","",'Global Precios'!D323)</f>
        <v>FUROSEMIDA 40 MG BLISTER X 10 COMP</v>
      </c>
      <c r="F322" s="18"/>
      <c r="G322" s="25">
        <f>IFERROR(VLOOKUP(C322,'BuscarV Stock'!$A$2:$C$478,3,0),"AAA")</f>
        <v>7</v>
      </c>
      <c r="H322" s="25">
        <f t="shared" si="1"/>
        <v>0.21</v>
      </c>
      <c r="I322" s="30">
        <f>IF('Global Precios'!H323="","",'Global Precios'!H323)</f>
        <v>928.9256198</v>
      </c>
      <c r="J322" s="82">
        <f>IF('Global Precios'!K323="","",'Global Precios'!K323)</f>
        <v>1.5</v>
      </c>
      <c r="K322" s="30">
        <f>IF('Global Precios'!Z323="Desactivado",0,IF('Global Precios'!L323="","",'Global Precios'!L323))</f>
        <v>3000</v>
      </c>
      <c r="L322" s="18"/>
      <c r="M322" s="18"/>
      <c r="N322" s="18"/>
      <c r="O322" s="18"/>
      <c r="P322" s="18"/>
      <c r="Q322" s="18"/>
      <c r="R322" s="18" t="str">
        <f>IF('Global Precios'!F323="","",'Global Precios'!F323)</f>
        <v>Medicamentos</v>
      </c>
      <c r="S322" s="18"/>
      <c r="T322" s="18" t="str">
        <f>IF('Global Precios'!E323="","",'Global Precios'!E323)</f>
        <v/>
      </c>
      <c r="U322" s="18"/>
      <c r="V322" s="18">
        <f t="shared" si="2"/>
        <v>0</v>
      </c>
      <c r="W322" s="18"/>
      <c r="X322" s="18"/>
      <c r="Y322" s="18"/>
      <c r="Z322" s="18"/>
      <c r="AA322" s="18"/>
      <c r="AB322" s="18">
        <f t="shared" si="3"/>
        <v>1</v>
      </c>
      <c r="AC322" s="18">
        <f t="shared" si="4"/>
        <v>1</v>
      </c>
      <c r="AD322" s="18">
        <f t="shared" si="5"/>
        <v>1</v>
      </c>
      <c r="AE322" s="18">
        <f t="shared" si="6"/>
        <v>1</v>
      </c>
    </row>
    <row r="323">
      <c r="A323" s="9">
        <f>IF(E323="","", IF('Global Precios'!B324="",0,'Global Precios'!B324))</f>
        <v>0</v>
      </c>
      <c r="B323" s="14" t="str">
        <f>IF('Global Precios'!B324="","",'Global Precios'!B324)</f>
        <v/>
      </c>
      <c r="C323" s="18">
        <f>IF('Global Precios'!A324="","",'Global Precios'!A324)</f>
        <v>346</v>
      </c>
      <c r="D323" s="18"/>
      <c r="E323" s="25" t="str">
        <f>IF('Global Precios'!D324="","",'Global Precios'!D324)</f>
        <v>METOCLOPRAMIDA GOTAS</v>
      </c>
      <c r="F323" s="18"/>
      <c r="G323" s="25">
        <f>IFERROR(VLOOKUP(C323,'BuscarV Stock'!$A$2:$C$478,3,0),"AAA")</f>
        <v>1</v>
      </c>
      <c r="H323" s="25">
        <f t="shared" si="1"/>
        <v>0.21</v>
      </c>
      <c r="I323" s="30">
        <f>IF('Global Precios'!H324="","",'Global Precios'!H324)</f>
        <v>2528.92562</v>
      </c>
      <c r="J323" s="82">
        <f>IF('Global Precios'!K324="","",'Global Precios'!K324)</f>
        <v>2</v>
      </c>
      <c r="K323" s="30">
        <f>IF('Global Precios'!Z324="Desactivado",0,IF('Global Precios'!L324="","",'Global Precios'!L324))</f>
        <v>9000</v>
      </c>
      <c r="L323" s="18"/>
      <c r="M323" s="18"/>
      <c r="N323" s="18"/>
      <c r="O323" s="18"/>
      <c r="P323" s="18"/>
      <c r="Q323" s="18"/>
      <c r="R323" s="18" t="str">
        <f>IF('Global Precios'!F324="","",'Global Precios'!F324)</f>
        <v>Medicamentos</v>
      </c>
      <c r="S323" s="18"/>
      <c r="T323" s="18" t="str">
        <f>IF('Global Precios'!E324="","",'Global Precios'!E324)</f>
        <v/>
      </c>
      <c r="U323" s="18"/>
      <c r="V323" s="18">
        <f t="shared" si="2"/>
        <v>0</v>
      </c>
      <c r="W323" s="18"/>
      <c r="X323" s="18"/>
      <c r="Y323" s="18"/>
      <c r="Z323" s="18"/>
      <c r="AA323" s="18"/>
      <c r="AB323" s="18">
        <f t="shared" si="3"/>
        <v>1</v>
      </c>
      <c r="AC323" s="18">
        <f t="shared" si="4"/>
        <v>1</v>
      </c>
      <c r="AD323" s="18">
        <f t="shared" si="5"/>
        <v>1</v>
      </c>
      <c r="AE323" s="18">
        <f t="shared" si="6"/>
        <v>1</v>
      </c>
    </row>
    <row r="324">
      <c r="A324" s="9">
        <f>IF(E324="","", IF('Global Precios'!B325="",0,'Global Precios'!B325))</f>
        <v>0</v>
      </c>
      <c r="B324" s="14" t="str">
        <f>IF('Global Precios'!B325="","",'Global Precios'!B325)</f>
        <v/>
      </c>
      <c r="C324" s="18">
        <f>IF('Global Precios'!A325="","",'Global Precios'!A325)</f>
        <v>347</v>
      </c>
      <c r="D324" s="18"/>
      <c r="E324" s="25" t="str">
        <f>IF('Global Precios'!D325="","",'Global Precios'!D325)</f>
        <v>PREDNISOLONA 10 MG X BLISTER 10 COMP</v>
      </c>
      <c r="F324" s="18"/>
      <c r="G324" s="25">
        <f>IFERROR(VLOOKUP(C324,'BuscarV Stock'!$A$2:$C$478,3,0),"AAA")</f>
        <v>0</v>
      </c>
      <c r="H324" s="25">
        <f t="shared" si="1"/>
        <v>0.21</v>
      </c>
      <c r="I324" s="30">
        <f>IF('Global Precios'!H325="","",'Global Precios'!H325)</f>
        <v>1029.752066</v>
      </c>
      <c r="J324" s="82">
        <f>IF('Global Precios'!K325="","",'Global Precios'!K325)</f>
        <v>1</v>
      </c>
      <c r="K324" s="30">
        <f>IF('Global Precios'!Z325="Desactivado",0,IF('Global Precios'!L325="","",'Global Precios'!L325))</f>
        <v>2500</v>
      </c>
      <c r="L324" s="18"/>
      <c r="M324" s="18"/>
      <c r="N324" s="18"/>
      <c r="O324" s="18"/>
      <c r="P324" s="18"/>
      <c r="Q324" s="18"/>
      <c r="R324" s="18" t="str">
        <f>IF('Global Precios'!F325="","",'Global Precios'!F325)</f>
        <v>Medicamentos</v>
      </c>
      <c r="S324" s="18"/>
      <c r="T324" s="18" t="str">
        <f>IF('Global Precios'!E325="","",'Global Precios'!E325)</f>
        <v>PYO</v>
      </c>
      <c r="U324" s="18"/>
      <c r="V324" s="18">
        <f t="shared" si="2"/>
        <v>0</v>
      </c>
      <c r="W324" s="18"/>
      <c r="X324" s="18"/>
      <c r="Y324" s="18"/>
      <c r="Z324" s="18"/>
      <c r="AA324" s="18"/>
      <c r="AB324" s="18">
        <f t="shared" si="3"/>
        <v>1</v>
      </c>
      <c r="AC324" s="18">
        <f t="shared" si="4"/>
        <v>1</v>
      </c>
      <c r="AD324" s="18">
        <f t="shared" si="5"/>
        <v>1</v>
      </c>
      <c r="AE324" s="18">
        <f t="shared" si="6"/>
        <v>1</v>
      </c>
    </row>
    <row r="325">
      <c r="A325" s="9">
        <f>IF(E325="","", IF('Global Precios'!B326="",0,'Global Precios'!B326))</f>
        <v>0</v>
      </c>
      <c r="B325" s="14" t="str">
        <f>IF('Global Precios'!B326="","",'Global Precios'!B326)</f>
        <v/>
      </c>
      <c r="C325" s="18">
        <f>IF('Global Precios'!A326="","",'Global Precios'!A326)</f>
        <v>348</v>
      </c>
      <c r="D325" s="18"/>
      <c r="E325" s="25" t="str">
        <f>IF('Global Precios'!D326="","",'Global Precios'!D326)</f>
        <v>CAT CHOW GATO ESTERILIZADO POUCH X 85 GRS</v>
      </c>
      <c r="F325" s="18"/>
      <c r="G325" s="25">
        <f>IFERROR(VLOOKUP(C325,'BuscarV Stock'!$A$2:$C$478,3,0),"AAA")</f>
        <v>12</v>
      </c>
      <c r="H325" s="25">
        <f t="shared" si="1"/>
        <v>0.21</v>
      </c>
      <c r="I325" s="30">
        <f>IF('Global Precios'!H326="","",'Global Precios'!H326)</f>
        <v>560.3305785</v>
      </c>
      <c r="J325" s="82">
        <f>IF('Global Precios'!K326="","",'Global Precios'!K326)</f>
        <v>0.4</v>
      </c>
      <c r="K325" s="30">
        <f>IF('Global Precios'!Z326="Desactivado",0,IF('Global Precios'!L326="","",'Global Precios'!L326))</f>
        <v>0</v>
      </c>
      <c r="L325" s="18"/>
      <c r="M325" s="18"/>
      <c r="N325" s="18"/>
      <c r="O325" s="18"/>
      <c r="P325" s="18"/>
      <c r="Q325" s="18"/>
      <c r="R325" s="18" t="str">
        <f>IF('Global Precios'!F326="","",'Global Precios'!F326)</f>
        <v>Alimentos</v>
      </c>
      <c r="S325" s="18"/>
      <c r="T325" s="18" t="str">
        <f>IF('Global Precios'!E326="","",'Global Precios'!E326)</f>
        <v>CAT CHOW</v>
      </c>
      <c r="U325" s="18"/>
      <c r="V325" s="18">
        <f t="shared" si="2"/>
        <v>0</v>
      </c>
      <c r="W325" s="18"/>
      <c r="X325" s="18"/>
      <c r="Y325" s="18"/>
      <c r="Z325" s="18"/>
      <c r="AA325" s="18"/>
      <c r="AB325" s="18">
        <f t="shared" si="3"/>
        <v>1</v>
      </c>
      <c r="AC325" s="18">
        <f t="shared" si="4"/>
        <v>1</v>
      </c>
      <c r="AD325" s="18">
        <f t="shared" si="5"/>
        <v>1</v>
      </c>
      <c r="AE325" s="18">
        <f t="shared" si="6"/>
        <v>1</v>
      </c>
    </row>
    <row r="326">
      <c r="A326" s="9">
        <f>IF(E326="","", IF('Global Precios'!B327="",0,'Global Precios'!B327))</f>
        <v>0</v>
      </c>
      <c r="B326" s="14" t="str">
        <f>IF('Global Precios'!B327="","",'Global Precios'!B327)</f>
        <v/>
      </c>
      <c r="C326" s="18">
        <f>IF('Global Precios'!A327="","",'Global Precios'!A327)</f>
        <v>349</v>
      </c>
      <c r="D326" s="18"/>
      <c r="E326" s="25" t="str">
        <f>IF('Global Precios'!D327="","",'Global Precios'!D327)</f>
        <v>DOG CHOW ADULT POUCH X 100 GRS</v>
      </c>
      <c r="F326" s="18"/>
      <c r="G326" s="25">
        <f>IFERROR(VLOOKUP(C326,'BuscarV Stock'!$A$2:$C$478,3,0),"AAA")</f>
        <v>18</v>
      </c>
      <c r="H326" s="25">
        <f t="shared" si="1"/>
        <v>0.21</v>
      </c>
      <c r="I326" s="30">
        <f>IF('Global Precios'!H327="","",'Global Precios'!H327)</f>
        <v>785.1239669</v>
      </c>
      <c r="J326" s="82">
        <f>IF('Global Precios'!K327="","",'Global Precios'!K327)</f>
        <v>0.5</v>
      </c>
      <c r="K326" s="30">
        <f>IF('Global Precios'!Z327="Desactivado",0,IF('Global Precios'!L327="","",'Global Precios'!L327))</f>
        <v>1300</v>
      </c>
      <c r="L326" s="18"/>
      <c r="M326" s="18"/>
      <c r="N326" s="18"/>
      <c r="O326" s="18"/>
      <c r="P326" s="18"/>
      <c r="Q326" s="18"/>
      <c r="R326" s="18" t="str">
        <f>IF('Global Precios'!F327="","",'Global Precios'!F327)</f>
        <v>Alimentos</v>
      </c>
      <c r="S326" s="18"/>
      <c r="T326" s="18" t="str">
        <f>IF('Global Precios'!E327="","",'Global Precios'!E327)</f>
        <v>DOG CHOW</v>
      </c>
      <c r="U326" s="18"/>
      <c r="V326" s="18">
        <f t="shared" si="2"/>
        <v>0</v>
      </c>
      <c r="W326" s="18"/>
      <c r="X326" s="18"/>
      <c r="Y326" s="18"/>
      <c r="Z326" s="18"/>
      <c r="AA326" s="18"/>
      <c r="AB326" s="18">
        <f t="shared" si="3"/>
        <v>1</v>
      </c>
      <c r="AC326" s="18">
        <f t="shared" si="4"/>
        <v>1</v>
      </c>
      <c r="AD326" s="18">
        <f t="shared" si="5"/>
        <v>1</v>
      </c>
      <c r="AE326" s="18">
        <f t="shared" si="6"/>
        <v>1</v>
      </c>
    </row>
    <row r="327">
      <c r="A327" s="9">
        <f>IF(E327="","", IF('Global Precios'!B328="",0,'Global Precios'!B328))</f>
        <v>0</v>
      </c>
      <c r="B327" s="14" t="str">
        <f>IF('Global Precios'!B328="","",'Global Precios'!B328)</f>
        <v/>
      </c>
      <c r="C327" s="18">
        <f>IF('Global Precios'!A328="","",'Global Precios'!A328)</f>
        <v>350</v>
      </c>
      <c r="D327" s="18"/>
      <c r="E327" s="25" t="str">
        <f>IF('Global Precios'!D328="","",'Global Precios'!D328)</f>
        <v>CAT CHOW ADULTOS PESCADO X 85 GRS</v>
      </c>
      <c r="F327" s="18"/>
      <c r="G327" s="25">
        <f>IFERROR(VLOOKUP(C327,'BuscarV Stock'!$A$2:$C$478,3,0),"AAA")</f>
        <v>0</v>
      </c>
      <c r="H327" s="25">
        <f t="shared" si="1"/>
        <v>0.21</v>
      </c>
      <c r="I327" s="30">
        <f>IF('Global Precios'!H328="","",'Global Precios'!H328)</f>
        <v>560.3305785</v>
      </c>
      <c r="J327" s="82">
        <f>IF('Global Precios'!K328="","",'Global Precios'!K328)</f>
        <v>0.4</v>
      </c>
      <c r="K327" s="30">
        <f>IF('Global Precios'!Z328="Desactivado",0,IF('Global Precios'!L328="","",'Global Precios'!L328))</f>
        <v>0</v>
      </c>
      <c r="L327" s="18"/>
      <c r="M327" s="18"/>
      <c r="N327" s="18"/>
      <c r="O327" s="18"/>
      <c r="P327" s="18"/>
      <c r="Q327" s="18"/>
      <c r="R327" s="18" t="str">
        <f>IF('Global Precios'!F328="","",'Global Precios'!F328)</f>
        <v>Alimentos</v>
      </c>
      <c r="S327" s="18"/>
      <c r="T327" s="18" t="str">
        <f>IF('Global Precios'!E328="","",'Global Precios'!E328)</f>
        <v>CAT CHOW</v>
      </c>
      <c r="U327" s="18"/>
      <c r="V327" s="18">
        <f t="shared" si="2"/>
        <v>0</v>
      </c>
      <c r="W327" s="18"/>
      <c r="X327" s="18"/>
      <c r="Y327" s="18"/>
      <c r="Z327" s="18"/>
      <c r="AA327" s="18"/>
      <c r="AB327" s="18">
        <f t="shared" si="3"/>
        <v>1</v>
      </c>
      <c r="AC327" s="18">
        <f t="shared" si="4"/>
        <v>1</v>
      </c>
      <c r="AD327" s="18">
        <f t="shared" si="5"/>
        <v>1</v>
      </c>
      <c r="AE327" s="18">
        <f t="shared" si="6"/>
        <v>1</v>
      </c>
    </row>
    <row r="328">
      <c r="A328" s="9">
        <f>IF(E328="","", IF('Global Precios'!B329="",0,'Global Precios'!B329))</f>
        <v>0</v>
      </c>
      <c r="B328" s="14" t="str">
        <f>IF('Global Precios'!B329="","",'Global Precios'!B329)</f>
        <v/>
      </c>
      <c r="C328" s="18">
        <f>IF('Global Precios'!A329="","",'Global Precios'!A329)</f>
        <v>351</v>
      </c>
      <c r="D328" s="18"/>
      <c r="E328" s="25" t="str">
        <f>IF('Global Precios'!D329="","",'Global Precios'!D329)</f>
        <v>RASCADOR DE CARTON CORRUGADO GATOS</v>
      </c>
      <c r="F328" s="18"/>
      <c r="G328" s="25">
        <f>IFERROR(VLOOKUP(C328,'BuscarV Stock'!$A$2:$C$478,3,0),"AAA")</f>
        <v>0</v>
      </c>
      <c r="H328" s="25">
        <f t="shared" si="1"/>
        <v>0.21</v>
      </c>
      <c r="I328" s="30">
        <f>IF('Global Precios'!H329="","",'Global Precios'!H329)</f>
        <v>910</v>
      </c>
      <c r="J328" s="82">
        <f>IF('Global Precios'!K329="","",'Global Precios'!K329)</f>
        <v>0.8</v>
      </c>
      <c r="K328" s="30">
        <f>IF('Global Precios'!Z329="Desactivado",0,IF('Global Precios'!L329="","",'Global Precios'!L329))</f>
        <v>15000</v>
      </c>
      <c r="L328" s="18"/>
      <c r="M328" s="18"/>
      <c r="N328" s="18"/>
      <c r="O328" s="18"/>
      <c r="P328" s="18"/>
      <c r="Q328" s="18"/>
      <c r="R328" s="18" t="str">
        <f>IF('Global Precios'!F329="","",'Global Precios'!F329)</f>
        <v>Pet-shop</v>
      </c>
      <c r="S328" s="18"/>
      <c r="T328" s="18" t="str">
        <f>IF('Global Precios'!E329="","",'Global Precios'!E329)</f>
        <v/>
      </c>
      <c r="U328" s="18"/>
      <c r="V328" s="18">
        <f t="shared" si="2"/>
        <v>0</v>
      </c>
      <c r="W328" s="18"/>
      <c r="X328" s="18"/>
      <c r="Y328" s="18"/>
      <c r="Z328" s="18"/>
      <c r="AA328" s="18"/>
      <c r="AB328" s="18">
        <f t="shared" si="3"/>
        <v>1</v>
      </c>
      <c r="AC328" s="18">
        <f t="shared" si="4"/>
        <v>1</v>
      </c>
      <c r="AD328" s="18">
        <f t="shared" si="5"/>
        <v>1</v>
      </c>
      <c r="AE328" s="18">
        <f t="shared" si="6"/>
        <v>1</v>
      </c>
    </row>
    <row r="329">
      <c r="A329" s="9">
        <f>IF(E329="","", IF('Global Precios'!B330="",0,'Global Precios'!B330))</f>
        <v>0</v>
      </c>
      <c r="B329" s="14" t="str">
        <f>IF('Global Precios'!B330="","",'Global Precios'!B330)</f>
        <v/>
      </c>
      <c r="C329" s="18">
        <f>IF('Global Precios'!A330="","",'Global Precios'!A330)</f>
        <v>352</v>
      </c>
      <c r="D329" s="18"/>
      <c r="E329" s="25" t="str">
        <f>IF('Global Precios'!D330="","",'Global Precios'!D330)</f>
        <v>CONJUNTO SOFT - PRETAL CON CORREA TALLE S</v>
      </c>
      <c r="F329" s="18"/>
      <c r="G329" s="25">
        <f>IFERROR(VLOOKUP(C329,'BuscarV Stock'!$A$2:$C$478,3,0),"AAA")</f>
        <v>1</v>
      </c>
      <c r="H329" s="25">
        <f t="shared" si="1"/>
        <v>0.21</v>
      </c>
      <c r="I329" s="30">
        <f>IF('Global Precios'!H330="","",'Global Precios'!H330)</f>
        <v>1391</v>
      </c>
      <c r="J329" s="82">
        <f>IF('Global Precios'!K330="","",'Global Precios'!K330)</f>
        <v>1</v>
      </c>
      <c r="K329" s="30">
        <f>IF('Global Precios'!Z330="Desactivado",0,IF('Global Precios'!L330="","",'Global Precios'!L330))</f>
        <v>10000</v>
      </c>
      <c r="L329" s="18"/>
      <c r="M329" s="18"/>
      <c r="N329" s="18"/>
      <c r="O329" s="18"/>
      <c r="P329" s="18"/>
      <c r="Q329" s="18"/>
      <c r="R329" s="18" t="str">
        <f>IF('Global Precios'!F330="","",'Global Precios'!F330)</f>
        <v>Pet-shop</v>
      </c>
      <c r="S329" s="18"/>
      <c r="T329" s="18" t="str">
        <f>IF('Global Precios'!E330="","",'Global Precios'!E330)</f>
        <v/>
      </c>
      <c r="U329" s="18"/>
      <c r="V329" s="18">
        <f t="shared" si="2"/>
        <v>0</v>
      </c>
      <c r="W329" s="18"/>
      <c r="X329" s="18"/>
      <c r="Y329" s="18"/>
      <c r="Z329" s="18"/>
      <c r="AA329" s="18"/>
      <c r="AB329" s="18">
        <f t="shared" si="3"/>
        <v>1</v>
      </c>
      <c r="AC329" s="18">
        <f t="shared" si="4"/>
        <v>1</v>
      </c>
      <c r="AD329" s="18">
        <f t="shared" si="5"/>
        <v>1</v>
      </c>
      <c r="AE329" s="18">
        <f t="shared" si="6"/>
        <v>1</v>
      </c>
    </row>
    <row r="330">
      <c r="A330" s="9">
        <f>IF(E330="","", IF('Global Precios'!B331="",0,'Global Precios'!B331))</f>
        <v>0</v>
      </c>
      <c r="B330" s="14" t="str">
        <f>IF('Global Precios'!B331="","",'Global Precios'!B331)</f>
        <v/>
      </c>
      <c r="C330" s="18">
        <f>IF('Global Precios'!A331="","",'Global Precios'!A331)</f>
        <v>353</v>
      </c>
      <c r="D330" s="18"/>
      <c r="E330" s="25" t="str">
        <f>IF('Global Precios'!D331="","",'Global Precios'!D331)</f>
        <v>HUESO DE CUERO 3/4 </v>
      </c>
      <c r="F330" s="18"/>
      <c r="G330" s="25">
        <f>IFERROR(VLOOKUP(C330,'BuscarV Stock'!$A$2:$C$478,3,0),"AAA")</f>
        <v>1</v>
      </c>
      <c r="H330" s="25">
        <f t="shared" si="1"/>
        <v>0.21</v>
      </c>
      <c r="I330" s="30">
        <f>IF('Global Precios'!H331="","",'Global Precios'!H331)</f>
        <v>86</v>
      </c>
      <c r="J330" s="82">
        <f>IF('Global Precios'!K331="","",'Global Precios'!K331)</f>
        <v>1</v>
      </c>
      <c r="K330" s="30">
        <f>IF('Global Precios'!Z331="Desactivado",0,IF('Global Precios'!L331="","",'Global Precios'!L331))</f>
        <v>0</v>
      </c>
      <c r="L330" s="18"/>
      <c r="M330" s="18"/>
      <c r="N330" s="18"/>
      <c r="O330" s="18"/>
      <c r="P330" s="18"/>
      <c r="Q330" s="18"/>
      <c r="R330" s="18" t="str">
        <f>IF('Global Precios'!F331="","",'Global Precios'!F331)</f>
        <v>Pet-shop</v>
      </c>
      <c r="S330" s="18"/>
      <c r="T330" s="18" t="str">
        <f>IF('Global Precios'!E331="","",'Global Precios'!E331)</f>
        <v/>
      </c>
      <c r="U330" s="18"/>
      <c r="V330" s="18">
        <f t="shared" si="2"/>
        <v>0</v>
      </c>
      <c r="W330" s="18"/>
      <c r="X330" s="18"/>
      <c r="Y330" s="18"/>
      <c r="Z330" s="18"/>
      <c r="AA330" s="18"/>
      <c r="AB330" s="18">
        <f t="shared" si="3"/>
        <v>1</v>
      </c>
      <c r="AC330" s="18">
        <f t="shared" si="4"/>
        <v>1</v>
      </c>
      <c r="AD330" s="18">
        <f t="shared" si="5"/>
        <v>1</v>
      </c>
      <c r="AE330" s="18">
        <f t="shared" si="6"/>
        <v>1</v>
      </c>
    </row>
    <row r="331">
      <c r="A331" s="9">
        <f>IF(E331="","", IF('Global Precios'!B332="",0,'Global Precios'!B332))</f>
        <v>0</v>
      </c>
      <c r="B331" s="14" t="str">
        <f>IF('Global Precios'!B332="","",'Global Precios'!B332)</f>
        <v/>
      </c>
      <c r="C331" s="18">
        <f>IF('Global Precios'!A332="","",'Global Precios'!A332)</f>
        <v>354</v>
      </c>
      <c r="D331" s="18"/>
      <c r="E331" s="25" t="str">
        <f>IF('Global Precios'!D332="","",'Global Precios'!D332)</f>
        <v>HUESO DE CUERO 5/6</v>
      </c>
      <c r="F331" s="18"/>
      <c r="G331" s="25">
        <f>IFERROR(VLOOKUP(C331,'BuscarV Stock'!$A$2:$C$478,3,0),"AAA")</f>
        <v>1</v>
      </c>
      <c r="H331" s="25">
        <f t="shared" si="1"/>
        <v>0.21</v>
      </c>
      <c r="I331" s="30">
        <f>IF('Global Precios'!H332="","",'Global Precios'!H332)</f>
        <v>158</v>
      </c>
      <c r="J331" s="82">
        <f>IF('Global Precios'!K332="","",'Global Precios'!K332)</f>
        <v>1</v>
      </c>
      <c r="K331" s="30">
        <f>IF('Global Precios'!Z332="Desactivado",0,IF('Global Precios'!L332="","",'Global Precios'!L332))</f>
        <v>2500</v>
      </c>
      <c r="L331" s="18"/>
      <c r="M331" s="18"/>
      <c r="N331" s="18"/>
      <c r="O331" s="18"/>
      <c r="P331" s="18"/>
      <c r="Q331" s="18"/>
      <c r="R331" s="18" t="str">
        <f>IF('Global Precios'!F332="","",'Global Precios'!F332)</f>
        <v>Pet-shop</v>
      </c>
      <c r="S331" s="18"/>
      <c r="T331" s="18" t="str">
        <f>IF('Global Precios'!E332="","",'Global Precios'!E332)</f>
        <v/>
      </c>
      <c r="U331" s="18"/>
      <c r="V331" s="18">
        <f t="shared" si="2"/>
        <v>0</v>
      </c>
      <c r="W331" s="18"/>
      <c r="X331" s="18"/>
      <c r="Y331" s="18"/>
      <c r="Z331" s="18"/>
      <c r="AA331" s="18"/>
      <c r="AB331" s="18">
        <f t="shared" si="3"/>
        <v>1</v>
      </c>
      <c r="AC331" s="18">
        <f t="shared" si="4"/>
        <v>1</v>
      </c>
      <c r="AD331" s="18">
        <f t="shared" si="5"/>
        <v>1</v>
      </c>
      <c r="AE331" s="18">
        <f t="shared" si="6"/>
        <v>1</v>
      </c>
    </row>
    <row r="332">
      <c r="A332" s="9">
        <f>IF(E332="","", IF('Global Precios'!B333="",0,'Global Precios'!B333))</f>
        <v>0</v>
      </c>
      <c r="B332" s="14" t="str">
        <f>IF('Global Precios'!B333="","",'Global Precios'!B333)</f>
        <v/>
      </c>
      <c r="C332" s="18">
        <f>IF('Global Precios'!A333="","",'Global Precios'!A333)</f>
        <v>358</v>
      </c>
      <c r="D332" s="18"/>
      <c r="E332" s="25" t="str">
        <f>IF('Global Precios'!D333="","",'Global Precios'!D333)</f>
        <v>HUESO DE CUERO 10/11</v>
      </c>
      <c r="F332" s="18"/>
      <c r="G332" s="25">
        <f>IFERROR(VLOOKUP(C332,'BuscarV Stock'!$A$2:$C$478,3,0),"AAA")</f>
        <v>1</v>
      </c>
      <c r="H332" s="25">
        <f t="shared" si="1"/>
        <v>0.21</v>
      </c>
      <c r="I332" s="30">
        <f>IF('Global Precios'!H333="","",'Global Precios'!H333)</f>
        <v>503</v>
      </c>
      <c r="J332" s="82">
        <f>IF('Global Precios'!K333="","",'Global Precios'!K333)</f>
        <v>1</v>
      </c>
      <c r="K332" s="30">
        <f>IF('Global Precios'!Z333="Desactivado",0,IF('Global Precios'!L333="","",'Global Precios'!L333))</f>
        <v>8000</v>
      </c>
      <c r="L332" s="18"/>
      <c r="M332" s="18"/>
      <c r="N332" s="18"/>
      <c r="O332" s="18"/>
      <c r="P332" s="18"/>
      <c r="Q332" s="18"/>
      <c r="R332" s="18" t="str">
        <f>IF('Global Precios'!F333="","",'Global Precios'!F333)</f>
        <v>Pet-shop</v>
      </c>
      <c r="S332" s="18"/>
      <c r="T332" s="18" t="str">
        <f>IF('Global Precios'!E333="","",'Global Precios'!E333)</f>
        <v/>
      </c>
      <c r="U332" s="18"/>
      <c r="V332" s="18">
        <f t="shared" si="2"/>
        <v>0</v>
      </c>
      <c r="W332" s="18"/>
      <c r="X332" s="18"/>
      <c r="Y332" s="18"/>
      <c r="Z332" s="18"/>
      <c r="AA332" s="18"/>
      <c r="AB332" s="18">
        <f t="shared" si="3"/>
        <v>1</v>
      </c>
      <c r="AC332" s="18">
        <f t="shared" si="4"/>
        <v>1</v>
      </c>
      <c r="AD332" s="18">
        <f t="shared" si="5"/>
        <v>1</v>
      </c>
      <c r="AE332" s="18">
        <f t="shared" si="6"/>
        <v>1</v>
      </c>
    </row>
    <row r="333">
      <c r="A333" s="9">
        <f>IF(E333="","", IF('Global Precios'!B334="",0,'Global Precios'!B334))</f>
        <v>0</v>
      </c>
      <c r="B333" s="14" t="str">
        <f>IF('Global Precios'!B334="","",'Global Precios'!B334)</f>
        <v/>
      </c>
      <c r="C333" s="18">
        <f>IF('Global Precios'!A334="","",'Global Precios'!A334)</f>
        <v>359</v>
      </c>
      <c r="D333" s="18"/>
      <c r="E333" s="25" t="str">
        <f>IF('Global Precios'!D334="","",'Global Precios'!D334)</f>
        <v>PELOTA SOGA CHICA</v>
      </c>
      <c r="F333" s="18"/>
      <c r="G333" s="25">
        <f>IFERROR(VLOOKUP(C333,'BuscarV Stock'!$A$2:$C$478,3,0),"AAA")</f>
        <v>2</v>
      </c>
      <c r="H333" s="25">
        <f t="shared" si="1"/>
        <v>0.21</v>
      </c>
      <c r="I333" s="30">
        <f>IF('Global Precios'!H334="","",'Global Precios'!H334)</f>
        <v>321</v>
      </c>
      <c r="J333" s="82">
        <f>IF('Global Precios'!K334="","",'Global Precios'!K334)</f>
        <v>1</v>
      </c>
      <c r="K333" s="30">
        <f>IF('Global Precios'!Z334="Desactivado",0,IF('Global Precios'!L334="","",'Global Precios'!L334))</f>
        <v>4000</v>
      </c>
      <c r="L333" s="18"/>
      <c r="M333" s="18"/>
      <c r="N333" s="18"/>
      <c r="O333" s="18"/>
      <c r="P333" s="18"/>
      <c r="Q333" s="18"/>
      <c r="R333" s="18" t="str">
        <f>IF('Global Precios'!F334="","",'Global Precios'!F334)</f>
        <v>Pet-shop</v>
      </c>
      <c r="S333" s="18"/>
      <c r="T333" s="18" t="str">
        <f>IF('Global Precios'!E334="","",'Global Precios'!E334)</f>
        <v/>
      </c>
      <c r="U333" s="18"/>
      <c r="V333" s="18">
        <f t="shared" si="2"/>
        <v>0</v>
      </c>
      <c r="W333" s="18"/>
      <c r="X333" s="18"/>
      <c r="Y333" s="18"/>
      <c r="Z333" s="18"/>
      <c r="AA333" s="18"/>
      <c r="AB333" s="18">
        <f t="shared" si="3"/>
        <v>1</v>
      </c>
      <c r="AC333" s="18">
        <f t="shared" si="4"/>
        <v>1</v>
      </c>
      <c r="AD333" s="18">
        <f t="shared" si="5"/>
        <v>1</v>
      </c>
      <c r="AE333" s="18">
        <f t="shared" si="6"/>
        <v>1</v>
      </c>
    </row>
    <row r="334">
      <c r="A334" s="9">
        <f>IF(E334="","", IF('Global Precios'!B335="",0,'Global Precios'!B335))</f>
        <v>0</v>
      </c>
      <c r="B334" s="14" t="str">
        <f>IF('Global Precios'!B335="","",'Global Precios'!B335)</f>
        <v/>
      </c>
      <c r="C334" s="18">
        <f>IF('Global Precios'!A335="","",'Global Precios'!A335)</f>
        <v>360</v>
      </c>
      <c r="D334" s="18"/>
      <c r="E334" s="25" t="str">
        <f>IF('Global Precios'!D335="","",'Global Precios'!D335)</f>
        <v>PELOTA SOGA MEDIANA</v>
      </c>
      <c r="F334" s="18"/>
      <c r="G334" s="25">
        <f>IFERROR(VLOOKUP(C334,'BuscarV Stock'!$A$2:$C$478,3,0),"AAA")</f>
        <v>2</v>
      </c>
      <c r="H334" s="25">
        <f t="shared" si="1"/>
        <v>0.21</v>
      </c>
      <c r="I334" s="30">
        <f>IF('Global Precios'!H335="","",'Global Precios'!H335)</f>
        <v>471</v>
      </c>
      <c r="J334" s="82">
        <f>IF('Global Precios'!K335="","",'Global Precios'!K335)</f>
        <v>1</v>
      </c>
      <c r="K334" s="30">
        <f>IF('Global Precios'!Z335="Desactivado",0,IF('Global Precios'!L335="","",'Global Precios'!L335))</f>
        <v>5000</v>
      </c>
      <c r="L334" s="18"/>
      <c r="M334" s="18"/>
      <c r="N334" s="18"/>
      <c r="O334" s="18"/>
      <c r="P334" s="18"/>
      <c r="Q334" s="18"/>
      <c r="R334" s="18" t="str">
        <f>IF('Global Precios'!F335="","",'Global Precios'!F335)</f>
        <v>Pet-shop</v>
      </c>
      <c r="S334" s="18"/>
      <c r="T334" s="18" t="str">
        <f>IF('Global Precios'!E335="","",'Global Precios'!E335)</f>
        <v/>
      </c>
      <c r="U334" s="18"/>
      <c r="V334" s="18">
        <f t="shared" si="2"/>
        <v>0</v>
      </c>
      <c r="W334" s="18"/>
      <c r="X334" s="18"/>
      <c r="Y334" s="18"/>
      <c r="Z334" s="18"/>
      <c r="AA334" s="18"/>
      <c r="AB334" s="18">
        <f t="shared" si="3"/>
        <v>1</v>
      </c>
      <c r="AC334" s="18">
        <f t="shared" si="4"/>
        <v>1</v>
      </c>
      <c r="AD334" s="18">
        <f t="shared" si="5"/>
        <v>1</v>
      </c>
      <c r="AE334" s="18">
        <f t="shared" si="6"/>
        <v>1</v>
      </c>
    </row>
    <row r="335">
      <c r="A335" s="9">
        <f>IF(E335="","", IF('Global Precios'!B336="",0,'Global Precios'!B336))</f>
        <v>0</v>
      </c>
      <c r="B335" s="14" t="str">
        <f>IF('Global Precios'!B336="","",'Global Precios'!B336)</f>
        <v/>
      </c>
      <c r="C335" s="18">
        <f>IF('Global Precios'!A336="","",'Global Precios'!A336)</f>
        <v>361</v>
      </c>
      <c r="D335" s="18"/>
      <c r="E335" s="25" t="str">
        <f>IF('Global Precios'!D336="","",'Global Precios'!D336)</f>
        <v>CAJA CAT NIP</v>
      </c>
      <c r="F335" s="18"/>
      <c r="G335" s="25">
        <f>IFERROR(VLOOKUP(C335,'BuscarV Stock'!$A$2:$C$478,3,0),"AAA")</f>
        <v>0</v>
      </c>
      <c r="H335" s="25">
        <f t="shared" si="1"/>
        <v>0.21</v>
      </c>
      <c r="I335" s="30">
        <f>IF('Global Precios'!H336="","",'Global Precios'!H336)</f>
        <v>610</v>
      </c>
      <c r="J335" s="82">
        <f>IF('Global Precios'!K336="","",'Global Precios'!K336)</f>
        <v>0.8</v>
      </c>
      <c r="K335" s="30">
        <f>IF('Global Precios'!Z336="Desactivado",0,IF('Global Precios'!L336="","",'Global Precios'!L336))</f>
        <v>0</v>
      </c>
      <c r="L335" s="18"/>
      <c r="M335" s="18"/>
      <c r="N335" s="18"/>
      <c r="O335" s="18"/>
      <c r="P335" s="18"/>
      <c r="Q335" s="18"/>
      <c r="R335" s="18" t="str">
        <f>IF('Global Precios'!F336="","",'Global Precios'!F336)</f>
        <v>Pet-shop</v>
      </c>
      <c r="S335" s="18"/>
      <c r="T335" s="18" t="str">
        <f>IF('Global Precios'!E336="","",'Global Precios'!E336)</f>
        <v/>
      </c>
      <c r="U335" s="18"/>
      <c r="V335" s="18">
        <f t="shared" si="2"/>
        <v>0</v>
      </c>
      <c r="W335" s="18"/>
      <c r="X335" s="18"/>
      <c r="Y335" s="18"/>
      <c r="Z335" s="18"/>
      <c r="AA335" s="18"/>
      <c r="AB335" s="18">
        <f t="shared" si="3"/>
        <v>1</v>
      </c>
      <c r="AC335" s="18">
        <f t="shared" si="4"/>
        <v>1</v>
      </c>
      <c r="AD335" s="18">
        <f t="shared" si="5"/>
        <v>1</v>
      </c>
      <c r="AE335" s="18">
        <f t="shared" si="6"/>
        <v>1</v>
      </c>
    </row>
    <row r="336">
      <c r="A336" s="9">
        <f>IF(E336="","", IF('Global Precios'!B337="",0,'Global Precios'!B337))</f>
        <v>0</v>
      </c>
      <c r="B336" s="14" t="str">
        <f>IF('Global Precios'!B337="","",'Global Precios'!B337)</f>
        <v/>
      </c>
      <c r="C336" s="18">
        <f>IF('Global Precios'!A337="","",'Global Precios'!A337)</f>
        <v>362</v>
      </c>
      <c r="D336" s="18"/>
      <c r="E336" s="25" t="str">
        <f>IF('Global Precios'!D337="","",'Global Precios'!D337)</f>
        <v>PRETAL NYLON N° 1</v>
      </c>
      <c r="F336" s="18"/>
      <c r="G336" s="25">
        <f>IFERROR(VLOOKUP(C336,'BuscarV Stock'!$A$2:$C$478,3,0),"AAA")</f>
        <v>1</v>
      </c>
      <c r="H336" s="25">
        <f t="shared" si="1"/>
        <v>0.21</v>
      </c>
      <c r="I336" s="30">
        <f>IF('Global Precios'!H337="","",'Global Precios'!H337)</f>
        <v>305</v>
      </c>
      <c r="J336" s="82">
        <f>IF('Global Precios'!K337="","",'Global Precios'!K337)</f>
        <v>1</v>
      </c>
      <c r="K336" s="30">
        <f>IF('Global Precios'!Z337="Desactivado",0,IF('Global Precios'!L337="","",'Global Precios'!L337))</f>
        <v>3000</v>
      </c>
      <c r="L336" s="18"/>
      <c r="M336" s="18"/>
      <c r="N336" s="18"/>
      <c r="O336" s="18"/>
      <c r="P336" s="18"/>
      <c r="Q336" s="18"/>
      <c r="R336" s="18" t="str">
        <f>IF('Global Precios'!F337="","",'Global Precios'!F337)</f>
        <v>Pet-shop</v>
      </c>
      <c r="S336" s="18"/>
      <c r="T336" s="18" t="str">
        <f>IF('Global Precios'!E337="","",'Global Precios'!E337)</f>
        <v>Animall</v>
      </c>
      <c r="U336" s="18"/>
      <c r="V336" s="18">
        <f t="shared" si="2"/>
        <v>0</v>
      </c>
      <c r="W336" s="18"/>
      <c r="X336" s="18"/>
      <c r="Y336" s="18"/>
      <c r="Z336" s="18"/>
      <c r="AA336" s="18"/>
      <c r="AB336" s="18">
        <f t="shared" si="3"/>
        <v>1</v>
      </c>
      <c r="AC336" s="18">
        <f t="shared" si="4"/>
        <v>1</v>
      </c>
      <c r="AD336" s="18">
        <f t="shared" si="5"/>
        <v>1</v>
      </c>
      <c r="AE336" s="18">
        <f t="shared" si="6"/>
        <v>1</v>
      </c>
    </row>
    <row r="337">
      <c r="A337" s="9">
        <f>IF(E337="","", IF('Global Precios'!B338="",0,'Global Precios'!B338))</f>
        <v>0</v>
      </c>
      <c r="B337" s="14" t="str">
        <f>IF('Global Precios'!B338="","",'Global Precios'!B338)</f>
        <v/>
      </c>
      <c r="C337" s="18">
        <f>IF('Global Precios'!A338="","",'Global Precios'!A338)</f>
        <v>363</v>
      </c>
      <c r="D337" s="18"/>
      <c r="E337" s="25" t="str">
        <f>IF('Global Precios'!D338="","",'Global Precios'!D338)</f>
        <v>VARITA GATO RATITA</v>
      </c>
      <c r="F337" s="18"/>
      <c r="G337" s="25">
        <f>IFERROR(VLOOKUP(C337,'BuscarV Stock'!$A$2:$C$478,3,0),"AAA")</f>
        <v>1</v>
      </c>
      <c r="H337" s="25">
        <f t="shared" si="1"/>
        <v>0.21</v>
      </c>
      <c r="I337" s="30">
        <f>IF('Global Precios'!H338="","",'Global Precios'!H338)</f>
        <v>375</v>
      </c>
      <c r="J337" s="82">
        <f>IF('Global Precios'!K338="","",'Global Precios'!K338)</f>
        <v>1</v>
      </c>
      <c r="K337" s="30">
        <f>IF('Global Precios'!Z338="Desactivado",0,IF('Global Precios'!L338="","",'Global Precios'!L338))</f>
        <v>4500</v>
      </c>
      <c r="L337" s="18"/>
      <c r="M337" s="18"/>
      <c r="N337" s="18"/>
      <c r="O337" s="18"/>
      <c r="P337" s="18"/>
      <c r="Q337" s="18"/>
      <c r="R337" s="18" t="str">
        <f>IF('Global Precios'!F338="","",'Global Precios'!F338)</f>
        <v>Pet-shop</v>
      </c>
      <c r="S337" s="18"/>
      <c r="T337" s="18" t="str">
        <f>IF('Global Precios'!E338="","",'Global Precios'!E338)</f>
        <v/>
      </c>
      <c r="U337" s="18"/>
      <c r="V337" s="18">
        <f t="shared" si="2"/>
        <v>0</v>
      </c>
      <c r="W337" s="18"/>
      <c r="X337" s="18"/>
      <c r="Y337" s="18"/>
      <c r="Z337" s="18"/>
      <c r="AA337" s="18"/>
      <c r="AB337" s="18">
        <f t="shared" si="3"/>
        <v>1</v>
      </c>
      <c r="AC337" s="18">
        <f t="shared" si="4"/>
        <v>1</v>
      </c>
      <c r="AD337" s="18">
        <f t="shared" si="5"/>
        <v>1</v>
      </c>
      <c r="AE337" s="18">
        <f t="shared" si="6"/>
        <v>1</v>
      </c>
    </row>
    <row r="338">
      <c r="A338" s="9">
        <f>IF(E338="","", IF('Global Precios'!B339="",0,'Global Precios'!B339))</f>
        <v>0</v>
      </c>
      <c r="B338" s="14" t="str">
        <f>IF('Global Precios'!B339="","",'Global Precios'!B339)</f>
        <v/>
      </c>
      <c r="C338" s="18">
        <f>IF('Global Precios'!A339="","",'Global Precios'!A339)</f>
        <v>364</v>
      </c>
      <c r="D338" s="18"/>
      <c r="E338" s="25" t="str">
        <f>IF('Global Precios'!D339="","",'Global Precios'!D339)</f>
        <v>PESA/MANCUERNA CON PINCHE Y CHIFLE</v>
      </c>
      <c r="F338" s="18"/>
      <c r="G338" s="25">
        <f>IFERROR(VLOOKUP(C338,'BuscarV Stock'!$A$2:$C$478,3,0),"AAA")</f>
        <v>0</v>
      </c>
      <c r="H338" s="25">
        <f t="shared" si="1"/>
        <v>0.21</v>
      </c>
      <c r="I338" s="30">
        <f>IF('Global Precios'!H339="","",'Global Precios'!H339)</f>
        <v>364</v>
      </c>
      <c r="J338" s="82">
        <f>IF('Global Precios'!K339="","",'Global Precios'!K339)</f>
        <v>1</v>
      </c>
      <c r="K338" s="30">
        <f>IF('Global Precios'!Z339="Desactivado",0,IF('Global Precios'!L339="","",'Global Precios'!L339))</f>
        <v>0</v>
      </c>
      <c r="L338" s="18"/>
      <c r="M338" s="18"/>
      <c r="N338" s="18"/>
      <c r="O338" s="18"/>
      <c r="P338" s="18"/>
      <c r="Q338" s="18"/>
      <c r="R338" s="18" t="str">
        <f>IF('Global Precios'!F339="","",'Global Precios'!F339)</f>
        <v>Pet-shop</v>
      </c>
      <c r="S338" s="18"/>
      <c r="T338" s="18" t="str">
        <f>IF('Global Precios'!E339="","",'Global Precios'!E339)</f>
        <v/>
      </c>
      <c r="U338" s="18"/>
      <c r="V338" s="18">
        <f t="shared" si="2"/>
        <v>0</v>
      </c>
      <c r="W338" s="18"/>
      <c r="X338" s="18"/>
      <c r="Y338" s="18"/>
      <c r="Z338" s="18"/>
      <c r="AA338" s="18"/>
      <c r="AB338" s="18">
        <f t="shared" si="3"/>
        <v>1</v>
      </c>
      <c r="AC338" s="18">
        <f t="shared" si="4"/>
        <v>1</v>
      </c>
      <c r="AD338" s="18">
        <f t="shared" si="5"/>
        <v>1</v>
      </c>
      <c r="AE338" s="18">
        <f t="shared" si="6"/>
        <v>1</v>
      </c>
    </row>
    <row r="339">
      <c r="A339" s="9">
        <f>IF(E339="","", IF('Global Precios'!B340="",0,'Global Precios'!B340))</f>
        <v>0</v>
      </c>
      <c r="B339" s="14" t="str">
        <f>IF('Global Precios'!B340="","",'Global Precios'!B340)</f>
        <v/>
      </c>
      <c r="C339" s="18">
        <f>IF('Global Precios'!A340="","",'Global Precios'!A340)</f>
        <v>365</v>
      </c>
      <c r="D339" s="18"/>
      <c r="E339" s="25" t="str">
        <f>IF('Global Precios'!D340="","",'Global Precios'!D340)</f>
        <v>PRO PLAN GASTROENTERICO GATOS 1.5 KG</v>
      </c>
      <c r="F339" s="18"/>
      <c r="G339" s="25">
        <f>IFERROR(VLOOKUP(C339,'BuscarV Stock'!$A$2:$C$478,3,0),"AAA")</f>
        <v>0</v>
      </c>
      <c r="H339" s="25">
        <f t="shared" si="1"/>
        <v>0.21</v>
      </c>
      <c r="I339" s="30">
        <f>IF('Global Precios'!H340="","",'Global Precios'!H340)</f>
        <v>2671.900826</v>
      </c>
      <c r="J339" s="82">
        <f>IF('Global Precios'!K340="","",'Global Precios'!K340)</f>
        <v>0.5</v>
      </c>
      <c r="K339" s="30">
        <f>IF('Global Precios'!Z340="Desactivado",0,IF('Global Precios'!L340="","",'Global Precios'!L340))</f>
        <v>0</v>
      </c>
      <c r="L339" s="18"/>
      <c r="M339" s="18"/>
      <c r="N339" s="18"/>
      <c r="O339" s="18"/>
      <c r="P339" s="18"/>
      <c r="Q339" s="18"/>
      <c r="R339" s="18" t="str">
        <f>IF('Global Precios'!F340="","",'Global Precios'!F340)</f>
        <v>Alimentos</v>
      </c>
      <c r="S339" s="18"/>
      <c r="T339" s="18" t="str">
        <f>IF('Global Precios'!E340="","",'Global Precios'!E340)</f>
        <v>PRO PLAN</v>
      </c>
      <c r="U339" s="18"/>
      <c r="V339" s="18">
        <f t="shared" si="2"/>
        <v>0</v>
      </c>
      <c r="W339" s="18"/>
      <c r="X339" s="18"/>
      <c r="Y339" s="18"/>
      <c r="Z339" s="18"/>
      <c r="AA339" s="18"/>
      <c r="AB339" s="18">
        <f t="shared" si="3"/>
        <v>1</v>
      </c>
      <c r="AC339" s="18">
        <f t="shared" si="4"/>
        <v>1</v>
      </c>
      <c r="AD339" s="18">
        <f t="shared" si="5"/>
        <v>1</v>
      </c>
      <c r="AE339" s="18">
        <f t="shared" si="6"/>
        <v>1</v>
      </c>
    </row>
    <row r="340">
      <c r="A340" s="9">
        <f>IF(E340="","", IF('Global Precios'!B341="",0,'Global Precios'!B341))</f>
        <v>0</v>
      </c>
      <c r="B340" s="14" t="str">
        <f>IF('Global Precios'!B341="","",'Global Precios'!B341)</f>
        <v/>
      </c>
      <c r="C340" s="18">
        <f>IF('Global Precios'!A341="","",'Global Precios'!A341)</f>
        <v>366</v>
      </c>
      <c r="D340" s="18"/>
      <c r="E340" s="25" t="str">
        <f>IF('Global Precios'!D341="","",'Global Precios'!D341)</f>
        <v>PRO PLAN CARDIOLOGICO PERRO 2 KG</v>
      </c>
      <c r="F340" s="18"/>
      <c r="G340" s="25">
        <f>IFERROR(VLOOKUP(C340,'BuscarV Stock'!$A$2:$C$478,3,0),"AAA")</f>
        <v>1</v>
      </c>
      <c r="H340" s="25">
        <f t="shared" si="1"/>
        <v>0.21</v>
      </c>
      <c r="I340" s="30">
        <f>IF('Global Precios'!H341="","",'Global Precios'!H341)</f>
        <v>2714.876033</v>
      </c>
      <c r="J340" s="82">
        <f>IF('Global Precios'!K341="","",'Global Precios'!K341)</f>
        <v>0.5</v>
      </c>
      <c r="K340" s="30">
        <f>IF('Global Precios'!Z341="Desactivado",0,IF('Global Precios'!L341="","",'Global Precios'!L341))</f>
        <v>0</v>
      </c>
      <c r="L340" s="18"/>
      <c r="M340" s="18"/>
      <c r="N340" s="18"/>
      <c r="O340" s="18"/>
      <c r="P340" s="18"/>
      <c r="Q340" s="18"/>
      <c r="R340" s="18" t="str">
        <f>IF('Global Precios'!F341="","",'Global Precios'!F341)</f>
        <v>Alimentos</v>
      </c>
      <c r="S340" s="18"/>
      <c r="T340" s="18" t="str">
        <f>IF('Global Precios'!E341="","",'Global Precios'!E341)</f>
        <v>PRO PLAN</v>
      </c>
      <c r="U340" s="18"/>
      <c r="V340" s="18">
        <f t="shared" si="2"/>
        <v>0</v>
      </c>
      <c r="W340" s="18"/>
      <c r="X340" s="18"/>
      <c r="Y340" s="18"/>
      <c r="Z340" s="18"/>
      <c r="AA340" s="18"/>
      <c r="AB340" s="18">
        <f t="shared" si="3"/>
        <v>1</v>
      </c>
      <c r="AC340" s="18">
        <f t="shared" si="4"/>
        <v>1</v>
      </c>
      <c r="AD340" s="18">
        <f t="shared" si="5"/>
        <v>1</v>
      </c>
      <c r="AE340" s="18">
        <f t="shared" si="6"/>
        <v>1</v>
      </c>
    </row>
    <row r="341">
      <c r="A341" s="9">
        <f>IF(E341="","", IF('Global Precios'!B342="",0,'Global Precios'!B342))</f>
        <v>0</v>
      </c>
      <c r="B341" s="14" t="str">
        <f>IF('Global Precios'!B342="","",'Global Precios'!B342)</f>
        <v/>
      </c>
      <c r="C341" s="18">
        <f>IF('Global Precios'!A342="","",'Global Precios'!A342)</f>
        <v>367</v>
      </c>
      <c r="D341" s="18"/>
      <c r="E341" s="25" t="str">
        <f>IF('Global Precios'!D342="","",'Global Precios'!D342)</f>
        <v>ROCHY AEROSOL X 267 GR</v>
      </c>
      <c r="F341" s="18"/>
      <c r="G341" s="25">
        <f>IFERROR(VLOOKUP(C341,'BuscarV Stock'!$A$2:$C$478,3,0),"AAA")</f>
        <v>0</v>
      </c>
      <c r="H341" s="25">
        <f t="shared" si="1"/>
        <v>0.21</v>
      </c>
      <c r="I341" s="30">
        <f>IF('Global Precios'!H342="","",'Global Precios'!H342)</f>
        <v>5797.520661</v>
      </c>
      <c r="J341" s="82">
        <f>IF('Global Precios'!K342="","",'Global Precios'!K342)</f>
        <v>0.8</v>
      </c>
      <c r="K341" s="30">
        <f>IF('Global Precios'!Z342="Desactivado",0,IF('Global Precios'!L342="","",'Global Precios'!L342))</f>
        <v>13000</v>
      </c>
      <c r="L341" s="18"/>
      <c r="M341" s="18"/>
      <c r="N341" s="18"/>
      <c r="O341" s="18"/>
      <c r="P341" s="18"/>
      <c r="Q341" s="18"/>
      <c r="R341" s="18" t="str">
        <f>IF('Global Precios'!F342="","",'Global Precios'!F342)</f>
        <v>Medicamentos</v>
      </c>
      <c r="S341" s="18"/>
      <c r="T341" s="18" t="str">
        <f>IF('Global Precios'!E342="","",'Global Precios'!E342)</f>
        <v>ZOOVET G.A</v>
      </c>
      <c r="U341" s="18"/>
      <c r="V341" s="18">
        <f t="shared" si="2"/>
        <v>0</v>
      </c>
      <c r="W341" s="18"/>
      <c r="X341" s="18"/>
      <c r="Y341" s="18"/>
      <c r="Z341" s="18"/>
      <c r="AA341" s="18"/>
      <c r="AB341" s="18">
        <f t="shared" si="3"/>
        <v>1</v>
      </c>
      <c r="AC341" s="18">
        <f t="shared" si="4"/>
        <v>1</v>
      </c>
      <c r="AD341" s="18">
        <f t="shared" si="5"/>
        <v>1</v>
      </c>
      <c r="AE341" s="18">
        <f t="shared" si="6"/>
        <v>1</v>
      </c>
    </row>
    <row r="342">
      <c r="A342" s="9">
        <f>IF(E342="","", IF('Global Precios'!B343="",0,'Global Precios'!B343))</f>
        <v>0</v>
      </c>
      <c r="B342" s="14" t="str">
        <f>IF('Global Precios'!B343="","",'Global Precios'!B343)</f>
        <v/>
      </c>
      <c r="C342" s="18">
        <f>IF('Global Precios'!A343="","",'Global Precios'!A343)</f>
        <v>368</v>
      </c>
      <c r="D342" s="18"/>
      <c r="E342" s="25" t="str">
        <f>IF('Global Precios'!D343="","",'Global Precios'!D343)</f>
        <v>HECTOPAR PUNTA OREJA X 5 ML</v>
      </c>
      <c r="F342" s="18"/>
      <c r="G342" s="25">
        <f>IFERROR(VLOOKUP(C342,'BuscarV Stock'!$A$2:$C$478,3,0),"AAA")</f>
        <v>0</v>
      </c>
      <c r="H342" s="25">
        <f t="shared" si="1"/>
        <v>0.21</v>
      </c>
      <c r="I342" s="30">
        <f>IF('Global Precios'!H343="","",'Global Precios'!H343)</f>
        <v>2107.438017</v>
      </c>
      <c r="J342" s="82">
        <f>IF('Global Precios'!K343="","",'Global Precios'!K343)</f>
        <v>0.8</v>
      </c>
      <c r="K342" s="30">
        <f>IF('Global Precios'!Z343="Desactivado",0,IF('Global Precios'!L343="","",'Global Precios'!L343))</f>
        <v>4500</v>
      </c>
      <c r="L342" s="18"/>
      <c r="M342" s="18"/>
      <c r="N342" s="18"/>
      <c r="O342" s="18"/>
      <c r="P342" s="18"/>
      <c r="Q342" s="18"/>
      <c r="R342" s="18" t="str">
        <f>IF('Global Precios'!F343="","",'Global Precios'!F343)</f>
        <v>Medicamentos</v>
      </c>
      <c r="S342" s="18"/>
      <c r="T342" s="18" t="str">
        <f>IF('Global Precios'!E343="","",'Global Precios'!E343)</f>
        <v>ELMER P.A</v>
      </c>
      <c r="U342" s="18"/>
      <c r="V342" s="18">
        <f t="shared" si="2"/>
        <v>0</v>
      </c>
      <c r="W342" s="18"/>
      <c r="X342" s="18"/>
      <c r="Y342" s="18"/>
      <c r="Z342" s="18"/>
      <c r="AA342" s="18"/>
      <c r="AB342" s="18">
        <f t="shared" si="3"/>
        <v>1</v>
      </c>
      <c r="AC342" s="18">
        <f t="shared" si="4"/>
        <v>1</v>
      </c>
      <c r="AD342" s="18">
        <f t="shared" si="5"/>
        <v>1</v>
      </c>
      <c r="AE342" s="18">
        <f t="shared" si="6"/>
        <v>1</v>
      </c>
    </row>
    <row r="343">
      <c r="A343" s="9">
        <f>IF(E343="","", IF('Global Precios'!B344="",0,'Global Precios'!B344))</f>
        <v>0</v>
      </c>
      <c r="B343" s="14" t="str">
        <f>IF('Global Precios'!B344="","",'Global Precios'!B344)</f>
        <v/>
      </c>
      <c r="C343" s="18">
        <f>IF('Global Precios'!A344="","",'Global Precios'!A344)</f>
        <v>369</v>
      </c>
      <c r="D343" s="18"/>
      <c r="E343" s="25" t="str">
        <f>IF('Global Precios'!D344="","",'Global Precios'!D344)</f>
        <v>KIL TALCO X 100 ML</v>
      </c>
      <c r="F343" s="18"/>
      <c r="G343" s="25">
        <f>IFERROR(VLOOKUP(C343,'BuscarV Stock'!$A$2:$C$478,3,0),"AAA")</f>
        <v>1</v>
      </c>
      <c r="H343" s="25">
        <f t="shared" si="1"/>
        <v>0.21</v>
      </c>
      <c r="I343" s="30">
        <f>IF('Global Precios'!H344="","",'Global Precios'!H344)</f>
        <v>4861.157025</v>
      </c>
      <c r="J343" s="82">
        <f>IF('Global Precios'!K344="","",'Global Precios'!K344)</f>
        <v>0.8</v>
      </c>
      <c r="K343" s="30">
        <f>IF('Global Precios'!Z344="Desactivado",0,IF('Global Precios'!L344="","",'Global Precios'!L344))</f>
        <v>11000</v>
      </c>
      <c r="L343" s="18"/>
      <c r="M343" s="18"/>
      <c r="N343" s="18"/>
      <c r="O343" s="18"/>
      <c r="P343" s="18"/>
      <c r="Q343" s="18"/>
      <c r="R343" s="18" t="str">
        <f>IF('Global Precios'!F344="","",'Global Precios'!F344)</f>
        <v>Medicamentos</v>
      </c>
      <c r="S343" s="18"/>
      <c r="T343" s="18" t="str">
        <f>IF('Global Precios'!E344="","",'Global Precios'!E344)</f>
        <v>BROUWER PA</v>
      </c>
      <c r="U343" s="18"/>
      <c r="V343" s="18">
        <f t="shared" si="2"/>
        <v>0</v>
      </c>
      <c r="W343" s="18"/>
      <c r="X343" s="18"/>
      <c r="Y343" s="18"/>
      <c r="Z343" s="18"/>
      <c r="AA343" s="18"/>
      <c r="AB343" s="18">
        <f t="shared" si="3"/>
        <v>1</v>
      </c>
      <c r="AC343" s="18">
        <f t="shared" si="4"/>
        <v>1</v>
      </c>
      <c r="AD343" s="18">
        <f t="shared" si="5"/>
        <v>1</v>
      </c>
      <c r="AE343" s="18">
        <f t="shared" si="6"/>
        <v>1</v>
      </c>
    </row>
    <row r="344">
      <c r="A344" s="9">
        <f>IF(E344="","", IF('Global Precios'!B345="",0,'Global Precios'!B345))</f>
        <v>0</v>
      </c>
      <c r="B344" s="14" t="str">
        <f>IF('Global Precios'!B345="","",'Global Precios'!B345)</f>
        <v/>
      </c>
      <c r="C344" s="18">
        <f>IF('Global Precios'!A345="","",'Global Precios'!A345)</f>
        <v>370</v>
      </c>
      <c r="D344" s="18"/>
      <c r="E344" s="25" t="str">
        <f>IF('Global Precios'!D345="","",'Global Precios'!D345)</f>
        <v>CREMA DERMOMAX X 40 GR</v>
      </c>
      <c r="F344" s="18"/>
      <c r="G344" s="25">
        <f>IFERROR(VLOOKUP(C344,'BuscarV Stock'!$A$2:$C$478,3,0),"AAA")</f>
        <v>0</v>
      </c>
      <c r="H344" s="25">
        <f t="shared" si="1"/>
        <v>0.21</v>
      </c>
      <c r="I344" s="30">
        <f>IF('Global Precios'!H345="","",'Global Precios'!H345)</f>
        <v>1127.272727</v>
      </c>
      <c r="J344" s="82">
        <f>IF('Global Precios'!K345="","",'Global Precios'!K345)</f>
        <v>0.8</v>
      </c>
      <c r="K344" s="30">
        <f>IF('Global Precios'!Z345="Desactivado",0,IF('Global Precios'!L345="","",'Global Precios'!L345))</f>
        <v>0</v>
      </c>
      <c r="L344" s="18"/>
      <c r="M344" s="18"/>
      <c r="N344" s="18"/>
      <c r="O344" s="18"/>
      <c r="P344" s="18"/>
      <c r="Q344" s="18"/>
      <c r="R344" s="18" t="str">
        <f>IF('Global Precios'!F345="","",'Global Precios'!F345)</f>
        <v>Medicamentos</v>
      </c>
      <c r="S344" s="18"/>
      <c r="T344" s="18" t="str">
        <f>IF('Global Precios'!E345="","",'Global Precios'!E345)</f>
        <v>BROUWER PA</v>
      </c>
      <c r="U344" s="18"/>
      <c r="V344" s="18">
        <f t="shared" si="2"/>
        <v>0</v>
      </c>
      <c r="W344" s="18"/>
      <c r="X344" s="18"/>
      <c r="Y344" s="18"/>
      <c r="Z344" s="18"/>
      <c r="AA344" s="18"/>
      <c r="AB344" s="18">
        <f t="shared" si="3"/>
        <v>1</v>
      </c>
      <c r="AC344" s="18">
        <f t="shared" si="4"/>
        <v>1</v>
      </c>
      <c r="AD344" s="18">
        <f t="shared" si="5"/>
        <v>1</v>
      </c>
      <c r="AE344" s="18">
        <f t="shared" si="6"/>
        <v>1</v>
      </c>
    </row>
    <row r="345">
      <c r="A345" s="9">
        <f>IF(E345="","", IF('Global Precios'!B346="",0,'Global Precios'!B346))</f>
        <v>0</v>
      </c>
      <c r="B345" s="14" t="str">
        <f>IF('Global Precios'!B346="","",'Global Precios'!B346)</f>
        <v/>
      </c>
      <c r="C345" s="18">
        <f>IF('Global Precios'!A346="","",'Global Precios'!A346)</f>
        <v>371</v>
      </c>
      <c r="D345" s="18"/>
      <c r="E345" s="25" t="str">
        <f>IF('Global Precios'!D346="","",'Global Precios'!D346)</f>
        <v>SIEGER ADULTOS RAZAS MEDIANAS Y GRANDES Present: 3 KG</v>
      </c>
      <c r="F345" s="18"/>
      <c r="G345" s="25">
        <f>IFERROR(VLOOKUP(C345,'BuscarV Stock'!$A$2:$C$478,3,0),"AAA")</f>
        <v>0</v>
      </c>
      <c r="H345" s="25">
        <f t="shared" si="1"/>
        <v>0.21</v>
      </c>
      <c r="I345" s="30">
        <f>IF('Global Precios'!H346="","",'Global Precios'!H346)</f>
        <v>7028.099174</v>
      </c>
      <c r="J345" s="82">
        <f>IF('Global Precios'!K346="","",'Global Precios'!K346)</f>
        <v>0.3</v>
      </c>
      <c r="K345" s="30">
        <f>IF('Global Precios'!Z346="Desactivado",0,IF('Global Precios'!L346="","",'Global Precios'!L346))</f>
        <v>0</v>
      </c>
      <c r="L345" s="18"/>
      <c r="M345" s="18"/>
      <c r="N345" s="18"/>
      <c r="O345" s="18"/>
      <c r="P345" s="18"/>
      <c r="Q345" s="18"/>
      <c r="R345" s="18" t="str">
        <f>IF('Global Precios'!F346="","",'Global Precios'!F346)</f>
        <v>Alimentos</v>
      </c>
      <c r="S345" s="18"/>
      <c r="T345" s="18" t="str">
        <f>IF('Global Precios'!E346="","",'Global Precios'!E346)</f>
        <v>SIEGER</v>
      </c>
      <c r="U345" s="18"/>
      <c r="V345" s="18">
        <f t="shared" si="2"/>
        <v>0</v>
      </c>
      <c r="W345" s="18"/>
      <c r="X345" s="18"/>
      <c r="Y345" s="18"/>
      <c r="Z345" s="18"/>
      <c r="AA345" s="18"/>
      <c r="AB345" s="18">
        <f t="shared" si="3"/>
        <v>1</v>
      </c>
      <c r="AC345" s="18">
        <f t="shared" si="4"/>
        <v>1</v>
      </c>
      <c r="AD345" s="18">
        <f t="shared" si="5"/>
        <v>1</v>
      </c>
      <c r="AE345" s="18">
        <f t="shared" si="6"/>
        <v>1</v>
      </c>
    </row>
    <row r="346">
      <c r="A346" s="9">
        <f>IF(E346="","", IF('Global Precios'!B347="",0,'Global Precios'!B347))</f>
        <v>0</v>
      </c>
      <c r="B346" s="14" t="str">
        <f>IF('Global Precios'!B347="","",'Global Precios'!B347)</f>
        <v/>
      </c>
      <c r="C346" s="18">
        <f>IF('Global Precios'!A347="","",'Global Precios'!A347)</f>
        <v>372</v>
      </c>
      <c r="D346" s="18"/>
      <c r="E346" s="25" t="str">
        <f>IF('Global Precios'!D347="","",'Global Precios'!D347)</f>
        <v>AMOXICILINA 875+AC CLAVULANICO TIRA X 7 COMPR.</v>
      </c>
      <c r="F346" s="18"/>
      <c r="G346" s="25">
        <f>IFERROR(VLOOKUP(C346,'BuscarV Stock'!$A$2:$C$478,3,0),"AAA")</f>
        <v>0</v>
      </c>
      <c r="H346" s="25">
        <f t="shared" si="1"/>
        <v>0.21</v>
      </c>
      <c r="I346" s="30">
        <f>IF('Global Precios'!H347="","",'Global Precios'!H347)</f>
        <v>829.7520661</v>
      </c>
      <c r="J346" s="82">
        <f>IF('Global Precios'!K347="","",'Global Precios'!K347)</f>
        <v>1</v>
      </c>
      <c r="K346" s="30">
        <f>IF('Global Precios'!Z347="Desactivado",0,IF('Global Precios'!L347="","",'Global Precios'!L347))</f>
        <v>0</v>
      </c>
      <c r="L346" s="18"/>
      <c r="M346" s="18"/>
      <c r="N346" s="18"/>
      <c r="O346" s="18"/>
      <c r="P346" s="18"/>
      <c r="Q346" s="18"/>
      <c r="R346" s="18" t="str">
        <f>IF('Global Precios'!F347="","",'Global Precios'!F347)</f>
        <v>Medicamentos</v>
      </c>
      <c r="S346" s="18"/>
      <c r="T346" s="18" t="str">
        <f>IF('Global Precios'!E347="","",'Global Precios'!E347)</f>
        <v/>
      </c>
      <c r="U346" s="18"/>
      <c r="V346" s="18">
        <f t="shared" si="2"/>
        <v>0</v>
      </c>
      <c r="W346" s="18"/>
      <c r="X346" s="18"/>
      <c r="Y346" s="18"/>
      <c r="Z346" s="18"/>
      <c r="AA346" s="18"/>
      <c r="AB346" s="18">
        <f t="shared" si="3"/>
        <v>1</v>
      </c>
      <c r="AC346" s="18">
        <f t="shared" si="4"/>
        <v>1</v>
      </c>
      <c r="AD346" s="18">
        <f t="shared" si="5"/>
        <v>1</v>
      </c>
      <c r="AE346" s="18">
        <f t="shared" si="6"/>
        <v>1</v>
      </c>
    </row>
    <row r="347">
      <c r="A347" s="9">
        <f>IF(E347="","", IF('Global Precios'!B348="",0,'Global Precios'!B348))</f>
        <v>0</v>
      </c>
      <c r="B347" s="14" t="str">
        <f>IF('Global Precios'!B348="","",'Global Precios'!B348)</f>
        <v/>
      </c>
      <c r="C347" s="18">
        <f>IF('Global Precios'!A348="","",'Global Precios'!A348)</f>
        <v>373</v>
      </c>
      <c r="D347" s="18"/>
      <c r="E347" s="25" t="str">
        <f>IF('Global Precios'!D348="","",'Global Precios'!D348)</f>
        <v>PONCHO TALLE 1</v>
      </c>
      <c r="F347" s="18"/>
      <c r="G347" s="25">
        <f>IFERROR(VLOOKUP(C347,'BuscarV Stock'!$A$2:$C$478,3,0),"AAA")</f>
        <v>2</v>
      </c>
      <c r="H347" s="25">
        <f t="shared" si="1"/>
        <v>0.21</v>
      </c>
      <c r="I347" s="30">
        <f>IF('Global Precios'!H348="","",'Global Precios'!H348)</f>
        <v>384</v>
      </c>
      <c r="J347" s="82">
        <f>IF('Global Precios'!K348="","",'Global Precios'!K348)</f>
        <v>0.8</v>
      </c>
      <c r="K347" s="30">
        <f>IF('Global Precios'!Z348="Desactivado",0,IF('Global Precios'!L348="","",'Global Precios'!L348))</f>
        <v>2500</v>
      </c>
      <c r="L347" s="18"/>
      <c r="M347" s="18"/>
      <c r="N347" s="18"/>
      <c r="O347" s="18"/>
      <c r="P347" s="18"/>
      <c r="Q347" s="18"/>
      <c r="R347" s="18" t="str">
        <f>IF('Global Precios'!F348="","",'Global Precios'!F348)</f>
        <v>Pet-shop</v>
      </c>
      <c r="S347" s="18"/>
      <c r="T347" s="18" t="str">
        <f>IF('Global Precios'!E348="","",'Global Precios'!E348)</f>
        <v/>
      </c>
      <c r="U347" s="18"/>
      <c r="V347" s="18">
        <f t="shared" si="2"/>
        <v>0</v>
      </c>
      <c r="W347" s="18"/>
      <c r="X347" s="18"/>
      <c r="Y347" s="18"/>
      <c r="Z347" s="18"/>
      <c r="AA347" s="18"/>
      <c r="AB347" s="18">
        <f t="shared" si="3"/>
        <v>1</v>
      </c>
      <c r="AC347" s="18">
        <f t="shared" si="4"/>
        <v>1</v>
      </c>
      <c r="AD347" s="18">
        <f t="shared" si="5"/>
        <v>1</v>
      </c>
      <c r="AE347" s="18">
        <f t="shared" si="6"/>
        <v>1</v>
      </c>
    </row>
    <row r="348">
      <c r="A348" s="9">
        <f>IF(E348="","", IF('Global Precios'!B349="",0,'Global Precios'!B349))</f>
        <v>0</v>
      </c>
      <c r="B348" s="14" t="str">
        <f>IF('Global Precios'!B349="","",'Global Precios'!B349)</f>
        <v/>
      </c>
      <c r="C348" s="18">
        <f>IF('Global Precios'!A349="","",'Global Precios'!A349)</f>
        <v>374</v>
      </c>
      <c r="D348" s="18"/>
      <c r="E348" s="25" t="str">
        <f>IF('Global Precios'!D349="","",'Global Precios'!D349)</f>
        <v>PONCHO TALLE 2</v>
      </c>
      <c r="F348" s="18"/>
      <c r="G348" s="25">
        <f>IFERROR(VLOOKUP(C348,'BuscarV Stock'!$A$2:$C$478,3,0),"AAA")</f>
        <v>1</v>
      </c>
      <c r="H348" s="25">
        <f t="shared" si="1"/>
        <v>0.21</v>
      </c>
      <c r="I348" s="30">
        <f>IF('Global Precios'!H349="","",'Global Precios'!H349)</f>
        <v>458</v>
      </c>
      <c r="J348" s="82">
        <f>IF('Global Precios'!K349="","",'Global Precios'!K349)</f>
        <v>0.8</v>
      </c>
      <c r="K348" s="30">
        <f>IF('Global Precios'!Z349="Desactivado",0,IF('Global Precios'!L349="","",'Global Precios'!L349))</f>
        <v>3500</v>
      </c>
      <c r="L348" s="18"/>
      <c r="M348" s="18"/>
      <c r="N348" s="18"/>
      <c r="O348" s="18"/>
      <c r="P348" s="18"/>
      <c r="Q348" s="18"/>
      <c r="R348" s="18" t="str">
        <f>IF('Global Precios'!F349="","",'Global Precios'!F349)</f>
        <v>Pet-shop</v>
      </c>
      <c r="S348" s="18"/>
      <c r="T348" s="18" t="str">
        <f>IF('Global Precios'!E349="","",'Global Precios'!E349)</f>
        <v/>
      </c>
      <c r="U348" s="18"/>
      <c r="V348" s="18">
        <f t="shared" si="2"/>
        <v>0</v>
      </c>
      <c r="W348" s="18"/>
      <c r="X348" s="18"/>
      <c r="Y348" s="18"/>
      <c r="Z348" s="18"/>
      <c r="AA348" s="18"/>
      <c r="AB348" s="18">
        <f t="shared" si="3"/>
        <v>1</v>
      </c>
      <c r="AC348" s="18">
        <f t="shared" si="4"/>
        <v>1</v>
      </c>
      <c r="AD348" s="18">
        <f t="shared" si="5"/>
        <v>1</v>
      </c>
      <c r="AE348" s="18">
        <f t="shared" si="6"/>
        <v>1</v>
      </c>
    </row>
    <row r="349">
      <c r="A349" s="9">
        <f>IF(E349="","", IF('Global Precios'!B350="",0,'Global Precios'!B350))</f>
        <v>0</v>
      </c>
      <c r="B349" s="14" t="str">
        <f>IF('Global Precios'!B350="","",'Global Precios'!B350)</f>
        <v/>
      </c>
      <c r="C349" s="18">
        <f>IF('Global Precios'!A350="","",'Global Precios'!A350)</f>
        <v>375</v>
      </c>
      <c r="D349" s="18"/>
      <c r="E349" s="25" t="str">
        <f>IF('Global Precios'!D350="","",'Global Precios'!D350)</f>
        <v>PONCHO TALLE 4</v>
      </c>
      <c r="F349" s="18"/>
      <c r="G349" s="25">
        <f>IFERROR(VLOOKUP(C349,'BuscarV Stock'!$A$2:$C$478,3,0),"AAA")</f>
        <v>1</v>
      </c>
      <c r="H349" s="25">
        <f t="shared" si="1"/>
        <v>0.21</v>
      </c>
      <c r="I349" s="30">
        <f>IF('Global Precios'!H350="","",'Global Precios'!H350)</f>
        <v>555</v>
      </c>
      <c r="J349" s="82">
        <f>IF('Global Precios'!K350="","",'Global Precios'!K350)</f>
        <v>0.8</v>
      </c>
      <c r="K349" s="30">
        <f>IF('Global Precios'!Z350="Desactivado",0,IF('Global Precios'!L350="","",'Global Precios'!L350))</f>
        <v>5000</v>
      </c>
      <c r="L349" s="18"/>
      <c r="M349" s="18"/>
      <c r="N349" s="18"/>
      <c r="O349" s="18"/>
      <c r="P349" s="18"/>
      <c r="Q349" s="18"/>
      <c r="R349" s="18" t="str">
        <f>IF('Global Precios'!F350="","",'Global Precios'!F350)</f>
        <v>Pet-shop</v>
      </c>
      <c r="S349" s="18"/>
      <c r="T349" s="18" t="str">
        <f>IF('Global Precios'!E350="","",'Global Precios'!E350)</f>
        <v/>
      </c>
      <c r="U349" s="18"/>
      <c r="V349" s="18">
        <f t="shared" si="2"/>
        <v>0</v>
      </c>
      <c r="W349" s="18"/>
      <c r="X349" s="18"/>
      <c r="Y349" s="18"/>
      <c r="Z349" s="18"/>
      <c r="AA349" s="18"/>
      <c r="AB349" s="18">
        <f t="shared" si="3"/>
        <v>1</v>
      </c>
      <c r="AC349" s="18">
        <f t="shared" si="4"/>
        <v>1</v>
      </c>
      <c r="AD349" s="18">
        <f t="shared" si="5"/>
        <v>1</v>
      </c>
      <c r="AE349" s="18">
        <f t="shared" si="6"/>
        <v>1</v>
      </c>
    </row>
    <row r="350">
      <c r="A350" s="9">
        <f>IF(E350="","", IF('Global Precios'!B351="",0,'Global Precios'!B351))</f>
        <v>0</v>
      </c>
      <c r="B350" s="14" t="str">
        <f>IF('Global Precios'!B351="","",'Global Precios'!B351)</f>
        <v/>
      </c>
      <c r="C350" s="18">
        <f>IF('Global Precios'!A351="","",'Global Precios'!A351)</f>
        <v>376</v>
      </c>
      <c r="D350" s="18"/>
      <c r="E350" s="25" t="str">
        <f>IF('Global Precios'!D351="","",'Global Precios'!D351)</f>
        <v>PONCHO TALLE 4 SOFT</v>
      </c>
      <c r="F350" s="18"/>
      <c r="G350" s="25">
        <f>IFERROR(VLOOKUP(C350,'BuscarV Stock'!$A$2:$C$478,3,0),"AAA")</f>
        <v>0</v>
      </c>
      <c r="H350" s="25">
        <f t="shared" si="1"/>
        <v>0.21</v>
      </c>
      <c r="I350" s="30">
        <f>IF('Global Precios'!H351="","",'Global Precios'!H351)</f>
        <v>555</v>
      </c>
      <c r="J350" s="82">
        <f>IF('Global Precios'!K351="","",'Global Precios'!K351)</f>
        <v>0.8</v>
      </c>
      <c r="K350" s="30">
        <f>IF('Global Precios'!Z351="Desactivado",0,IF('Global Precios'!L351="","",'Global Precios'!L351))</f>
        <v>0</v>
      </c>
      <c r="L350" s="18"/>
      <c r="M350" s="18"/>
      <c r="N350" s="18"/>
      <c r="O350" s="18"/>
      <c r="P350" s="18"/>
      <c r="Q350" s="18"/>
      <c r="R350" s="18" t="str">
        <f>IF('Global Precios'!F351="","",'Global Precios'!F351)</f>
        <v>Pet-shop</v>
      </c>
      <c r="S350" s="18"/>
      <c r="T350" s="18" t="str">
        <f>IF('Global Precios'!E351="","",'Global Precios'!E351)</f>
        <v/>
      </c>
      <c r="U350" s="18"/>
      <c r="V350" s="18">
        <f t="shared" si="2"/>
        <v>0</v>
      </c>
      <c r="W350" s="18"/>
      <c r="X350" s="18"/>
      <c r="Y350" s="18"/>
      <c r="Z350" s="18"/>
      <c r="AA350" s="18"/>
      <c r="AB350" s="18">
        <f t="shared" si="3"/>
        <v>1</v>
      </c>
      <c r="AC350" s="18">
        <f t="shared" si="4"/>
        <v>1</v>
      </c>
      <c r="AD350" s="18">
        <f t="shared" si="5"/>
        <v>1</v>
      </c>
      <c r="AE350" s="18">
        <f t="shared" si="6"/>
        <v>1</v>
      </c>
    </row>
    <row r="351">
      <c r="A351" s="9">
        <f>IF(E351="","", IF('Global Precios'!B352="",0,'Global Precios'!B352))</f>
        <v>0</v>
      </c>
      <c r="B351" s="14" t="str">
        <f>IF('Global Precios'!B352="","",'Global Precios'!B352)</f>
        <v/>
      </c>
      <c r="C351" s="18">
        <f>IF('Global Precios'!A352="","",'Global Precios'!A352)</f>
        <v>377</v>
      </c>
      <c r="D351" s="18"/>
      <c r="E351" s="25" t="str">
        <f>IF('Global Precios'!D352="","",'Global Precios'!D352)</f>
        <v>JUGUETE SISAL CON RESORTE</v>
      </c>
      <c r="F351" s="18"/>
      <c r="G351" s="25">
        <f>IFERROR(VLOOKUP(C351,'BuscarV Stock'!$A$2:$C$478,3,0),"AAA")</f>
        <v>0</v>
      </c>
      <c r="H351" s="25">
        <f t="shared" si="1"/>
        <v>0.21</v>
      </c>
      <c r="I351" s="30">
        <f>IF('Global Precios'!H352="","",'Global Precios'!H352)</f>
        <v>482</v>
      </c>
      <c r="J351" s="82">
        <f>IF('Global Precios'!K352="","",'Global Precios'!K352)</f>
        <v>0.8</v>
      </c>
      <c r="K351" s="30">
        <f>IF('Global Precios'!Z352="Desactivado",0,IF('Global Precios'!L352="","",'Global Precios'!L352))</f>
        <v>5000</v>
      </c>
      <c r="L351" s="18"/>
      <c r="M351" s="18"/>
      <c r="N351" s="18"/>
      <c r="O351" s="18"/>
      <c r="P351" s="18"/>
      <c r="Q351" s="18"/>
      <c r="R351" s="18" t="str">
        <f>IF('Global Precios'!F352="","",'Global Precios'!F352)</f>
        <v>Pet-shop</v>
      </c>
      <c r="S351" s="18"/>
      <c r="T351" s="18" t="str">
        <f>IF('Global Precios'!E352="","",'Global Precios'!E352)</f>
        <v/>
      </c>
      <c r="U351" s="18"/>
      <c r="V351" s="18">
        <f t="shared" si="2"/>
        <v>0</v>
      </c>
      <c r="W351" s="18"/>
      <c r="X351" s="18"/>
      <c r="Y351" s="18"/>
      <c r="Z351" s="18"/>
      <c r="AA351" s="18"/>
      <c r="AB351" s="18">
        <f t="shared" si="3"/>
        <v>1</v>
      </c>
      <c r="AC351" s="18">
        <f t="shared" si="4"/>
        <v>1</v>
      </c>
      <c r="AD351" s="18">
        <f t="shared" si="5"/>
        <v>1</v>
      </c>
      <c r="AE351" s="18">
        <f t="shared" si="6"/>
        <v>1</v>
      </c>
    </row>
    <row r="352">
      <c r="A352" s="9">
        <f>IF(E352="","", IF('Global Precios'!B353="",0,'Global Precios'!B353))</f>
        <v>0</v>
      </c>
      <c r="B352" s="14" t="str">
        <f>IF('Global Precios'!B353="","",'Global Precios'!B353)</f>
        <v/>
      </c>
      <c r="C352" s="18">
        <f>IF('Global Precios'!A353="","",'Global Precios'!A353)</f>
        <v>378</v>
      </c>
      <c r="D352" s="18"/>
      <c r="E352" s="25" t="str">
        <f>IF('Global Precios'!D353="","",'Global Precios'!D353)</f>
        <v>PRETAL Y CORREA CON PATITAS N°5</v>
      </c>
      <c r="F352" s="18"/>
      <c r="G352" s="25">
        <f>IFERROR(VLOOKUP(C352,'BuscarV Stock'!$A$2:$C$478,3,0),"AAA")</f>
        <v>1</v>
      </c>
      <c r="H352" s="25">
        <f t="shared" si="1"/>
        <v>0.21</v>
      </c>
      <c r="I352" s="30">
        <f>IF('Global Precios'!H353="","",'Global Precios'!H353)</f>
        <v>749</v>
      </c>
      <c r="J352" s="82">
        <f>IF('Global Precios'!K353="","",'Global Precios'!K353)</f>
        <v>1</v>
      </c>
      <c r="K352" s="30">
        <f>IF('Global Precios'!Z353="Desactivado",0,IF('Global Precios'!L353="","",'Global Precios'!L353))</f>
        <v>0</v>
      </c>
      <c r="L352" s="18"/>
      <c r="M352" s="18"/>
      <c r="N352" s="18"/>
      <c r="O352" s="18"/>
      <c r="P352" s="18"/>
      <c r="Q352" s="18"/>
      <c r="R352" s="18" t="str">
        <f>IF('Global Precios'!F353="","",'Global Precios'!F353)</f>
        <v>Pet-shop</v>
      </c>
      <c r="S352" s="18"/>
      <c r="T352" s="18" t="str">
        <f>IF('Global Precios'!E353="","",'Global Precios'!E353)</f>
        <v/>
      </c>
      <c r="U352" s="18"/>
      <c r="V352" s="18">
        <f t="shared" si="2"/>
        <v>0</v>
      </c>
      <c r="W352" s="18"/>
      <c r="X352" s="18"/>
      <c r="Y352" s="18"/>
      <c r="Z352" s="18"/>
      <c r="AA352" s="18"/>
      <c r="AB352" s="18">
        <f t="shared" si="3"/>
        <v>1</v>
      </c>
      <c r="AC352" s="18">
        <f t="shared" si="4"/>
        <v>1</v>
      </c>
      <c r="AD352" s="18">
        <f t="shared" si="5"/>
        <v>1</v>
      </c>
      <c r="AE352" s="18">
        <f t="shared" si="6"/>
        <v>1</v>
      </c>
    </row>
    <row r="353">
      <c r="A353" s="9">
        <f>IF(E353="","", IF('Global Precios'!B354="",0,'Global Precios'!B354))</f>
        <v>0</v>
      </c>
      <c r="B353" s="14" t="str">
        <f>IF('Global Precios'!B354="","",'Global Precios'!B354)</f>
        <v/>
      </c>
      <c r="C353" s="18">
        <f>IF('Global Precios'!A354="","",'Global Precios'!A354)</f>
        <v>379</v>
      </c>
      <c r="D353" s="18"/>
      <c r="E353" s="25" t="str">
        <f>IF('Global Precios'!D354="","",'Global Precios'!D354)</f>
        <v>PRETAL Y CORREA CON PATITAS N°4</v>
      </c>
      <c r="F353" s="18"/>
      <c r="G353" s="25">
        <f>IFERROR(VLOOKUP(C353,'BuscarV Stock'!$A$2:$C$478,3,0),"AAA")</f>
        <v>1</v>
      </c>
      <c r="H353" s="25">
        <f t="shared" si="1"/>
        <v>0.21</v>
      </c>
      <c r="I353" s="30">
        <f>IF('Global Precios'!H354="","",'Global Precios'!H354)</f>
        <v>717</v>
      </c>
      <c r="J353" s="82">
        <f>IF('Global Precios'!K354="","",'Global Precios'!K354)</f>
        <v>1</v>
      </c>
      <c r="K353" s="30">
        <f>IF('Global Precios'!Z354="Desactivado",0,IF('Global Precios'!L354="","",'Global Precios'!L354))</f>
        <v>0</v>
      </c>
      <c r="L353" s="18"/>
      <c r="M353" s="18"/>
      <c r="N353" s="18"/>
      <c r="O353" s="18"/>
      <c r="P353" s="18"/>
      <c r="Q353" s="18"/>
      <c r="R353" s="18" t="str">
        <f>IF('Global Precios'!F354="","",'Global Precios'!F354)</f>
        <v>Pet-shop</v>
      </c>
      <c r="S353" s="18"/>
      <c r="T353" s="18" t="str">
        <f>IF('Global Precios'!E354="","",'Global Precios'!E354)</f>
        <v/>
      </c>
      <c r="U353" s="18"/>
      <c r="V353" s="18">
        <f t="shared" si="2"/>
        <v>0</v>
      </c>
      <c r="W353" s="18"/>
      <c r="X353" s="18"/>
      <c r="Y353" s="18"/>
      <c r="Z353" s="18"/>
      <c r="AA353" s="18"/>
      <c r="AB353" s="18">
        <f t="shared" si="3"/>
        <v>1</v>
      </c>
      <c r="AC353" s="18">
        <f t="shared" si="4"/>
        <v>1</v>
      </c>
      <c r="AD353" s="18">
        <f t="shared" si="5"/>
        <v>1</v>
      </c>
      <c r="AE353" s="18">
        <f t="shared" si="6"/>
        <v>1</v>
      </c>
    </row>
    <row r="354">
      <c r="A354" s="9">
        <f>IF(E354="","", IF('Global Precios'!B355="",0,'Global Precios'!B355))</f>
        <v>0</v>
      </c>
      <c r="B354" s="14" t="str">
        <f>IF('Global Precios'!B355="","",'Global Precios'!B355)</f>
        <v/>
      </c>
      <c r="C354" s="18">
        <f>IF('Global Precios'!A355="","",'Global Precios'!A355)</f>
        <v>380</v>
      </c>
      <c r="D354" s="18"/>
      <c r="E354" s="25" t="str">
        <f>IF('Global Precios'!D355="","",'Global Precios'!D355)</f>
        <v>PECHERA ACOLCHADA TALLE S</v>
      </c>
      <c r="F354" s="18"/>
      <c r="G354" s="25">
        <f>IFERROR(VLOOKUP(C354,'BuscarV Stock'!$A$2:$C$478,3,0),"AAA")</f>
        <v>1</v>
      </c>
      <c r="H354" s="25">
        <f t="shared" si="1"/>
        <v>0.21</v>
      </c>
      <c r="I354" s="30">
        <f>IF('Global Precios'!H355="","",'Global Precios'!H355)</f>
        <v>867</v>
      </c>
      <c r="J354" s="82">
        <f>IF('Global Precios'!K355="","",'Global Precios'!K355)</f>
        <v>0.8</v>
      </c>
      <c r="K354" s="30">
        <f>IF('Global Precios'!Z355="Desactivado",0,IF('Global Precios'!L355="","",'Global Precios'!L355))</f>
        <v>8500</v>
      </c>
      <c r="L354" s="18"/>
      <c r="M354" s="18"/>
      <c r="N354" s="18"/>
      <c r="O354" s="18"/>
      <c r="P354" s="18"/>
      <c r="Q354" s="18"/>
      <c r="R354" s="18" t="str">
        <f>IF('Global Precios'!F355="","",'Global Precios'!F355)</f>
        <v>Pet-shop</v>
      </c>
      <c r="S354" s="18"/>
      <c r="T354" s="18" t="str">
        <f>IF('Global Precios'!E355="","",'Global Precios'!E355)</f>
        <v/>
      </c>
      <c r="U354" s="18"/>
      <c r="V354" s="18">
        <f t="shared" si="2"/>
        <v>0</v>
      </c>
      <c r="W354" s="18"/>
      <c r="X354" s="18"/>
      <c r="Y354" s="18"/>
      <c r="Z354" s="18"/>
      <c r="AA354" s="18"/>
      <c r="AB354" s="18">
        <f t="shared" si="3"/>
        <v>1</v>
      </c>
      <c r="AC354" s="18">
        <f t="shared" si="4"/>
        <v>1</v>
      </c>
      <c r="AD354" s="18">
        <f t="shared" si="5"/>
        <v>1</v>
      </c>
      <c r="AE354" s="18">
        <f t="shared" si="6"/>
        <v>1</v>
      </c>
    </row>
    <row r="355">
      <c r="A355" s="9">
        <f>IF(E355="","", IF('Global Precios'!B356="",0,'Global Precios'!B356))</f>
        <v>0</v>
      </c>
      <c r="B355" s="14" t="str">
        <f>IF('Global Precios'!B356="","",'Global Precios'!B356)</f>
        <v/>
      </c>
      <c r="C355" s="18">
        <f>IF('Global Precios'!A356="","",'Global Precios'!A356)</f>
        <v>381</v>
      </c>
      <c r="D355" s="18"/>
      <c r="E355" s="25" t="str">
        <f>IF('Global Precios'!D356="","",'Global Precios'!D356)</f>
        <v>PECHERA ACOLCHADA TALLE M</v>
      </c>
      <c r="F355" s="18"/>
      <c r="G355" s="25">
        <f>IFERROR(VLOOKUP(C355,'BuscarV Stock'!$A$2:$C$478,3,0),"AAA")</f>
        <v>0</v>
      </c>
      <c r="H355" s="25">
        <f t="shared" si="1"/>
        <v>0.21</v>
      </c>
      <c r="I355" s="30">
        <f>IF('Global Precios'!H356="","",'Global Precios'!H356)</f>
        <v>1017</v>
      </c>
      <c r="J355" s="82">
        <f>IF('Global Precios'!K356="","",'Global Precios'!K356)</f>
        <v>0.8</v>
      </c>
      <c r="K355" s="30">
        <f>IF('Global Precios'!Z356="Desactivado",0,IF('Global Precios'!L356="","",'Global Precios'!L356))</f>
        <v>9500</v>
      </c>
      <c r="L355" s="18"/>
      <c r="M355" s="18"/>
      <c r="N355" s="18"/>
      <c r="O355" s="18"/>
      <c r="P355" s="18"/>
      <c r="Q355" s="18"/>
      <c r="R355" s="18" t="str">
        <f>IF('Global Precios'!F356="","",'Global Precios'!F356)</f>
        <v>Pet-shop</v>
      </c>
      <c r="S355" s="18"/>
      <c r="T355" s="18" t="str">
        <f>IF('Global Precios'!E356="","",'Global Precios'!E356)</f>
        <v/>
      </c>
      <c r="U355" s="18"/>
      <c r="V355" s="18">
        <f t="shared" si="2"/>
        <v>0</v>
      </c>
      <c r="W355" s="18"/>
      <c r="X355" s="18"/>
      <c r="Y355" s="18"/>
      <c r="Z355" s="18"/>
      <c r="AA355" s="18"/>
      <c r="AB355" s="18">
        <f t="shared" si="3"/>
        <v>1</v>
      </c>
      <c r="AC355" s="18">
        <f t="shared" si="4"/>
        <v>1</v>
      </c>
      <c r="AD355" s="18">
        <f t="shared" si="5"/>
        <v>1</v>
      </c>
      <c r="AE355" s="18">
        <f t="shared" si="6"/>
        <v>1</v>
      </c>
    </row>
    <row r="356">
      <c r="A356" s="9">
        <f>IF(E356="","", IF('Global Precios'!B357="",0,'Global Precios'!B357))</f>
        <v>0</v>
      </c>
      <c r="B356" s="14" t="str">
        <f>IF('Global Precios'!B357="","",'Global Precios'!B357)</f>
        <v/>
      </c>
      <c r="C356" s="18">
        <f>IF('Global Precios'!A357="","",'Global Precios'!A357)</f>
        <v>382</v>
      </c>
      <c r="D356" s="18"/>
      <c r="E356" s="25" t="str">
        <f>IF('Global Precios'!D357="","",'Global Precios'!D357)</f>
        <v>SULFATRIM "F" X Blister de 10 Comp</v>
      </c>
      <c r="F356" s="18"/>
      <c r="G356" s="25">
        <f>IFERROR(VLOOKUP(C356,'BuscarV Stock'!$A$2:$C$478,3,0),"AAA")</f>
        <v>11</v>
      </c>
      <c r="H356" s="25">
        <f t="shared" si="1"/>
        <v>0.21</v>
      </c>
      <c r="I356" s="30">
        <f>IF('Global Precios'!H357="","",'Global Precios'!H357)</f>
        <v>2145.454545</v>
      </c>
      <c r="J356" s="82">
        <f>IF('Global Precios'!K357="","",'Global Precios'!K357)</f>
        <v>1</v>
      </c>
      <c r="K356" s="30">
        <f>IF('Global Precios'!Z357="Desactivado",0,IF('Global Precios'!L357="","",'Global Precios'!L357))</f>
        <v>5000</v>
      </c>
      <c r="L356" s="18"/>
      <c r="M356" s="18"/>
      <c r="N356" s="18"/>
      <c r="O356" s="18"/>
      <c r="P356" s="18"/>
      <c r="Q356" s="18"/>
      <c r="R356" s="18" t="str">
        <f>IF('Global Precios'!F357="","",'Global Precios'!F357)</f>
        <v>Medicamentos</v>
      </c>
      <c r="S356" s="18"/>
      <c r="T356" s="18" t="str">
        <f>IF('Global Precios'!E357="","",'Global Precios'!E357)</f>
        <v/>
      </c>
      <c r="U356" s="18"/>
      <c r="V356" s="18">
        <f t="shared" si="2"/>
        <v>0</v>
      </c>
      <c r="W356" s="18"/>
      <c r="X356" s="18"/>
      <c r="Y356" s="18"/>
      <c r="Z356" s="18"/>
      <c r="AA356" s="18"/>
      <c r="AB356" s="18">
        <f t="shared" si="3"/>
        <v>1</v>
      </c>
      <c r="AC356" s="18">
        <f t="shared" si="4"/>
        <v>1</v>
      </c>
      <c r="AD356" s="18">
        <f t="shared" si="5"/>
        <v>1</v>
      </c>
      <c r="AE356" s="18">
        <f t="shared" si="6"/>
        <v>1</v>
      </c>
    </row>
    <row r="357">
      <c r="A357" s="9">
        <f>IF(E357="","", IF('Global Precios'!B358="",0,'Global Precios'!B358))</f>
        <v>0</v>
      </c>
      <c r="B357" s="14" t="str">
        <f>IF('Global Precios'!B358="","",'Global Precios'!B358)</f>
        <v/>
      </c>
      <c r="C357" s="18">
        <f>IF('Global Precios'!A358="","",'Global Precios'!A358)</f>
        <v>383</v>
      </c>
      <c r="D357" s="18"/>
      <c r="E357" s="25" t="str">
        <f>IF('Global Precios'!D358="","",'Global Precios'!D358)</f>
        <v>PRO PLAN URINARY CATS X 1 KG</v>
      </c>
      <c r="F357" s="18"/>
      <c r="G357" s="25">
        <f>IFERROR(VLOOKUP(C357,'BuscarV Stock'!$A$2:$C$478,3,0),"AAA")</f>
        <v>4</v>
      </c>
      <c r="H357" s="25">
        <f t="shared" si="1"/>
        <v>0.21</v>
      </c>
      <c r="I357" s="30">
        <f>IF('Global Precios'!H358="","",'Global Precios'!H358)</f>
        <v>3157.85124</v>
      </c>
      <c r="J357" s="82">
        <f>IF('Global Precios'!K358="","",'Global Precios'!K358)</f>
        <v>0.4</v>
      </c>
      <c r="K357" s="30">
        <f>IF('Global Precios'!Z358="Desactivado",0,IF('Global Precios'!L358="","",'Global Precios'!L358))</f>
        <v>0</v>
      </c>
      <c r="L357" s="18"/>
      <c r="M357" s="18"/>
      <c r="N357" s="18"/>
      <c r="O357" s="18"/>
      <c r="P357" s="18"/>
      <c r="Q357" s="18"/>
      <c r="R357" s="18" t="str">
        <f>IF('Global Precios'!F358="","",'Global Precios'!F358)</f>
        <v>Alimentos</v>
      </c>
      <c r="S357" s="18"/>
      <c r="T357" s="18" t="str">
        <f>IF('Global Precios'!E358="","",'Global Precios'!E358)</f>
        <v>PRO PLAN</v>
      </c>
      <c r="U357" s="18"/>
      <c r="V357" s="18">
        <f t="shared" si="2"/>
        <v>0</v>
      </c>
      <c r="W357" s="18"/>
      <c r="X357" s="18"/>
      <c r="Y357" s="18"/>
      <c r="Z357" s="18"/>
      <c r="AA357" s="18"/>
      <c r="AB357" s="18">
        <f t="shared" si="3"/>
        <v>1</v>
      </c>
      <c r="AC357" s="18">
        <f t="shared" si="4"/>
        <v>1</v>
      </c>
      <c r="AD357" s="18">
        <f t="shared" si="5"/>
        <v>1</v>
      </c>
      <c r="AE357" s="18">
        <f t="shared" si="6"/>
        <v>1</v>
      </c>
    </row>
    <row r="358">
      <c r="A358" s="9">
        <f>IF(E358="","", IF('Global Precios'!B359="",0,'Global Precios'!B359))</f>
        <v>0</v>
      </c>
      <c r="B358" s="14" t="str">
        <f>IF('Global Precios'!B359="","",'Global Precios'!B359)</f>
        <v/>
      </c>
      <c r="C358" s="18">
        <f>IF('Global Precios'!A359="","",'Global Precios'!A359)</f>
        <v>384</v>
      </c>
      <c r="D358" s="18"/>
      <c r="E358" s="25" t="str">
        <f>IF('Global Precios'!D359="","",'Global Precios'!D359)</f>
        <v>DENTALIFE PERRO RAZA PEQUEÑA X UNIDAD</v>
      </c>
      <c r="F358" s="18"/>
      <c r="G358" s="25">
        <f>IFERROR(VLOOKUP(C358,'BuscarV Stock'!$A$2:$C$478,3,0),"AAA")</f>
        <v>42</v>
      </c>
      <c r="H358" s="25">
        <f t="shared" si="1"/>
        <v>0.21</v>
      </c>
      <c r="I358" s="30">
        <f>IF('Global Precios'!H359="","",'Global Precios'!H359)</f>
        <v>176.8595041</v>
      </c>
      <c r="J358" s="82">
        <f>IF('Global Precios'!K359="","",'Global Precios'!K359)</f>
        <v>0.3</v>
      </c>
      <c r="K358" s="30">
        <f>IF('Global Precios'!Z359="Desactivado",0,IF('Global Precios'!L359="","",'Global Precios'!L359))</f>
        <v>0</v>
      </c>
      <c r="L358" s="18"/>
      <c r="M358" s="18"/>
      <c r="N358" s="18"/>
      <c r="O358" s="18"/>
      <c r="P358" s="18"/>
      <c r="Q358" s="18"/>
      <c r="R358" s="18" t="str">
        <f>IF('Global Precios'!F359="","",'Global Precios'!F359)</f>
        <v>Alimentos</v>
      </c>
      <c r="S358" s="18"/>
      <c r="T358" s="18" t="str">
        <f>IF('Global Precios'!E359="","",'Global Precios'!E359)</f>
        <v>PURINA</v>
      </c>
      <c r="U358" s="18"/>
      <c r="V358" s="18">
        <f t="shared" si="2"/>
        <v>0</v>
      </c>
      <c r="W358" s="18"/>
      <c r="X358" s="18"/>
      <c r="Y358" s="18"/>
      <c r="Z358" s="18"/>
      <c r="AA358" s="18"/>
      <c r="AB358" s="18">
        <f t="shared" si="3"/>
        <v>1</v>
      </c>
      <c r="AC358" s="18">
        <f t="shared" si="4"/>
        <v>1</v>
      </c>
      <c r="AD358" s="18">
        <f t="shared" si="5"/>
        <v>1</v>
      </c>
      <c r="AE358" s="18">
        <f t="shared" si="6"/>
        <v>1</v>
      </c>
    </row>
    <row r="359">
      <c r="A359" s="9">
        <f>IF(E359="","", IF('Global Precios'!B360="",0,'Global Precios'!B360))</f>
        <v>0</v>
      </c>
      <c r="B359" s="14" t="str">
        <f>IF('Global Precios'!B360="","",'Global Precios'!B360)</f>
        <v/>
      </c>
      <c r="C359" s="18">
        <f>IF('Global Precios'!A360="","",'Global Precios'!A360)</f>
        <v>385</v>
      </c>
      <c r="D359" s="18"/>
      <c r="E359" s="25" t="str">
        <f>IF('Global Precios'!D360="","",'Global Precios'!D360)</f>
        <v>DENTALIFE PERRO RAZA MEDIANA X UNIDAD</v>
      </c>
      <c r="F359" s="18"/>
      <c r="G359" s="25">
        <f>IFERROR(VLOOKUP(C359,'BuscarV Stock'!$A$2:$C$478,3,0),"AAA")</f>
        <v>49</v>
      </c>
      <c r="H359" s="25">
        <f t="shared" si="1"/>
        <v>0.21</v>
      </c>
      <c r="I359" s="30">
        <f>IF('Global Precios'!H360="","",'Global Precios'!H360)</f>
        <v>206.6115702</v>
      </c>
      <c r="J359" s="82">
        <f>IF('Global Precios'!K360="","",'Global Precios'!K360)</f>
        <v>0.3</v>
      </c>
      <c r="K359" s="30">
        <f>IF('Global Precios'!Z360="Desactivado",0,IF('Global Precios'!L360="","",'Global Precios'!L360))</f>
        <v>0</v>
      </c>
      <c r="L359" s="18"/>
      <c r="M359" s="18"/>
      <c r="N359" s="18"/>
      <c r="O359" s="18"/>
      <c r="P359" s="18"/>
      <c r="Q359" s="18"/>
      <c r="R359" s="18" t="str">
        <f>IF('Global Precios'!F360="","",'Global Precios'!F360)</f>
        <v>Alimentos</v>
      </c>
      <c r="S359" s="18"/>
      <c r="T359" s="18" t="str">
        <f>IF('Global Precios'!E360="","",'Global Precios'!E360)</f>
        <v>PURINA</v>
      </c>
      <c r="U359" s="18"/>
      <c r="V359" s="18">
        <f t="shared" si="2"/>
        <v>0</v>
      </c>
      <c r="W359" s="18"/>
      <c r="X359" s="18"/>
      <c r="Y359" s="18"/>
      <c r="Z359" s="18"/>
      <c r="AA359" s="18"/>
      <c r="AB359" s="18">
        <f t="shared" si="3"/>
        <v>1</v>
      </c>
      <c r="AC359" s="18">
        <f t="shared" si="4"/>
        <v>1</v>
      </c>
      <c r="AD359" s="18">
        <f t="shared" si="5"/>
        <v>1</v>
      </c>
      <c r="AE359" s="18">
        <f t="shared" si="6"/>
        <v>1</v>
      </c>
    </row>
    <row r="360">
      <c r="A360" s="9">
        <f>IF(E360="","", IF('Global Precios'!B361="",0,'Global Precios'!B361))</f>
        <v>0</v>
      </c>
      <c r="B360" s="14" t="str">
        <f>IF('Global Precios'!B361="","",'Global Precios'!B361)</f>
        <v/>
      </c>
      <c r="C360" s="18">
        <f>IF('Global Precios'!A361="","",'Global Precios'!A361)</f>
        <v>386</v>
      </c>
      <c r="D360" s="18"/>
      <c r="E360" s="25" t="str">
        <f>IF('Global Precios'!D361="","",'Global Precios'!D361)</f>
        <v>COLCHONETA CLASICA N° 2</v>
      </c>
      <c r="F360" s="18"/>
      <c r="G360" s="25">
        <f>IFERROR(VLOOKUP(C360,'BuscarV Stock'!$A$2:$C$478,3,0),"AAA")</f>
        <v>0</v>
      </c>
      <c r="H360" s="25">
        <f t="shared" si="1"/>
        <v>0.21</v>
      </c>
      <c r="I360" s="30">
        <f>IF('Global Precios'!H361="","",'Global Precios'!H361)</f>
        <v>1819</v>
      </c>
      <c r="J360" s="82">
        <f>IF('Global Precios'!K361="","",'Global Precios'!K361)</f>
        <v>0.7</v>
      </c>
      <c r="K360" s="30">
        <f>IF('Global Precios'!Z361="Desactivado",0,IF('Global Precios'!L361="","",'Global Precios'!L361))</f>
        <v>0</v>
      </c>
      <c r="L360" s="18"/>
      <c r="M360" s="18"/>
      <c r="N360" s="18"/>
      <c r="O360" s="18"/>
      <c r="P360" s="18"/>
      <c r="Q360" s="18"/>
      <c r="R360" s="18" t="str">
        <f>IF('Global Precios'!F361="","",'Global Precios'!F361)</f>
        <v>Pet-shop</v>
      </c>
      <c r="S360" s="18"/>
      <c r="T360" s="18" t="str">
        <f>IF('Global Precios'!E361="","",'Global Precios'!E361)</f>
        <v>DISTRIMAX</v>
      </c>
      <c r="U360" s="18"/>
      <c r="V360" s="18">
        <f t="shared" si="2"/>
        <v>0</v>
      </c>
      <c r="W360" s="18"/>
      <c r="X360" s="18"/>
      <c r="Y360" s="18"/>
      <c r="Z360" s="18"/>
      <c r="AA360" s="18"/>
      <c r="AB360" s="18">
        <f t="shared" si="3"/>
        <v>1</v>
      </c>
      <c r="AC360" s="18">
        <f t="shared" si="4"/>
        <v>1</v>
      </c>
      <c r="AD360" s="18">
        <f t="shared" si="5"/>
        <v>1</v>
      </c>
      <c r="AE360" s="18">
        <f t="shared" si="6"/>
        <v>1</v>
      </c>
    </row>
    <row r="361">
      <c r="A361" s="9">
        <f>IF(E361="","", IF('Global Precios'!B362="",0,'Global Precios'!B362))</f>
        <v>0</v>
      </c>
      <c r="B361" s="14" t="str">
        <f>IF('Global Precios'!B362="","",'Global Precios'!B362)</f>
        <v/>
      </c>
      <c r="C361" s="18">
        <f>IF('Global Precios'!A362="","",'Global Precios'!A362)</f>
        <v>387</v>
      </c>
      <c r="D361" s="18"/>
      <c r="E361" s="25" t="str">
        <f>IF('Global Precios'!D362="","",'Global Precios'!D362)</f>
        <v>COLCHONETA CLASICA N° 3</v>
      </c>
      <c r="F361" s="18"/>
      <c r="G361" s="25">
        <f>IFERROR(VLOOKUP(C361,'BuscarV Stock'!$A$2:$C$478,3,0),"AAA")</f>
        <v>0</v>
      </c>
      <c r="H361" s="25">
        <f t="shared" si="1"/>
        <v>0.21</v>
      </c>
      <c r="I361" s="30">
        <f>IF('Global Precios'!H362="","",'Global Precios'!H362)</f>
        <v>2033</v>
      </c>
      <c r="J361" s="82">
        <f>IF('Global Precios'!K362="","",'Global Precios'!K362)</f>
        <v>0.7</v>
      </c>
      <c r="K361" s="30">
        <f>IF('Global Precios'!Z362="Desactivado",0,IF('Global Precios'!L362="","",'Global Precios'!L362))</f>
        <v>0</v>
      </c>
      <c r="L361" s="18"/>
      <c r="M361" s="18"/>
      <c r="N361" s="18"/>
      <c r="O361" s="18"/>
      <c r="P361" s="18"/>
      <c r="Q361" s="18"/>
      <c r="R361" s="18" t="str">
        <f>IF('Global Precios'!F362="","",'Global Precios'!F362)</f>
        <v>Pet-shop</v>
      </c>
      <c r="S361" s="18"/>
      <c r="T361" s="18" t="str">
        <f>IF('Global Precios'!E362="","",'Global Precios'!E362)</f>
        <v>DISTRIMAX</v>
      </c>
      <c r="U361" s="18"/>
      <c r="V361" s="18">
        <f t="shared" si="2"/>
        <v>0</v>
      </c>
      <c r="W361" s="18"/>
      <c r="X361" s="18"/>
      <c r="Y361" s="18"/>
      <c r="Z361" s="18"/>
      <c r="AA361" s="18"/>
      <c r="AB361" s="18">
        <f t="shared" si="3"/>
        <v>1</v>
      </c>
      <c r="AC361" s="18">
        <f t="shared" si="4"/>
        <v>1</v>
      </c>
      <c r="AD361" s="18">
        <f t="shared" si="5"/>
        <v>1</v>
      </c>
      <c r="AE361" s="18">
        <f t="shared" si="6"/>
        <v>1</v>
      </c>
    </row>
    <row r="362">
      <c r="A362" s="9">
        <f>IF(E362="","", IF('Global Precios'!B363="",0,'Global Precios'!B363))</f>
        <v>0</v>
      </c>
      <c r="B362" s="14" t="str">
        <f>IF('Global Precios'!B363="","",'Global Precios'!B363)</f>
        <v/>
      </c>
      <c r="C362" s="18">
        <f>IF('Global Precios'!A363="","",'Global Precios'!A363)</f>
        <v>388</v>
      </c>
      <c r="D362" s="18"/>
      <c r="E362" s="25" t="str">
        <f>IF('Global Precios'!D363="","",'Global Precios'!D363)</f>
        <v>COLCHONETA CLASICA N° 4</v>
      </c>
      <c r="F362" s="18"/>
      <c r="G362" s="25">
        <f>IFERROR(VLOOKUP(C362,'BuscarV Stock'!$A$2:$C$478,3,0),"AAA")</f>
        <v>0</v>
      </c>
      <c r="H362" s="25">
        <f t="shared" si="1"/>
        <v>0.21</v>
      </c>
      <c r="I362" s="30">
        <f>IF('Global Precios'!H363="","",'Global Precios'!H363)</f>
        <v>3424</v>
      </c>
      <c r="J362" s="82">
        <f>IF('Global Precios'!K363="","",'Global Precios'!K363)</f>
        <v>0.7</v>
      </c>
      <c r="K362" s="30">
        <f>IF('Global Precios'!Z363="Desactivado",0,IF('Global Precios'!L363="","",'Global Precios'!L363))</f>
        <v>0</v>
      </c>
      <c r="L362" s="18"/>
      <c r="M362" s="18"/>
      <c r="N362" s="18"/>
      <c r="O362" s="18"/>
      <c r="P362" s="18"/>
      <c r="Q362" s="18"/>
      <c r="R362" s="18" t="str">
        <f>IF('Global Precios'!F363="","",'Global Precios'!F363)</f>
        <v>Pet-shop</v>
      </c>
      <c r="S362" s="18"/>
      <c r="T362" s="18" t="str">
        <f>IF('Global Precios'!E363="","",'Global Precios'!E363)</f>
        <v>DISTRIMAX</v>
      </c>
      <c r="U362" s="18"/>
      <c r="V362" s="18">
        <f t="shared" si="2"/>
        <v>0</v>
      </c>
      <c r="W362" s="18"/>
      <c r="X362" s="18"/>
      <c r="Y362" s="18"/>
      <c r="Z362" s="18"/>
      <c r="AA362" s="18"/>
      <c r="AB362" s="18">
        <f t="shared" si="3"/>
        <v>1</v>
      </c>
      <c r="AC362" s="18">
        <f t="shared" si="4"/>
        <v>1</v>
      </c>
      <c r="AD362" s="18">
        <f t="shared" si="5"/>
        <v>1</v>
      </c>
      <c r="AE362" s="18">
        <f t="shared" si="6"/>
        <v>1</v>
      </c>
    </row>
    <row r="363">
      <c r="A363" s="9">
        <f>IF(E363="","", IF('Global Precios'!B364="",0,'Global Precios'!B364))</f>
        <v>0</v>
      </c>
      <c r="B363" s="14" t="str">
        <f>IF('Global Precios'!B364="","",'Global Precios'!B364)</f>
        <v/>
      </c>
      <c r="C363" s="18">
        <f>IF('Global Precios'!A364="","",'Global Precios'!A364)</f>
        <v>389</v>
      </c>
      <c r="D363" s="18"/>
      <c r="E363" s="25" t="str">
        <f>IF('Global Precios'!D364="","",'Global Precios'!D364)</f>
        <v>COLCHONETA CLASICA N° 5</v>
      </c>
      <c r="F363" s="18"/>
      <c r="G363" s="25">
        <f>IFERROR(VLOOKUP(C363,'BuscarV Stock'!$A$2:$C$478,3,0),"AAA")</f>
        <v>0</v>
      </c>
      <c r="H363" s="25">
        <f t="shared" si="1"/>
        <v>0.21</v>
      </c>
      <c r="I363" s="30">
        <f>IF('Global Precios'!H364="","",'Global Precios'!H364)</f>
        <v>3210</v>
      </c>
      <c r="J363" s="82">
        <f>IF('Global Precios'!K364="","",'Global Precios'!K364)</f>
        <v>0.7</v>
      </c>
      <c r="K363" s="30">
        <f>IF('Global Precios'!Z364="Desactivado",0,IF('Global Precios'!L364="","",'Global Precios'!L364))</f>
        <v>0</v>
      </c>
      <c r="L363" s="18"/>
      <c r="M363" s="18"/>
      <c r="N363" s="18"/>
      <c r="O363" s="18"/>
      <c r="P363" s="18"/>
      <c r="Q363" s="18"/>
      <c r="R363" s="18" t="str">
        <f>IF('Global Precios'!F364="","",'Global Precios'!F364)</f>
        <v>Pet-shop</v>
      </c>
      <c r="S363" s="18"/>
      <c r="T363" s="18" t="str">
        <f>IF('Global Precios'!E364="","",'Global Precios'!E364)</f>
        <v>DISTRIMAX</v>
      </c>
      <c r="U363" s="18"/>
      <c r="V363" s="18">
        <f t="shared" si="2"/>
        <v>0</v>
      </c>
      <c r="W363" s="18"/>
      <c r="X363" s="18"/>
      <c r="Y363" s="18"/>
      <c r="Z363" s="18"/>
      <c r="AA363" s="18"/>
      <c r="AB363" s="18">
        <f t="shared" si="3"/>
        <v>1</v>
      </c>
      <c r="AC363" s="18">
        <f t="shared" si="4"/>
        <v>1</v>
      </c>
      <c r="AD363" s="18">
        <f t="shared" si="5"/>
        <v>1</v>
      </c>
      <c r="AE363" s="18">
        <f t="shared" si="6"/>
        <v>1</v>
      </c>
    </row>
    <row r="364">
      <c r="A364" s="9">
        <f>IF(E364="","", IF('Global Precios'!B365="",0,'Global Precios'!B365))</f>
        <v>0</v>
      </c>
      <c r="B364" s="14" t="str">
        <f>IF('Global Precios'!B365="","",'Global Precios'!B365)</f>
        <v/>
      </c>
      <c r="C364" s="18">
        <f>IF('Global Precios'!A365="","",'Global Precios'!A365)</f>
        <v>390</v>
      </c>
      <c r="D364" s="18"/>
      <c r="E364" s="25" t="str">
        <f>IF('Global Precios'!D365="","",'Global Precios'!D365)</f>
        <v>MOISES 40</v>
      </c>
      <c r="F364" s="18"/>
      <c r="G364" s="25">
        <f>IFERROR(VLOOKUP(C364,'BuscarV Stock'!$A$2:$C$478,3,0),"AAA")</f>
        <v>0</v>
      </c>
      <c r="H364" s="25">
        <f t="shared" si="1"/>
        <v>0.21</v>
      </c>
      <c r="I364" s="30">
        <f>IF('Global Precios'!H365="","",'Global Precios'!H365)</f>
        <v>2461</v>
      </c>
      <c r="J364" s="82">
        <f>IF('Global Precios'!K365="","",'Global Precios'!K365)</f>
        <v>0.6</v>
      </c>
      <c r="K364" s="30">
        <f>IF('Global Precios'!Z365="Desactivado",0,IF('Global Precios'!L365="","",'Global Precios'!L365))</f>
        <v>29000</v>
      </c>
      <c r="L364" s="18"/>
      <c r="M364" s="18"/>
      <c r="N364" s="18"/>
      <c r="O364" s="18"/>
      <c r="P364" s="18"/>
      <c r="Q364" s="18"/>
      <c r="R364" s="18" t="str">
        <f>IF('Global Precios'!F365="","",'Global Precios'!F365)</f>
        <v>Pet-shop</v>
      </c>
      <c r="S364" s="18"/>
      <c r="T364" s="18" t="str">
        <f>IF('Global Precios'!E365="","",'Global Precios'!E365)</f>
        <v/>
      </c>
      <c r="U364" s="18"/>
      <c r="V364" s="18">
        <f t="shared" si="2"/>
        <v>0</v>
      </c>
      <c r="W364" s="18"/>
      <c r="X364" s="18"/>
      <c r="Y364" s="18"/>
      <c r="Z364" s="18"/>
      <c r="AA364" s="18"/>
      <c r="AB364" s="18">
        <f t="shared" si="3"/>
        <v>1</v>
      </c>
      <c r="AC364" s="18">
        <f t="shared" si="4"/>
        <v>1</v>
      </c>
      <c r="AD364" s="18">
        <f t="shared" si="5"/>
        <v>1</v>
      </c>
      <c r="AE364" s="18">
        <f t="shared" si="6"/>
        <v>1</v>
      </c>
    </row>
    <row r="365">
      <c r="A365" s="9">
        <f>IF(E365="","", IF('Global Precios'!B366="",0,'Global Precios'!B366))</f>
        <v>0</v>
      </c>
      <c r="B365" s="14" t="str">
        <f>IF('Global Precios'!B366="","",'Global Precios'!B366)</f>
        <v/>
      </c>
      <c r="C365" s="18">
        <f>IF('Global Precios'!A366="","",'Global Precios'!A366)</f>
        <v>391</v>
      </c>
      <c r="D365" s="18"/>
      <c r="E365" s="25" t="str">
        <f>IF('Global Precios'!D366="","",'Global Precios'!D366)</f>
        <v>MOISES 50</v>
      </c>
      <c r="F365" s="18"/>
      <c r="G365" s="25">
        <f>IFERROR(VLOOKUP(C365,'BuscarV Stock'!$A$2:$C$478,3,0),"AAA")</f>
        <v>1</v>
      </c>
      <c r="H365" s="25">
        <f t="shared" si="1"/>
        <v>0.21</v>
      </c>
      <c r="I365" s="30">
        <f>IF('Global Precios'!H366="","",'Global Precios'!H366)</f>
        <v>2782</v>
      </c>
      <c r="J365" s="82">
        <f>IF('Global Precios'!K366="","",'Global Precios'!K366)</f>
        <v>0.6</v>
      </c>
      <c r="K365" s="30">
        <f>IF('Global Precios'!Z366="Desactivado",0,IF('Global Precios'!L366="","",'Global Precios'!L366))</f>
        <v>35000</v>
      </c>
      <c r="L365" s="18"/>
      <c r="M365" s="18"/>
      <c r="N365" s="18"/>
      <c r="O365" s="18"/>
      <c r="P365" s="18"/>
      <c r="Q365" s="18"/>
      <c r="R365" s="18" t="str">
        <f>IF('Global Precios'!F366="","",'Global Precios'!F366)</f>
        <v>Pet-shop</v>
      </c>
      <c r="S365" s="18"/>
      <c r="T365" s="18" t="str">
        <f>IF('Global Precios'!E366="","",'Global Precios'!E366)</f>
        <v/>
      </c>
      <c r="U365" s="18"/>
      <c r="V365" s="18">
        <f t="shared" si="2"/>
        <v>0</v>
      </c>
      <c r="W365" s="18"/>
      <c r="X365" s="18"/>
      <c r="Y365" s="18"/>
      <c r="Z365" s="18"/>
      <c r="AA365" s="18"/>
      <c r="AB365" s="18">
        <f t="shared" si="3"/>
        <v>1</v>
      </c>
      <c r="AC365" s="18">
        <f t="shared" si="4"/>
        <v>1</v>
      </c>
      <c r="AD365" s="18">
        <f t="shared" si="5"/>
        <v>1</v>
      </c>
      <c r="AE365" s="18">
        <f t="shared" si="6"/>
        <v>1</v>
      </c>
    </row>
    <row r="366">
      <c r="A366" s="9">
        <f>IF(E366="","", IF('Global Precios'!B367="",0,'Global Precios'!B367))</f>
        <v>0</v>
      </c>
      <c r="B366" s="14" t="str">
        <f>IF('Global Precios'!B367="","",'Global Precios'!B367)</f>
        <v/>
      </c>
      <c r="C366" s="18">
        <f>IF('Global Precios'!A367="","",'Global Precios'!A367)</f>
        <v>392</v>
      </c>
      <c r="D366" s="18"/>
      <c r="E366" s="25" t="str">
        <f>IF('Global Precios'!D367="","",'Global Precios'!D367)</f>
        <v>MOISES 60</v>
      </c>
      <c r="F366" s="18"/>
      <c r="G366" s="25">
        <f>IFERROR(VLOOKUP(C366,'BuscarV Stock'!$A$2:$C$478,3,0),"AAA")</f>
        <v>0</v>
      </c>
      <c r="H366" s="25">
        <f t="shared" si="1"/>
        <v>0.21</v>
      </c>
      <c r="I366" s="30">
        <f>IF('Global Precios'!H367="","",'Global Precios'!H367)</f>
        <v>2996</v>
      </c>
      <c r="J366" s="82">
        <f>IF('Global Precios'!K367="","",'Global Precios'!K367)</f>
        <v>0.6</v>
      </c>
      <c r="K366" s="30">
        <f>IF('Global Precios'!Z367="Desactivado",0,IF('Global Precios'!L367="","",'Global Precios'!L367))</f>
        <v>41000</v>
      </c>
      <c r="L366" s="18"/>
      <c r="M366" s="18"/>
      <c r="N366" s="18"/>
      <c r="O366" s="18"/>
      <c r="P366" s="18"/>
      <c r="Q366" s="18"/>
      <c r="R366" s="18" t="str">
        <f>IF('Global Precios'!F367="","",'Global Precios'!F367)</f>
        <v>Pet-shop</v>
      </c>
      <c r="S366" s="18"/>
      <c r="T366" s="18" t="str">
        <f>IF('Global Precios'!E367="","",'Global Precios'!E367)</f>
        <v/>
      </c>
      <c r="U366" s="18"/>
      <c r="V366" s="18">
        <f t="shared" si="2"/>
        <v>0</v>
      </c>
      <c r="W366" s="18"/>
      <c r="X366" s="18"/>
      <c r="Y366" s="18"/>
      <c r="Z366" s="18"/>
      <c r="AA366" s="18"/>
      <c r="AB366" s="18">
        <f t="shared" si="3"/>
        <v>1</v>
      </c>
      <c r="AC366" s="18">
        <f t="shared" si="4"/>
        <v>1</v>
      </c>
      <c r="AD366" s="18">
        <f t="shared" si="5"/>
        <v>1</v>
      </c>
      <c r="AE366" s="18">
        <f t="shared" si="6"/>
        <v>1</v>
      </c>
    </row>
    <row r="367">
      <c r="A367" s="9">
        <f>IF(E367="","", IF('Global Precios'!B368="",0,'Global Precios'!B368))</f>
        <v>0</v>
      </c>
      <c r="B367" s="14" t="str">
        <f>IF('Global Precios'!B368="","",'Global Precios'!B368)</f>
        <v/>
      </c>
      <c r="C367" s="18">
        <f>IF('Global Precios'!A368="","",'Global Precios'!A368)</f>
        <v>393</v>
      </c>
      <c r="D367" s="18"/>
      <c r="E367" s="25" t="str">
        <f>IF('Global Precios'!D368="","",'Global Precios'!D368)</f>
        <v>COLCHONETA CUERINA DOBLE N°3</v>
      </c>
      <c r="F367" s="18"/>
      <c r="G367" s="25">
        <f>IFERROR(VLOOKUP(C367,'BuscarV Stock'!$A$2:$C$478,3,0),"AAA")</f>
        <v>0</v>
      </c>
      <c r="H367" s="25">
        <f t="shared" si="1"/>
        <v>0.21</v>
      </c>
      <c r="I367" s="30">
        <f>IF('Global Precios'!H368="","",'Global Precios'!H368)</f>
        <v>4655</v>
      </c>
      <c r="J367" s="82">
        <f>IF('Global Precios'!K368="","",'Global Precios'!K368)</f>
        <v>0.7</v>
      </c>
      <c r="K367" s="30">
        <f>IF('Global Precios'!Z368="Desactivado",0,IF('Global Precios'!L368="","",'Global Precios'!L368))</f>
        <v>0</v>
      </c>
      <c r="L367" s="18"/>
      <c r="M367" s="18"/>
      <c r="N367" s="18"/>
      <c r="O367" s="18"/>
      <c r="P367" s="18"/>
      <c r="Q367" s="18"/>
      <c r="R367" s="18" t="str">
        <f>IF('Global Precios'!F368="","",'Global Precios'!F368)</f>
        <v>Pet-shop</v>
      </c>
      <c r="S367" s="18"/>
      <c r="T367" s="18" t="str">
        <f>IF('Global Precios'!E368="","",'Global Precios'!E368)</f>
        <v/>
      </c>
      <c r="U367" s="18"/>
      <c r="V367" s="18">
        <f t="shared" si="2"/>
        <v>0</v>
      </c>
      <c r="W367" s="18"/>
      <c r="X367" s="18"/>
      <c r="Y367" s="18"/>
      <c r="Z367" s="18"/>
      <c r="AA367" s="18"/>
      <c r="AB367" s="18">
        <f t="shared" si="3"/>
        <v>1</v>
      </c>
      <c r="AC367" s="18">
        <f t="shared" si="4"/>
        <v>1</v>
      </c>
      <c r="AD367" s="18">
        <f t="shared" si="5"/>
        <v>1</v>
      </c>
      <c r="AE367" s="18">
        <f t="shared" si="6"/>
        <v>1</v>
      </c>
    </row>
    <row r="368">
      <c r="A368" s="9">
        <f>IF(E368="","", IF('Global Precios'!B369="",0,'Global Precios'!B369))</f>
        <v>0</v>
      </c>
      <c r="B368" s="14" t="str">
        <f>IF('Global Precios'!B369="","",'Global Precios'!B369)</f>
        <v/>
      </c>
      <c r="C368" s="18">
        <f>IF('Global Precios'!A369="","",'Global Precios'!A369)</f>
        <v>394</v>
      </c>
      <c r="D368" s="18"/>
      <c r="E368" s="25" t="str">
        <f>IF('Global Precios'!D369="","",'Global Precios'!D369)</f>
        <v>VARITA CON PLUMAS GATO</v>
      </c>
      <c r="F368" s="18"/>
      <c r="G368" s="25">
        <f>IFERROR(VLOOKUP(C368,'BuscarV Stock'!$A$2:$C$478,3,0),"AAA")</f>
        <v>1</v>
      </c>
      <c r="H368" s="25">
        <f t="shared" si="1"/>
        <v>0.21</v>
      </c>
      <c r="I368" s="30">
        <f>IF('Global Precios'!H369="","",'Global Precios'!H369)</f>
        <v>375</v>
      </c>
      <c r="J368" s="82">
        <f>IF('Global Precios'!K369="","",'Global Precios'!K369)</f>
        <v>1</v>
      </c>
      <c r="K368" s="30">
        <f>IF('Global Precios'!Z369="Desactivado",0,IF('Global Precios'!L369="","",'Global Precios'!L369))</f>
        <v>0</v>
      </c>
      <c r="L368" s="18"/>
      <c r="M368" s="18"/>
      <c r="N368" s="18"/>
      <c r="O368" s="18"/>
      <c r="P368" s="18"/>
      <c r="Q368" s="18"/>
      <c r="R368" s="18" t="str">
        <f>IF('Global Precios'!F369="","",'Global Precios'!F369)</f>
        <v>Pet-shop</v>
      </c>
      <c r="S368" s="18"/>
      <c r="T368" s="18" t="str">
        <f>IF('Global Precios'!E369="","",'Global Precios'!E369)</f>
        <v/>
      </c>
      <c r="U368" s="18"/>
      <c r="V368" s="18">
        <f t="shared" si="2"/>
        <v>0</v>
      </c>
      <c r="W368" s="18"/>
      <c r="X368" s="18"/>
      <c r="Y368" s="18"/>
      <c r="Z368" s="18"/>
      <c r="AA368" s="18"/>
      <c r="AB368" s="18">
        <f t="shared" si="3"/>
        <v>1</v>
      </c>
      <c r="AC368" s="18">
        <f t="shared" si="4"/>
        <v>1</v>
      </c>
      <c r="AD368" s="18">
        <f t="shared" si="5"/>
        <v>1</v>
      </c>
      <c r="AE368" s="18">
        <f t="shared" si="6"/>
        <v>1</v>
      </c>
    </row>
    <row r="369">
      <c r="A369" s="9">
        <f>IF(E369="","", IF('Global Precios'!B370="",0,'Global Precios'!B370))</f>
        <v>0</v>
      </c>
      <c r="B369" s="14" t="str">
        <f>IF('Global Precios'!B370="","",'Global Precios'!B370)</f>
        <v/>
      </c>
      <c r="C369" s="18">
        <f>IF('Global Precios'!A370="","",'Global Precios'!A370)</f>
        <v>395</v>
      </c>
      <c r="D369" s="18"/>
      <c r="E369" s="25" t="str">
        <f>IF('Global Precios'!D370="","",'Global Precios'!D370)</f>
        <v>RATITA CON CATNIP</v>
      </c>
      <c r="F369" s="18"/>
      <c r="G369" s="25">
        <f>IFERROR(VLOOKUP(C369,'BuscarV Stock'!$A$2:$C$478,3,0),"AAA")</f>
        <v>0</v>
      </c>
      <c r="H369" s="25">
        <f t="shared" si="1"/>
        <v>0.21</v>
      </c>
      <c r="I369" s="30">
        <f>IF('Global Precios'!H370="","",'Global Precios'!H370)</f>
        <v>476</v>
      </c>
      <c r="J369" s="82">
        <f>IF('Global Precios'!K370="","",'Global Precios'!K370)</f>
        <v>0.8</v>
      </c>
      <c r="K369" s="30">
        <f>IF('Global Precios'!Z370="Desactivado",0,IF('Global Precios'!L370="","",'Global Precios'!L370))</f>
        <v>0</v>
      </c>
      <c r="L369" s="18"/>
      <c r="M369" s="18"/>
      <c r="N369" s="18"/>
      <c r="O369" s="18"/>
      <c r="P369" s="18"/>
      <c r="Q369" s="18"/>
      <c r="R369" s="18" t="str">
        <f>IF('Global Precios'!F370="","",'Global Precios'!F370)</f>
        <v>Pet-shop</v>
      </c>
      <c r="S369" s="18"/>
      <c r="T369" s="18" t="str">
        <f>IF('Global Precios'!E370="","",'Global Precios'!E370)</f>
        <v/>
      </c>
      <c r="U369" s="18"/>
      <c r="V369" s="18">
        <f t="shared" si="2"/>
        <v>0</v>
      </c>
      <c r="W369" s="18"/>
      <c r="X369" s="18"/>
      <c r="Y369" s="18"/>
      <c r="Z369" s="18"/>
      <c r="AA369" s="18"/>
      <c r="AB369" s="18">
        <f t="shared" si="3"/>
        <v>1</v>
      </c>
      <c r="AC369" s="18">
        <f t="shared" si="4"/>
        <v>1</v>
      </c>
      <c r="AD369" s="18">
        <f t="shared" si="5"/>
        <v>1</v>
      </c>
      <c r="AE369" s="18">
        <f t="shared" si="6"/>
        <v>1</v>
      </c>
    </row>
    <row r="370">
      <c r="A370" s="9">
        <f>IF(E370="","", IF('Global Precios'!B371="",0,'Global Precios'!B371))</f>
        <v>0</v>
      </c>
      <c r="B370" s="14" t="str">
        <f>IF('Global Precios'!B371="","",'Global Precios'!B371)</f>
        <v/>
      </c>
      <c r="C370" s="18">
        <f>IF('Global Precios'!A371="","",'Global Precios'!A371)</f>
        <v>396</v>
      </c>
      <c r="D370" s="18"/>
      <c r="E370" s="25" t="str">
        <f>IF('Global Precios'!D371="","",'Global Precios'!D371)</f>
        <v>PONCHO LUMPY T. 40</v>
      </c>
      <c r="F370" s="18"/>
      <c r="G370" s="25">
        <f>IFERROR(VLOOKUP(C370,'BuscarV Stock'!$A$2:$C$478,3,0),"AAA")</f>
        <v>0</v>
      </c>
      <c r="H370" s="25">
        <f t="shared" si="1"/>
        <v>0.21</v>
      </c>
      <c r="I370" s="30">
        <f>IF('Global Precios'!H371="","",'Global Precios'!H371)</f>
        <v>698</v>
      </c>
      <c r="J370" s="82">
        <f>IF('Global Precios'!K371="","",'Global Precios'!K371)</f>
        <v>0.8</v>
      </c>
      <c r="K370" s="30">
        <f>IF('Global Precios'!Z371="Desactivado",0,IF('Global Precios'!L371="","",'Global Precios'!L371))</f>
        <v>7500</v>
      </c>
      <c r="L370" s="18"/>
      <c r="M370" s="18"/>
      <c r="N370" s="18"/>
      <c r="O370" s="18"/>
      <c r="P370" s="18"/>
      <c r="Q370" s="18"/>
      <c r="R370" s="18" t="str">
        <f>IF('Global Precios'!F371="","",'Global Precios'!F371)</f>
        <v>Pet-shop</v>
      </c>
      <c r="S370" s="18"/>
      <c r="T370" s="18" t="str">
        <f>IF('Global Precios'!E371="","",'Global Precios'!E371)</f>
        <v/>
      </c>
      <c r="U370" s="18"/>
      <c r="V370" s="18">
        <f t="shared" si="2"/>
        <v>0</v>
      </c>
      <c r="W370" s="18"/>
      <c r="X370" s="18"/>
      <c r="Y370" s="18"/>
      <c r="Z370" s="18"/>
      <c r="AA370" s="18"/>
      <c r="AB370" s="18">
        <f t="shared" si="3"/>
        <v>1</v>
      </c>
      <c r="AC370" s="18">
        <f t="shared" si="4"/>
        <v>1</v>
      </c>
      <c r="AD370" s="18">
        <f t="shared" si="5"/>
        <v>1</v>
      </c>
      <c r="AE370" s="18">
        <f t="shared" si="6"/>
        <v>1</v>
      </c>
    </row>
    <row r="371">
      <c r="A371" s="9">
        <f>IF(E371="","", IF('Global Precios'!B372="",0,'Global Precios'!B372))</f>
        <v>0</v>
      </c>
      <c r="B371" s="14" t="str">
        <f>IF('Global Precios'!B372="","",'Global Precios'!B372)</f>
        <v/>
      </c>
      <c r="C371" s="18">
        <f>IF('Global Precios'!A372="","",'Global Precios'!A372)</f>
        <v>397</v>
      </c>
      <c r="D371" s="18"/>
      <c r="E371" s="25" t="str">
        <f>IF('Global Precios'!D372="","",'Global Precios'!D372)</f>
        <v>RATITA SISAL CON RESORTE</v>
      </c>
      <c r="F371" s="18"/>
      <c r="G371" s="25">
        <f>IFERROR(VLOOKUP(C371,'BuscarV Stock'!$A$2:$C$478,3,0),"AAA")</f>
        <v>0</v>
      </c>
      <c r="H371" s="25">
        <f t="shared" si="1"/>
        <v>0.21</v>
      </c>
      <c r="I371" s="30">
        <f>IF('Global Precios'!H372="","",'Global Precios'!H372)</f>
        <v>366</v>
      </c>
      <c r="J371" s="82">
        <f>IF('Global Precios'!K372="","",'Global Precios'!K372)</f>
        <v>0.8</v>
      </c>
      <c r="K371" s="30">
        <f>IF('Global Precios'!Z372="Desactivado",0,IF('Global Precios'!L372="","",'Global Precios'!L372))</f>
        <v>0</v>
      </c>
      <c r="L371" s="18"/>
      <c r="M371" s="18"/>
      <c r="N371" s="18"/>
      <c r="O371" s="18"/>
      <c r="P371" s="18"/>
      <c r="Q371" s="18"/>
      <c r="R371" s="18" t="str">
        <f>IF('Global Precios'!F372="","",'Global Precios'!F372)</f>
        <v>Pet-shop</v>
      </c>
      <c r="S371" s="18"/>
      <c r="T371" s="18" t="str">
        <f>IF('Global Precios'!E372="","",'Global Precios'!E372)</f>
        <v/>
      </c>
      <c r="U371" s="18"/>
      <c r="V371" s="18">
        <f t="shared" si="2"/>
        <v>0</v>
      </c>
      <c r="W371" s="18"/>
      <c r="X371" s="18"/>
      <c r="Y371" s="18"/>
      <c r="Z371" s="18"/>
      <c r="AA371" s="18"/>
      <c r="AB371" s="18">
        <f t="shared" si="3"/>
        <v>1</v>
      </c>
      <c r="AC371" s="18">
        <f t="shared" si="4"/>
        <v>1</v>
      </c>
      <c r="AD371" s="18">
        <f t="shared" si="5"/>
        <v>1</v>
      </c>
      <c r="AE371" s="18">
        <f t="shared" si="6"/>
        <v>1</v>
      </c>
    </row>
    <row r="372">
      <c r="A372" s="9">
        <f>IF(E372="","", IF('Global Precios'!B373="",0,'Global Precios'!B373))</f>
        <v>0</v>
      </c>
      <c r="B372" s="14" t="str">
        <f>IF('Global Precios'!B373="","",'Global Precios'!B373)</f>
        <v/>
      </c>
      <c r="C372" s="18">
        <f>IF('Global Precios'!A373="","",'Global Precios'!A373)</f>
        <v>398</v>
      </c>
      <c r="D372" s="18"/>
      <c r="E372" s="25" t="str">
        <f>IF('Global Precios'!D373="","",'Global Precios'!D373)</f>
        <v>MV PERROS GASTROINTESTINAL</v>
      </c>
      <c r="F372" s="18"/>
      <c r="G372" s="25">
        <f>IFERROR(VLOOKUP(C372,'BuscarV Stock'!$A$2:$C$478,3,0),"AAA")</f>
        <v>0</v>
      </c>
      <c r="H372" s="25">
        <f t="shared" si="1"/>
        <v>0.21</v>
      </c>
      <c r="I372" s="30">
        <f>IF('Global Precios'!H373="","",'Global Precios'!H373)</f>
        <v>13719.00826</v>
      </c>
      <c r="J372" s="82">
        <f>IF('Global Precios'!K373="","",'Global Precios'!K373)</f>
        <v>0.4</v>
      </c>
      <c r="K372" s="30">
        <f>IF('Global Precios'!Z373="Desactivado",0,IF('Global Precios'!L373="","",'Global Precios'!L373))</f>
        <v>23000</v>
      </c>
      <c r="L372" s="18"/>
      <c r="M372" s="18"/>
      <c r="N372" s="18"/>
      <c r="O372" s="18"/>
      <c r="P372" s="18"/>
      <c r="Q372" s="18"/>
      <c r="R372" s="18" t="str">
        <f>IF('Global Precios'!F373="","",'Global Precios'!F373)</f>
        <v>Alimentos</v>
      </c>
      <c r="S372" s="18"/>
      <c r="T372" s="18" t="str">
        <f>IF('Global Precios'!E373="","",'Global Precios'!E373)</f>
        <v>HOLLIDAY</v>
      </c>
      <c r="U372" s="18"/>
      <c r="V372" s="18">
        <f t="shared" si="2"/>
        <v>0</v>
      </c>
      <c r="W372" s="18"/>
      <c r="X372" s="18"/>
      <c r="Y372" s="18"/>
      <c r="Z372" s="18"/>
      <c r="AA372" s="18"/>
      <c r="AB372" s="18">
        <f t="shared" si="3"/>
        <v>1</v>
      </c>
      <c r="AC372" s="18">
        <f t="shared" si="4"/>
        <v>1</v>
      </c>
      <c r="AD372" s="18">
        <f t="shared" si="5"/>
        <v>1</v>
      </c>
      <c r="AE372" s="18">
        <f t="shared" si="6"/>
        <v>1</v>
      </c>
    </row>
    <row r="373">
      <c r="A373" s="9">
        <f>IF(E373="","", IF('Global Precios'!B374="",0,'Global Precios'!B374))</f>
        <v>0</v>
      </c>
      <c r="B373" s="14" t="str">
        <f>IF('Global Precios'!B374="","",'Global Precios'!B374)</f>
        <v/>
      </c>
      <c r="C373" s="18">
        <f>IF('Global Precios'!A374="","",'Global Precios'!A374)</f>
        <v>399</v>
      </c>
      <c r="D373" s="18"/>
      <c r="E373" s="25" t="str">
        <f>IF('Global Precios'!D374="","",'Global Precios'!D374)</f>
        <v>CAT CHOW ADULTO CARNE  Y POLLO</v>
      </c>
      <c r="F373" s="18"/>
      <c r="G373" s="25">
        <f>IFERROR(VLOOKUP(C373,'BuscarV Stock'!$A$2:$C$478,3,0),"AAA")</f>
        <v>1</v>
      </c>
      <c r="H373" s="25">
        <f t="shared" si="1"/>
        <v>0.21</v>
      </c>
      <c r="I373" s="30">
        <f>IF('Global Precios'!H374="","",'Global Precios'!H374)</f>
        <v>6710.743802</v>
      </c>
      <c r="J373" s="82">
        <f>IF('Global Precios'!K374="","",'Global Precios'!K374)</f>
        <v>0.3</v>
      </c>
      <c r="K373" s="30">
        <f>IF('Global Precios'!Z374="Desactivado",0,IF('Global Precios'!L374="","",'Global Precios'!L374))</f>
        <v>0</v>
      </c>
      <c r="L373" s="18"/>
      <c r="M373" s="18"/>
      <c r="N373" s="18"/>
      <c r="O373" s="18"/>
      <c r="P373" s="18"/>
      <c r="Q373" s="18"/>
      <c r="R373" s="18" t="str">
        <f>IF('Global Precios'!F374="","",'Global Precios'!F374)</f>
        <v>Alimentos</v>
      </c>
      <c r="S373" s="18"/>
      <c r="T373" s="18" t="str">
        <f>IF('Global Precios'!E374="","",'Global Precios'!E374)</f>
        <v>PURINA</v>
      </c>
      <c r="U373" s="18"/>
      <c r="V373" s="18">
        <f t="shared" si="2"/>
        <v>0</v>
      </c>
      <c r="W373" s="18"/>
      <c r="X373" s="18"/>
      <c r="Y373" s="18"/>
      <c r="Z373" s="18"/>
      <c r="AA373" s="18"/>
      <c r="AB373" s="18">
        <f t="shared" si="3"/>
        <v>1</v>
      </c>
      <c r="AC373" s="18">
        <f t="shared" si="4"/>
        <v>1</v>
      </c>
      <c r="AD373" s="18">
        <f t="shared" si="5"/>
        <v>1</v>
      </c>
      <c r="AE373" s="18">
        <f t="shared" si="6"/>
        <v>1</v>
      </c>
    </row>
    <row r="374">
      <c r="A374" s="9">
        <f>IF(E374="","", IF('Global Precios'!B375="",0,'Global Precios'!B375))</f>
        <v>0</v>
      </c>
      <c r="B374" s="14" t="str">
        <f>IF('Global Precios'!B375="","",'Global Precios'!B375)</f>
        <v/>
      </c>
      <c r="C374" s="18">
        <f>IF('Global Precios'!A375="","",'Global Precios'!A375)</f>
        <v>400</v>
      </c>
      <c r="D374" s="18"/>
      <c r="E374" s="25" t="str">
        <f>IF('Global Precios'!D375="","",'Global Precios'!D375)</f>
        <v>COLLARES CON CASCABEL</v>
      </c>
      <c r="F374" s="18"/>
      <c r="G374" s="25">
        <f>IFERROR(VLOOKUP(C374,'BuscarV Stock'!$A$2:$C$478,3,0),"AAA")</f>
        <v>0</v>
      </c>
      <c r="H374" s="25">
        <f t="shared" si="1"/>
        <v>0.21</v>
      </c>
      <c r="I374" s="30">
        <f>IF('Global Precios'!H375="","",'Global Precios'!H375)</f>
        <v>183</v>
      </c>
      <c r="J374" s="82">
        <f>IF('Global Precios'!K375="","",'Global Precios'!K375)</f>
        <v>1</v>
      </c>
      <c r="K374" s="30">
        <f>IF('Global Precios'!Z375="Desactivado",0,IF('Global Precios'!L375="","",'Global Precios'!L375))</f>
        <v>0</v>
      </c>
      <c r="L374" s="18"/>
      <c r="M374" s="18"/>
      <c r="N374" s="18"/>
      <c r="O374" s="18"/>
      <c r="P374" s="18"/>
      <c r="Q374" s="18"/>
      <c r="R374" s="18" t="str">
        <f>IF('Global Precios'!F375="","",'Global Precios'!F375)</f>
        <v>Pet-shop</v>
      </c>
      <c r="S374" s="18"/>
      <c r="T374" s="18" t="str">
        <f>IF('Global Precios'!E375="","",'Global Precios'!E375)</f>
        <v/>
      </c>
      <c r="U374" s="18"/>
      <c r="V374" s="18">
        <f t="shared" si="2"/>
        <v>0</v>
      </c>
      <c r="W374" s="18"/>
      <c r="X374" s="18"/>
      <c r="Y374" s="18"/>
      <c r="Z374" s="18"/>
      <c r="AA374" s="18"/>
      <c r="AB374" s="18">
        <f t="shared" si="3"/>
        <v>1</v>
      </c>
      <c r="AC374" s="18">
        <f t="shared" si="4"/>
        <v>1</v>
      </c>
      <c r="AD374" s="18">
        <f t="shared" si="5"/>
        <v>1</v>
      </c>
      <c r="AE374" s="18">
        <f t="shared" si="6"/>
        <v>1</v>
      </c>
    </row>
    <row r="375">
      <c r="A375" s="9">
        <f>IF(E375="","", IF('Global Precios'!B376="",0,'Global Precios'!B376))</f>
        <v>0</v>
      </c>
      <c r="B375" s="14" t="str">
        <f>IF('Global Precios'!B376="","",'Global Precios'!B376)</f>
        <v/>
      </c>
      <c r="C375" s="18">
        <f>IF('Global Precios'!A376="","",'Global Precios'!A376)</f>
        <v>401</v>
      </c>
      <c r="D375" s="18"/>
      <c r="E375" s="25" t="str">
        <f>IF('Global Precios'!D376="","",'Global Precios'!D376)</f>
        <v>PECHERA ACOLCHADA XS</v>
      </c>
      <c r="F375" s="18"/>
      <c r="G375" s="25">
        <f>IFERROR(VLOOKUP(C375,'BuscarV Stock'!$A$2:$C$478,3,0),"AAA")</f>
        <v>3</v>
      </c>
      <c r="H375" s="25">
        <f t="shared" si="1"/>
        <v>0.21</v>
      </c>
      <c r="I375" s="30">
        <f>IF('Global Precios'!H376="","",'Global Precios'!H376)</f>
        <v>717</v>
      </c>
      <c r="J375" s="82">
        <f>IF('Global Precios'!K376="","",'Global Precios'!K376)</f>
        <v>0.8</v>
      </c>
      <c r="K375" s="30">
        <f>IF('Global Precios'!Z376="Desactivado",0,IF('Global Precios'!L376="","",'Global Precios'!L376))</f>
        <v>7000</v>
      </c>
      <c r="L375" s="18"/>
      <c r="M375" s="18"/>
      <c r="N375" s="18"/>
      <c r="O375" s="18"/>
      <c r="P375" s="18"/>
      <c r="Q375" s="18"/>
      <c r="R375" s="18" t="str">
        <f>IF('Global Precios'!F376="","",'Global Precios'!F376)</f>
        <v>Pet-shop</v>
      </c>
      <c r="S375" s="18"/>
      <c r="T375" s="18" t="str">
        <f>IF('Global Precios'!E376="","",'Global Precios'!E376)</f>
        <v/>
      </c>
      <c r="U375" s="18"/>
      <c r="V375" s="18">
        <f t="shared" si="2"/>
        <v>0</v>
      </c>
      <c r="W375" s="18"/>
      <c r="X375" s="18"/>
      <c r="Y375" s="18"/>
      <c r="Z375" s="18"/>
      <c r="AA375" s="18"/>
      <c r="AB375" s="18">
        <f t="shared" si="3"/>
        <v>1</v>
      </c>
      <c r="AC375" s="18">
        <f t="shared" si="4"/>
        <v>1</v>
      </c>
      <c r="AD375" s="18">
        <f t="shared" si="5"/>
        <v>1</v>
      </c>
      <c r="AE375" s="18">
        <f t="shared" si="6"/>
        <v>1</v>
      </c>
    </row>
    <row r="376">
      <c r="A376" s="9">
        <f>IF(E376="","", IF('Global Precios'!B377="",0,'Global Precios'!B377))</f>
        <v>0</v>
      </c>
      <c r="B376" s="14" t="str">
        <f>IF('Global Precios'!B377="","",'Global Precios'!B377)</f>
        <v/>
      </c>
      <c r="C376" s="18">
        <f>IF('Global Precios'!A377="","",'Global Precios'!A377)</f>
        <v>402</v>
      </c>
      <c r="D376" s="18"/>
      <c r="E376" s="25" t="str">
        <f>IF('Global Precios'!D377="","",'Global Precios'!D377)</f>
        <v>ARNES CAMUFLADO XXL</v>
      </c>
      <c r="F376" s="18"/>
      <c r="G376" s="25">
        <f>IFERROR(VLOOKUP(C376,'BuscarV Stock'!$A$2:$C$478,3,0),"AAA")</f>
        <v>0</v>
      </c>
      <c r="H376" s="25">
        <f t="shared" si="1"/>
        <v>0.21</v>
      </c>
      <c r="I376" s="30">
        <f>IF('Global Precios'!H377="","",'Global Precios'!H377)</f>
        <v>2675</v>
      </c>
      <c r="J376" s="82">
        <f>IF('Global Precios'!K377="","",'Global Precios'!K377)</f>
        <v>0.8</v>
      </c>
      <c r="K376" s="30">
        <f>IF('Global Precios'!Z377="Desactivado",0,IF('Global Precios'!L377="","",'Global Precios'!L377))</f>
        <v>0</v>
      </c>
      <c r="L376" s="18"/>
      <c r="M376" s="18"/>
      <c r="N376" s="18"/>
      <c r="O376" s="18"/>
      <c r="P376" s="18"/>
      <c r="Q376" s="18"/>
      <c r="R376" s="18" t="str">
        <f>IF('Global Precios'!F377="","",'Global Precios'!F377)</f>
        <v>Pet-shop</v>
      </c>
      <c r="S376" s="18"/>
      <c r="T376" s="18" t="str">
        <f>IF('Global Precios'!E377="","",'Global Precios'!E377)</f>
        <v/>
      </c>
      <c r="U376" s="18"/>
      <c r="V376" s="18">
        <f t="shared" si="2"/>
        <v>0</v>
      </c>
      <c r="W376" s="18"/>
      <c r="X376" s="18"/>
      <c r="Y376" s="18"/>
      <c r="Z376" s="18"/>
      <c r="AA376" s="18"/>
      <c r="AB376" s="18">
        <f t="shared" si="3"/>
        <v>1</v>
      </c>
      <c r="AC376" s="18">
        <f t="shared" si="4"/>
        <v>1</v>
      </c>
      <c r="AD376" s="18">
        <f t="shared" si="5"/>
        <v>1</v>
      </c>
      <c r="AE376" s="18">
        <f t="shared" si="6"/>
        <v>1</v>
      </c>
    </row>
    <row r="377">
      <c r="A377" s="9">
        <f>IF(E377="","", IF('Global Precios'!B378="",0,'Global Precios'!B378))</f>
        <v>0</v>
      </c>
      <c r="B377" s="14" t="str">
        <f>IF('Global Precios'!B378="","",'Global Precios'!B378)</f>
        <v/>
      </c>
      <c r="C377" s="18">
        <f>IF('Global Precios'!A378="","",'Global Precios'!A378)</f>
        <v>403</v>
      </c>
      <c r="D377" s="18"/>
      <c r="E377" s="25" t="str">
        <f>IF('Global Precios'!D378="","",'Global Precios'!D378)</f>
        <v>PASTA DENTAL</v>
      </c>
      <c r="F377" s="18"/>
      <c r="G377" s="25">
        <f>IFERROR(VLOOKUP(C377,'BuscarV Stock'!$A$2:$C$478,3,0),"AAA")</f>
        <v>0</v>
      </c>
      <c r="H377" s="25">
        <f t="shared" si="1"/>
        <v>0.21</v>
      </c>
      <c r="I377" s="30">
        <f>IF('Global Precios'!H378="","",'Global Precios'!H378)</f>
        <v>642</v>
      </c>
      <c r="J377" s="82">
        <f>IF('Global Precios'!K378="","",'Global Precios'!K378)</f>
        <v>0.8</v>
      </c>
      <c r="K377" s="30">
        <f>IF('Global Precios'!Z378="Desactivado",0,IF('Global Precios'!L378="","",'Global Precios'!L378))</f>
        <v>0</v>
      </c>
      <c r="L377" s="18"/>
      <c r="M377" s="18"/>
      <c r="N377" s="18"/>
      <c r="O377" s="18"/>
      <c r="P377" s="18"/>
      <c r="Q377" s="18"/>
      <c r="R377" s="18" t="str">
        <f>IF('Global Precios'!F378="","",'Global Precios'!F378)</f>
        <v>Pet-shop</v>
      </c>
      <c r="S377" s="18"/>
      <c r="T377" s="18" t="str">
        <f>IF('Global Precios'!E378="","",'Global Precios'!E378)</f>
        <v/>
      </c>
      <c r="U377" s="18"/>
      <c r="V377" s="18">
        <f t="shared" si="2"/>
        <v>0</v>
      </c>
      <c r="W377" s="18"/>
      <c r="X377" s="18"/>
      <c r="Y377" s="18"/>
      <c r="Z377" s="18"/>
      <c r="AA377" s="18"/>
      <c r="AB377" s="18">
        <f t="shared" si="3"/>
        <v>1</v>
      </c>
      <c r="AC377" s="18">
        <f t="shared" si="4"/>
        <v>1</v>
      </c>
      <c r="AD377" s="18">
        <f t="shared" si="5"/>
        <v>1</v>
      </c>
      <c r="AE377" s="18">
        <f t="shared" si="6"/>
        <v>1</v>
      </c>
    </row>
    <row r="378">
      <c r="A378" s="9">
        <f>IF(E378="","", IF('Global Precios'!B379="",0,'Global Precios'!B379))</f>
        <v>0</v>
      </c>
      <c r="B378" s="14" t="str">
        <f>IF('Global Precios'!B379="","",'Global Precios'!B379)</f>
        <v/>
      </c>
      <c r="C378" s="18">
        <f>IF('Global Precios'!A379="","",'Global Precios'!A379)</f>
        <v>404</v>
      </c>
      <c r="D378" s="18"/>
      <c r="E378" s="25" t="str">
        <f>IF('Global Precios'!D379="","",'Global Precios'!D379)</f>
        <v>COMEDERO ACERO INOXIDABLE CHICO</v>
      </c>
      <c r="F378" s="18"/>
      <c r="G378" s="25">
        <f>IFERROR(VLOOKUP(C378,'BuscarV Stock'!$A$2:$C$478,3,0),"AAA")</f>
        <v>0</v>
      </c>
      <c r="H378" s="25">
        <f t="shared" si="1"/>
        <v>0.21</v>
      </c>
      <c r="I378" s="30">
        <f>IF('Global Precios'!H379="","",'Global Precios'!H379)</f>
        <v>535</v>
      </c>
      <c r="J378" s="82">
        <f>IF('Global Precios'!K379="","",'Global Precios'!K379)</f>
        <v>0.8</v>
      </c>
      <c r="K378" s="30">
        <f>IF('Global Precios'!Z379="Desactivado",0,IF('Global Precios'!L379="","",'Global Precios'!L379))</f>
        <v>0</v>
      </c>
      <c r="L378" s="18"/>
      <c r="M378" s="18"/>
      <c r="N378" s="18"/>
      <c r="O378" s="18"/>
      <c r="P378" s="18"/>
      <c r="Q378" s="18"/>
      <c r="R378" s="18" t="str">
        <f>IF('Global Precios'!F379="","",'Global Precios'!F379)</f>
        <v>Pet-shop</v>
      </c>
      <c r="S378" s="18"/>
      <c r="T378" s="18" t="str">
        <f>IF('Global Precios'!E379="","",'Global Precios'!E379)</f>
        <v/>
      </c>
      <c r="U378" s="18"/>
      <c r="V378" s="18">
        <f t="shared" si="2"/>
        <v>0</v>
      </c>
      <c r="W378" s="18"/>
      <c r="X378" s="18"/>
      <c r="Y378" s="18"/>
      <c r="Z378" s="18"/>
      <c r="AA378" s="18"/>
      <c r="AB378" s="18">
        <f t="shared" si="3"/>
        <v>1</v>
      </c>
      <c r="AC378" s="18">
        <f t="shared" si="4"/>
        <v>1</v>
      </c>
      <c r="AD378" s="18">
        <f t="shared" si="5"/>
        <v>1</v>
      </c>
      <c r="AE378" s="18">
        <f t="shared" si="6"/>
        <v>1</v>
      </c>
    </row>
    <row r="379">
      <c r="A379" s="9">
        <f>IF(E379="","", IF('Global Precios'!B380="",0,'Global Precios'!B380))</f>
        <v>0</v>
      </c>
      <c r="B379" s="14" t="str">
        <f>IF('Global Precios'!B380="","",'Global Precios'!B380)</f>
        <v/>
      </c>
      <c r="C379" s="18">
        <f>IF('Global Precios'!A380="","",'Global Precios'!A380)</f>
        <v>405</v>
      </c>
      <c r="D379" s="18"/>
      <c r="E379" s="25" t="str">
        <f>IF('Global Precios'!D380="","",'Global Precios'!D380)</f>
        <v>GOLOSINA CATNIP</v>
      </c>
      <c r="F379" s="18"/>
      <c r="G379" s="25">
        <f>IFERROR(VLOOKUP(C379,'BuscarV Stock'!$A$2:$C$478,3,0),"AAA")</f>
        <v>0</v>
      </c>
      <c r="H379" s="25">
        <f t="shared" si="1"/>
        <v>0.21</v>
      </c>
      <c r="I379" s="30">
        <f>IF('Global Precios'!H380="","",'Global Precios'!H380)</f>
        <v>214</v>
      </c>
      <c r="J379" s="82">
        <f>IF('Global Precios'!K380="","",'Global Precios'!K380)</f>
        <v>1</v>
      </c>
      <c r="K379" s="30">
        <f>IF('Global Precios'!Z380="Desactivado",0,IF('Global Precios'!L380="","",'Global Precios'!L380))</f>
        <v>0</v>
      </c>
      <c r="L379" s="18"/>
      <c r="M379" s="18"/>
      <c r="N379" s="18"/>
      <c r="O379" s="18"/>
      <c r="P379" s="18"/>
      <c r="Q379" s="18"/>
      <c r="R379" s="18" t="str">
        <f>IF('Global Precios'!F380="","",'Global Precios'!F380)</f>
        <v>Pet-shop</v>
      </c>
      <c r="S379" s="18"/>
      <c r="T379" s="18" t="str">
        <f>IF('Global Precios'!E380="","",'Global Precios'!E380)</f>
        <v/>
      </c>
      <c r="U379" s="18"/>
      <c r="V379" s="18">
        <f t="shared" si="2"/>
        <v>0</v>
      </c>
      <c r="W379" s="18"/>
      <c r="X379" s="18"/>
      <c r="Y379" s="18"/>
      <c r="Z379" s="18"/>
      <c r="AA379" s="18"/>
      <c r="AB379" s="18">
        <f t="shared" si="3"/>
        <v>1</v>
      </c>
      <c r="AC379" s="18">
        <f t="shared" si="4"/>
        <v>1</v>
      </c>
      <c r="AD379" s="18">
        <f t="shared" si="5"/>
        <v>1</v>
      </c>
      <c r="AE379" s="18">
        <f t="shared" si="6"/>
        <v>1</v>
      </c>
    </row>
    <row r="380">
      <c r="A380" s="9">
        <f>IF(E380="","", IF('Global Precios'!B381="",0,'Global Precios'!B381))</f>
        <v>0</v>
      </c>
      <c r="B380" s="14" t="str">
        <f>IF('Global Precios'!B381="","",'Global Precios'!B381)</f>
        <v/>
      </c>
      <c r="C380" s="18">
        <f>IF('Global Precios'!A381="","",'Global Precios'!A381)</f>
        <v>406</v>
      </c>
      <c r="D380" s="18"/>
      <c r="E380" s="25" t="str">
        <f>IF('Global Precios'!D381="","",'Global Precios'!D381)</f>
        <v>CONJUNTO PRETAL+CORREA ARCO IRIS CHICO</v>
      </c>
      <c r="F380" s="18"/>
      <c r="G380" s="25">
        <f>IFERROR(VLOOKUP(C380,'BuscarV Stock'!$A$2:$C$478,3,0),"AAA")</f>
        <v>1</v>
      </c>
      <c r="H380" s="25">
        <f t="shared" si="1"/>
        <v>0.21</v>
      </c>
      <c r="I380" s="30">
        <f>IF('Global Precios'!H381="","",'Global Precios'!H381)</f>
        <v>830</v>
      </c>
      <c r="J380" s="82">
        <f>IF('Global Precios'!K381="","",'Global Precios'!K381)</f>
        <v>1</v>
      </c>
      <c r="K380" s="30">
        <f>IF('Global Precios'!Z381="Desactivado",0,IF('Global Precios'!L381="","",'Global Precios'!L381))</f>
        <v>8000</v>
      </c>
      <c r="L380" s="18"/>
      <c r="M380" s="18"/>
      <c r="N380" s="18"/>
      <c r="O380" s="18"/>
      <c r="P380" s="18"/>
      <c r="Q380" s="18"/>
      <c r="R380" s="18" t="str">
        <f>IF('Global Precios'!F381="","",'Global Precios'!F381)</f>
        <v>Pet-shop</v>
      </c>
      <c r="S380" s="18"/>
      <c r="T380" s="18" t="str">
        <f>IF('Global Precios'!E381="","",'Global Precios'!E381)</f>
        <v/>
      </c>
      <c r="U380" s="18"/>
      <c r="V380" s="18">
        <f t="shared" si="2"/>
        <v>0</v>
      </c>
      <c r="W380" s="18"/>
      <c r="X380" s="18"/>
      <c r="Y380" s="18"/>
      <c r="Z380" s="18"/>
      <c r="AA380" s="18"/>
      <c r="AB380" s="18">
        <f t="shared" si="3"/>
        <v>1</v>
      </c>
      <c r="AC380" s="18">
        <f t="shared" si="4"/>
        <v>1</v>
      </c>
      <c r="AD380" s="18">
        <f t="shared" si="5"/>
        <v>1</v>
      </c>
      <c r="AE380" s="18">
        <f t="shared" si="6"/>
        <v>1</v>
      </c>
    </row>
    <row r="381">
      <c r="A381" s="9">
        <f>IF(E381="","", IF('Global Precios'!B382="",0,'Global Precios'!B382))</f>
        <v>0</v>
      </c>
      <c r="B381" s="14" t="str">
        <f>IF('Global Precios'!B382="","",'Global Precios'!B382)</f>
        <v/>
      </c>
      <c r="C381" s="18">
        <f>IF('Global Precios'!A382="","",'Global Precios'!A382)</f>
        <v>407</v>
      </c>
      <c r="D381" s="18"/>
      <c r="E381" s="25" t="str">
        <f>IF('Global Precios'!D382="","",'Global Precios'!D382)</f>
        <v>HUESO CHICO MORDILLO</v>
      </c>
      <c r="F381" s="18"/>
      <c r="G381" s="25">
        <f>IFERROR(VLOOKUP(C381,'BuscarV Stock'!$A$2:$C$478,3,0),"AAA")</f>
        <v>4</v>
      </c>
      <c r="H381" s="25">
        <f t="shared" si="1"/>
        <v>0.21</v>
      </c>
      <c r="I381" s="30">
        <f>IF('Global Precios'!H382="","",'Global Precios'!H382)</f>
        <v>366</v>
      </c>
      <c r="J381" s="82">
        <f>IF('Global Precios'!K382="","",'Global Precios'!K382)</f>
        <v>0.8</v>
      </c>
      <c r="K381" s="30">
        <f>IF('Global Precios'!Z382="Desactivado",0,IF('Global Precios'!L382="","",'Global Precios'!L382))</f>
        <v>3500</v>
      </c>
      <c r="L381" s="18"/>
      <c r="M381" s="18"/>
      <c r="N381" s="18"/>
      <c r="O381" s="18"/>
      <c r="P381" s="18"/>
      <c r="Q381" s="18"/>
      <c r="R381" s="18" t="str">
        <f>IF('Global Precios'!F382="","",'Global Precios'!F382)</f>
        <v>Pet-shop</v>
      </c>
      <c r="S381" s="18"/>
      <c r="T381" s="18" t="str">
        <f>IF('Global Precios'!E382="","",'Global Precios'!E382)</f>
        <v/>
      </c>
      <c r="U381" s="18"/>
      <c r="V381" s="18">
        <f t="shared" si="2"/>
        <v>0</v>
      </c>
      <c r="W381" s="18"/>
      <c r="X381" s="18"/>
      <c r="Y381" s="18"/>
      <c r="Z381" s="18"/>
      <c r="AA381" s="18"/>
      <c r="AB381" s="18">
        <f t="shared" si="3"/>
        <v>1</v>
      </c>
      <c r="AC381" s="18">
        <f t="shared" si="4"/>
        <v>1</v>
      </c>
      <c r="AD381" s="18">
        <f t="shared" si="5"/>
        <v>1</v>
      </c>
      <c r="AE381" s="18">
        <f t="shared" si="6"/>
        <v>1</v>
      </c>
    </row>
    <row r="382">
      <c r="A382" s="9">
        <f>IF(E382="","", IF('Global Precios'!B383="",0,'Global Precios'!B383))</f>
        <v>0</v>
      </c>
      <c r="B382" s="14" t="str">
        <f>IF('Global Precios'!B383="","",'Global Precios'!B383)</f>
        <v/>
      </c>
      <c r="C382" s="18">
        <f>IF('Global Precios'!A383="","",'Global Precios'!A383)</f>
        <v>408</v>
      </c>
      <c r="D382" s="18"/>
      <c r="E382" s="25" t="str">
        <f>IF('Global Precios'!D383="","",'Global Precios'!D383)</f>
        <v>MEDALLA</v>
      </c>
      <c r="F382" s="18"/>
      <c r="G382" s="25">
        <f>IFERROR(VLOOKUP(C382,'BuscarV Stock'!$A$2:$C$478,3,0),"AAA")</f>
        <v>2</v>
      </c>
      <c r="H382" s="25">
        <f t="shared" si="1"/>
        <v>0.21</v>
      </c>
      <c r="I382" s="30">
        <f>IF('Global Precios'!H383="","",'Global Precios'!H383)</f>
        <v>316</v>
      </c>
      <c r="J382" s="82">
        <f>IF('Global Precios'!K383="","",'Global Precios'!K383)</f>
        <v>0.8</v>
      </c>
      <c r="K382" s="30">
        <f>IF('Global Precios'!Z383="Desactivado",0,IF('Global Precios'!L383="","",'Global Precios'!L383))</f>
        <v>3000</v>
      </c>
      <c r="L382" s="18"/>
      <c r="M382" s="18"/>
      <c r="N382" s="18"/>
      <c r="O382" s="18"/>
      <c r="P382" s="18"/>
      <c r="Q382" s="18"/>
      <c r="R382" s="18" t="str">
        <f>IF('Global Precios'!F383="","",'Global Precios'!F383)</f>
        <v>Pet-shop</v>
      </c>
      <c r="S382" s="18"/>
      <c r="T382" s="18" t="str">
        <f>IF('Global Precios'!E383="","",'Global Precios'!E383)</f>
        <v/>
      </c>
      <c r="U382" s="18"/>
      <c r="V382" s="18">
        <f t="shared" si="2"/>
        <v>0</v>
      </c>
      <c r="W382" s="18"/>
      <c r="X382" s="18"/>
      <c r="Y382" s="18"/>
      <c r="Z382" s="18"/>
      <c r="AA382" s="18"/>
      <c r="AB382" s="18">
        <f t="shared" si="3"/>
        <v>1</v>
      </c>
      <c r="AC382" s="18">
        <f t="shared" si="4"/>
        <v>1</v>
      </c>
      <c r="AD382" s="18">
        <f t="shared" si="5"/>
        <v>1</v>
      </c>
      <c r="AE382" s="18">
        <f t="shared" si="6"/>
        <v>1</v>
      </c>
    </row>
    <row r="383">
      <c r="A383" s="9">
        <f>IF(E383="","", IF('Global Precios'!B384="",0,'Global Precios'!B384))</f>
        <v>0</v>
      </c>
      <c r="B383" s="14" t="str">
        <f>IF('Global Precios'!B384="","",'Global Precios'!B384)</f>
        <v/>
      </c>
      <c r="C383" s="18">
        <f>IF('Global Precios'!A384="","",'Global Precios'!A384)</f>
        <v>409</v>
      </c>
      <c r="D383" s="18"/>
      <c r="E383" s="25" t="str">
        <f>IF('Global Precios'!D384="","",'Global Precios'!D384)</f>
        <v>HUESO DOSIFICADOR</v>
      </c>
      <c r="F383" s="18"/>
      <c r="G383" s="25">
        <f>IFERROR(VLOOKUP(C383,'BuscarV Stock'!$A$2:$C$478,3,0),"AAA")</f>
        <v>0</v>
      </c>
      <c r="H383" s="25">
        <f t="shared" si="1"/>
        <v>0.21</v>
      </c>
      <c r="I383" s="30">
        <f>IF('Global Precios'!H384="","",'Global Precios'!H384)</f>
        <v>952</v>
      </c>
      <c r="J383" s="82">
        <f>IF('Global Precios'!K384="","",'Global Precios'!K384)</f>
        <v>0.8</v>
      </c>
      <c r="K383" s="30">
        <f>IF('Global Precios'!Z384="Desactivado",0,IF('Global Precios'!L384="","",'Global Precios'!L384))</f>
        <v>0</v>
      </c>
      <c r="L383" s="18"/>
      <c r="M383" s="18"/>
      <c r="N383" s="18"/>
      <c r="O383" s="18"/>
      <c r="P383" s="18"/>
      <c r="Q383" s="18"/>
      <c r="R383" s="18" t="str">
        <f>IF('Global Precios'!F384="","",'Global Precios'!F384)</f>
        <v>Pet-shop</v>
      </c>
      <c r="S383" s="18"/>
      <c r="T383" s="18" t="str">
        <f>IF('Global Precios'!E384="","",'Global Precios'!E384)</f>
        <v/>
      </c>
      <c r="U383" s="18"/>
      <c r="V383" s="18">
        <f t="shared" si="2"/>
        <v>0</v>
      </c>
      <c r="W383" s="18"/>
      <c r="X383" s="18"/>
      <c r="Y383" s="18"/>
      <c r="Z383" s="18"/>
      <c r="AA383" s="18"/>
      <c r="AB383" s="18">
        <f t="shared" si="3"/>
        <v>1</v>
      </c>
      <c r="AC383" s="18">
        <f t="shared" si="4"/>
        <v>1</v>
      </c>
      <c r="AD383" s="18">
        <f t="shared" si="5"/>
        <v>1</v>
      </c>
      <c r="AE383" s="18">
        <f t="shared" si="6"/>
        <v>1</v>
      </c>
    </row>
    <row r="384">
      <c r="A384" s="9">
        <f>IF(E384="","", IF('Global Precios'!B385="",0,'Global Precios'!B385))</f>
        <v>0</v>
      </c>
      <c r="B384" s="14" t="str">
        <f>IF('Global Precios'!B385="","",'Global Precios'!B385)</f>
        <v/>
      </c>
      <c r="C384" s="18">
        <f>IF('Global Precios'!A385="","",'Global Precios'!A385)</f>
        <v>410</v>
      </c>
      <c r="D384" s="18"/>
      <c r="E384" s="25" t="str">
        <f>IF('Global Precios'!D385="","",'Global Precios'!D385)</f>
        <v>TOLZURIL x 1 comprimido</v>
      </c>
      <c r="F384" s="18"/>
      <c r="G384" s="25">
        <f>IFERROR(VLOOKUP(C384,'BuscarV Stock'!$A$2:$C$478,3,0),"AAA")</f>
        <v>15</v>
      </c>
      <c r="H384" s="25">
        <f t="shared" si="1"/>
        <v>0.21</v>
      </c>
      <c r="I384" s="30">
        <f>IF('Global Precios'!H385="","",'Global Precios'!H385)</f>
        <v>1854.545455</v>
      </c>
      <c r="J384" s="82">
        <f>IF('Global Precios'!K385="","",'Global Precios'!K385)</f>
        <v>0.8</v>
      </c>
      <c r="K384" s="30">
        <f>IF('Global Precios'!Z385="Desactivado",0,IF('Global Precios'!L385="","",'Global Precios'!L385))</f>
        <v>4000</v>
      </c>
      <c r="L384" s="18"/>
      <c r="M384" s="18"/>
      <c r="N384" s="18"/>
      <c r="O384" s="18"/>
      <c r="P384" s="18"/>
      <c r="Q384" s="18"/>
      <c r="R384" s="18" t="str">
        <f>IF('Global Precios'!F385="","",'Global Precios'!F385)</f>
        <v>Medicamentos</v>
      </c>
      <c r="S384" s="18"/>
      <c r="T384" s="18" t="str">
        <f>IF('Global Precios'!E385="","",'Global Precios'!E385)</f>
        <v>JOHN MARTIN</v>
      </c>
      <c r="U384" s="18"/>
      <c r="V384" s="18">
        <f t="shared" si="2"/>
        <v>0</v>
      </c>
      <c r="W384" s="18"/>
      <c r="X384" s="18"/>
      <c r="Y384" s="18"/>
      <c r="Z384" s="18"/>
      <c r="AA384" s="18"/>
      <c r="AB384" s="18">
        <f t="shared" si="3"/>
        <v>1</v>
      </c>
      <c r="AC384" s="18">
        <f t="shared" si="4"/>
        <v>1</v>
      </c>
      <c r="AD384" s="18">
        <f t="shared" si="5"/>
        <v>1</v>
      </c>
      <c r="AE384" s="18">
        <f t="shared" si="6"/>
        <v>1</v>
      </c>
    </row>
    <row r="385">
      <c r="A385" s="9">
        <f>IF(E385="","", IF('Global Precios'!B386="",0,'Global Precios'!B386))</f>
        <v>0</v>
      </c>
      <c r="B385" s="14" t="str">
        <f>IF('Global Precios'!B386="","",'Global Precios'!B386)</f>
        <v/>
      </c>
      <c r="C385" s="18">
        <f>IF('Global Precios'!A386="","",'Global Precios'!A386)</f>
        <v>411</v>
      </c>
      <c r="D385" s="18"/>
      <c r="E385" s="25" t="str">
        <f>IF('Global Precios'!D386="","",'Global Precios'!D386)</f>
        <v>PREVICOX 227 x 1 comprimido</v>
      </c>
      <c r="F385" s="18"/>
      <c r="G385" s="25">
        <f>IFERROR(VLOOKUP(C385,'BuscarV Stock'!$A$2:$C$478,3,0),"AAA")</f>
        <v>20</v>
      </c>
      <c r="H385" s="25">
        <f t="shared" si="1"/>
        <v>0.21</v>
      </c>
      <c r="I385" s="30">
        <f>IF('Global Precios'!H386="","",'Global Precios'!H386)</f>
        <v>1900.826446</v>
      </c>
      <c r="J385" s="82">
        <f>IF('Global Precios'!K386="","",'Global Precios'!K386)</f>
        <v>0.8</v>
      </c>
      <c r="K385" s="30">
        <f>IF('Global Precios'!Z386="Desactivado",0,IF('Global Precios'!L386="","",'Global Precios'!L386))</f>
        <v>4000</v>
      </c>
      <c r="L385" s="18"/>
      <c r="M385" s="18"/>
      <c r="N385" s="18"/>
      <c r="O385" s="18"/>
      <c r="P385" s="18"/>
      <c r="Q385" s="18"/>
      <c r="R385" s="18" t="str">
        <f>IF('Global Precios'!F386="","",'Global Precios'!F386)</f>
        <v>Medicamentos</v>
      </c>
      <c r="S385" s="18"/>
      <c r="T385" s="18" t="str">
        <f>IF('Global Precios'!E386="","",'Global Precios'!E386)</f>
        <v>BOEHRINGER</v>
      </c>
      <c r="U385" s="18"/>
      <c r="V385" s="18">
        <f t="shared" si="2"/>
        <v>0</v>
      </c>
      <c r="W385" s="18"/>
      <c r="X385" s="18"/>
      <c r="Y385" s="18"/>
      <c r="Z385" s="18"/>
      <c r="AA385" s="18"/>
      <c r="AB385" s="18">
        <f t="shared" si="3"/>
        <v>1</v>
      </c>
      <c r="AC385" s="18">
        <f t="shared" si="4"/>
        <v>1</v>
      </c>
      <c r="AD385" s="18">
        <f t="shared" si="5"/>
        <v>1</v>
      </c>
      <c r="AE385" s="18">
        <f t="shared" si="6"/>
        <v>1</v>
      </c>
    </row>
    <row r="386">
      <c r="A386" s="9">
        <f>IF(E386="","", IF('Global Precios'!B387="",0,'Global Precios'!B387))</f>
        <v>0</v>
      </c>
      <c r="B386" s="14" t="str">
        <f>IF('Global Precios'!B387="","",'Global Precios'!B387)</f>
        <v/>
      </c>
      <c r="C386" s="18">
        <f>IF('Global Precios'!A387="","",'Global Precios'!A387)</f>
        <v>412</v>
      </c>
      <c r="D386" s="18"/>
      <c r="E386" s="25" t="str">
        <f>IF('Global Precios'!D387="","",'Global Precios'!D387)</f>
        <v>DOXICICLINA 200 x 10 comp</v>
      </c>
      <c r="F386" s="18"/>
      <c r="G386" s="25">
        <f>IFERROR(VLOOKUP(C386,'BuscarV Stock'!$A$2:$C$478,3,0),"AAA")</f>
        <v>0</v>
      </c>
      <c r="H386" s="25">
        <f t="shared" si="1"/>
        <v>0.21</v>
      </c>
      <c r="I386" s="30">
        <f>IF('Global Precios'!H387="","",'Global Precios'!H387)</f>
        <v>2556.198347</v>
      </c>
      <c r="J386" s="82">
        <f>IF('Global Precios'!K387="","",'Global Precios'!K387)</f>
        <v>1</v>
      </c>
      <c r="K386" s="30">
        <f>IF('Global Precios'!Z387="Desactivado",0,IF('Global Precios'!L387="","",'Global Precios'!L387))</f>
        <v>6000</v>
      </c>
      <c r="L386" s="18"/>
      <c r="M386" s="18"/>
      <c r="N386" s="18"/>
      <c r="O386" s="18"/>
      <c r="P386" s="18"/>
      <c r="Q386" s="18"/>
      <c r="R386" s="18" t="str">
        <f>IF('Global Precios'!F387="","",'Global Precios'!F387)</f>
        <v>Medicamentos</v>
      </c>
      <c r="S386" s="18"/>
      <c r="T386" s="18" t="str">
        <f>IF('Global Precios'!E387="","",'Global Precios'!E387)</f>
        <v>KUALCOS</v>
      </c>
      <c r="U386" s="18"/>
      <c r="V386" s="18">
        <f t="shared" si="2"/>
        <v>0</v>
      </c>
      <c r="W386" s="18"/>
      <c r="X386" s="18"/>
      <c r="Y386" s="18"/>
      <c r="Z386" s="18"/>
      <c r="AA386" s="18"/>
      <c r="AB386" s="18">
        <f t="shared" si="3"/>
        <v>1</v>
      </c>
      <c r="AC386" s="18">
        <f t="shared" si="4"/>
        <v>1</v>
      </c>
      <c r="AD386" s="18">
        <f t="shared" si="5"/>
        <v>1</v>
      </c>
      <c r="AE386" s="18">
        <f t="shared" si="6"/>
        <v>1</v>
      </c>
    </row>
    <row r="387">
      <c r="A387" s="9">
        <f>IF(E387="","", IF('Global Precios'!B388="",0,'Global Precios'!B388))</f>
        <v>0</v>
      </c>
      <c r="B387" s="14" t="str">
        <f>IF('Global Precios'!B388="","",'Global Precios'!B388)</f>
        <v/>
      </c>
      <c r="C387" s="18">
        <f>IF('Global Precios'!A388="","",'Global Precios'!A388)</f>
        <v>413</v>
      </c>
      <c r="D387" s="18"/>
      <c r="E387" s="25" t="str">
        <f>IF('Global Precios'!D388="","",'Global Precios'!D388)</f>
        <v>KIL TALCO X 100 ML</v>
      </c>
      <c r="F387" s="18"/>
      <c r="G387" s="25">
        <f>IFERROR(VLOOKUP(C387,'BuscarV Stock'!$A$2:$C$478,3,0),"AAA")</f>
        <v>0</v>
      </c>
      <c r="H387" s="25">
        <f t="shared" si="1"/>
        <v>0.21</v>
      </c>
      <c r="I387" s="30">
        <f>IF('Global Precios'!H388="","",'Global Precios'!H388)</f>
        <v>4861.157025</v>
      </c>
      <c r="J387" s="82">
        <f>IF('Global Precios'!K388="","",'Global Precios'!K388)</f>
        <v>1</v>
      </c>
      <c r="K387" s="30">
        <f>IF('Global Precios'!Z388="Desactivado",0,IF('Global Precios'!L388="","",'Global Precios'!L388))</f>
        <v>12000</v>
      </c>
      <c r="L387" s="18"/>
      <c r="M387" s="18"/>
      <c r="N387" s="18"/>
      <c r="O387" s="18"/>
      <c r="P387" s="18"/>
      <c r="Q387" s="18"/>
      <c r="R387" s="18" t="str">
        <f>IF('Global Precios'!F388="","",'Global Precios'!F388)</f>
        <v>Medicamentos</v>
      </c>
      <c r="S387" s="18"/>
      <c r="T387" s="18" t="str">
        <f>IF('Global Precios'!E388="","",'Global Precios'!E388)</f>
        <v>BROUWER</v>
      </c>
      <c r="U387" s="18"/>
      <c r="V387" s="18">
        <f t="shared" si="2"/>
        <v>0</v>
      </c>
      <c r="W387" s="18"/>
      <c r="X387" s="18"/>
      <c r="Y387" s="18"/>
      <c r="Z387" s="18"/>
      <c r="AA387" s="18"/>
      <c r="AB387" s="18">
        <f t="shared" si="3"/>
        <v>1</v>
      </c>
      <c r="AC387" s="18">
        <f t="shared" si="4"/>
        <v>1</v>
      </c>
      <c r="AD387" s="18">
        <f t="shared" si="5"/>
        <v>1</v>
      </c>
      <c r="AE387" s="18">
        <f t="shared" si="6"/>
        <v>1</v>
      </c>
    </row>
    <row r="388">
      <c r="A388" s="9">
        <f>IF(E388="","", IF('Global Precios'!B389="",0,'Global Precios'!B389))</f>
        <v>0</v>
      </c>
      <c r="B388" s="14" t="str">
        <f>IF('Global Precios'!B389="","",'Global Precios'!B389)</f>
        <v/>
      </c>
      <c r="C388" s="18">
        <f>IF('Global Precios'!A389="","",'Global Precios'!A389)</f>
        <v>414</v>
      </c>
      <c r="D388" s="18"/>
      <c r="E388" s="25" t="str">
        <f>IF('Global Precios'!D389="","",'Global Precios'!D389)</f>
        <v>CALCIO JARABE X 100 ML</v>
      </c>
      <c r="F388" s="18"/>
      <c r="G388" s="25">
        <f>IFERROR(VLOOKUP(C388,'BuscarV Stock'!$A$2:$C$478,3,0),"AAA")</f>
        <v>0</v>
      </c>
      <c r="H388" s="25">
        <f t="shared" si="1"/>
        <v>0.21</v>
      </c>
      <c r="I388" s="30">
        <f>IF('Global Precios'!H389="","",'Global Precios'!H389)</f>
        <v>3387.603306</v>
      </c>
      <c r="J388" s="82">
        <f>IF('Global Precios'!K389="","",'Global Precios'!K389)</f>
        <v>0.8</v>
      </c>
      <c r="K388" s="30">
        <f>IF('Global Precios'!Z389="Desactivado",0,IF('Global Precios'!L389="","",'Global Precios'!L389))</f>
        <v>7500</v>
      </c>
      <c r="L388" s="18"/>
      <c r="M388" s="18"/>
      <c r="N388" s="18"/>
      <c r="O388" s="18"/>
      <c r="P388" s="18"/>
      <c r="Q388" s="18"/>
      <c r="R388" s="18" t="str">
        <f>IF('Global Precios'!F389="","",'Global Precios'!F389)</f>
        <v>Medicamentos</v>
      </c>
      <c r="S388" s="18"/>
      <c r="T388" s="18" t="str">
        <f>IF('Global Precios'!E389="","",'Global Precios'!E389)</f>
        <v>JOHN MARTIN</v>
      </c>
      <c r="U388" s="18"/>
      <c r="V388" s="18">
        <f t="shared" si="2"/>
        <v>0</v>
      </c>
      <c r="W388" s="18"/>
      <c r="X388" s="18"/>
      <c r="Y388" s="18"/>
      <c r="Z388" s="18"/>
      <c r="AA388" s="18"/>
      <c r="AB388" s="18">
        <f t="shared" si="3"/>
        <v>1</v>
      </c>
      <c r="AC388" s="18">
        <f t="shared" si="4"/>
        <v>1</v>
      </c>
      <c r="AD388" s="18">
        <f t="shared" si="5"/>
        <v>1</v>
      </c>
      <c r="AE388" s="18">
        <f t="shared" si="6"/>
        <v>1</v>
      </c>
    </row>
    <row r="389">
      <c r="A389" s="9">
        <f>IF(E389="","", IF('Global Precios'!B390="",0,'Global Precios'!B390))</f>
        <v>0</v>
      </c>
      <c r="B389" s="14" t="str">
        <f>IF('Global Precios'!B390="","",'Global Precios'!B390)</f>
        <v/>
      </c>
      <c r="C389" s="18">
        <f>IF('Global Precios'!A390="","",'Global Precios'!A390)</f>
        <v>415</v>
      </c>
      <c r="D389" s="18"/>
      <c r="E389" s="25" t="str">
        <f>IF('Global Precios'!D390="","",'Global Precios'!D390)</f>
        <v>ESPUMA SECA FAUNA QUICK X 162 GR</v>
      </c>
      <c r="F389" s="18"/>
      <c r="G389" s="25">
        <f>IFERROR(VLOOKUP(C389,'BuscarV Stock'!$A$2:$C$478,3,0),"AAA")</f>
        <v>1</v>
      </c>
      <c r="H389" s="25">
        <f t="shared" si="1"/>
        <v>0.21</v>
      </c>
      <c r="I389" s="30">
        <f>IF('Global Precios'!H390="","",'Global Precios'!H390)</f>
        <v>6628.92562</v>
      </c>
      <c r="J389" s="82">
        <f>IF('Global Precios'!K390="","",'Global Precios'!K390)</f>
        <v>0.8</v>
      </c>
      <c r="K389" s="30">
        <f>IF('Global Precios'!Z390="Desactivado",0,IF('Global Precios'!L390="","",'Global Precios'!L390))</f>
        <v>14000</v>
      </c>
      <c r="L389" s="18"/>
      <c r="M389" s="18"/>
      <c r="N389" s="18"/>
      <c r="O389" s="18"/>
      <c r="P389" s="18"/>
      <c r="Q389" s="18"/>
      <c r="R389" s="18" t="str">
        <f>IF('Global Precios'!F390="","",'Global Precios'!F390)</f>
        <v>Medicamentos</v>
      </c>
      <c r="S389" s="18"/>
      <c r="T389" s="18" t="str">
        <f>IF('Global Precios'!E390="","",'Global Precios'!E390)</f>
        <v>KONING</v>
      </c>
      <c r="U389" s="18"/>
      <c r="V389" s="18">
        <f t="shared" si="2"/>
        <v>0</v>
      </c>
      <c r="W389" s="18"/>
      <c r="X389" s="18"/>
      <c r="Y389" s="18"/>
      <c r="Z389" s="18"/>
      <c r="AA389" s="18"/>
      <c r="AB389" s="18">
        <f t="shared" si="3"/>
        <v>1</v>
      </c>
      <c r="AC389" s="18">
        <f t="shared" si="4"/>
        <v>1</v>
      </c>
      <c r="AD389" s="18">
        <f t="shared" si="5"/>
        <v>1</v>
      </c>
      <c r="AE389" s="18">
        <f t="shared" si="6"/>
        <v>1</v>
      </c>
    </row>
    <row r="390">
      <c r="A390" s="9">
        <f>IF(E390="","", IF('Global Precios'!B391="",0,'Global Precios'!B391))</f>
        <v>0</v>
      </c>
      <c r="B390" s="14" t="str">
        <f>IF('Global Precios'!B391="","",'Global Precios'!B391)</f>
        <v/>
      </c>
      <c r="C390" s="18">
        <f>IF('Global Precios'!A391="","",'Global Precios'!A391)</f>
        <v>416</v>
      </c>
      <c r="D390" s="18"/>
      <c r="E390" s="25" t="str">
        <f>IF('Global Precios'!D391="","",'Global Precios'!D391)</f>
        <v>BRAVECTO 20 A 40 KG x 1 comprimido</v>
      </c>
      <c r="F390" s="18"/>
      <c r="G390" s="25">
        <f>IFERROR(VLOOKUP(C390,'BuscarV Stock'!$A$2:$C$478,3,0),"AAA")</f>
        <v>0</v>
      </c>
      <c r="H390" s="25">
        <f t="shared" si="1"/>
        <v>0.21</v>
      </c>
      <c r="I390" s="30">
        <f>IF('Global Precios'!H391="","",'Global Precios'!H391)</f>
        <v>24963.63636</v>
      </c>
      <c r="J390" s="82">
        <f>IF('Global Precios'!K391="","",'Global Precios'!K391)</f>
        <v>0.3</v>
      </c>
      <c r="K390" s="30">
        <f>IF('Global Precios'!Z391="Desactivado",0,IF('Global Precios'!L391="","",'Global Precios'!L391))</f>
        <v>0</v>
      </c>
      <c r="L390" s="18"/>
      <c r="M390" s="18"/>
      <c r="N390" s="18"/>
      <c r="O390" s="18"/>
      <c r="P390" s="18"/>
      <c r="Q390" s="18"/>
      <c r="R390" s="18" t="str">
        <f>IF('Global Precios'!F391="","",'Global Precios'!F391)</f>
        <v>Medicamentos</v>
      </c>
      <c r="S390" s="18"/>
      <c r="T390" s="18" t="str">
        <f>IF('Global Precios'!E391="","",'Global Precios'!E391)</f>
        <v>MSD</v>
      </c>
      <c r="U390" s="18"/>
      <c r="V390" s="18">
        <f t="shared" si="2"/>
        <v>0</v>
      </c>
      <c r="W390" s="18"/>
      <c r="X390" s="18"/>
      <c r="Y390" s="18"/>
      <c r="Z390" s="18"/>
      <c r="AA390" s="18"/>
      <c r="AB390" s="18">
        <f t="shared" si="3"/>
        <v>1</v>
      </c>
      <c r="AC390" s="18">
        <f t="shared" si="4"/>
        <v>1</v>
      </c>
      <c r="AD390" s="18">
        <f t="shared" si="5"/>
        <v>1</v>
      </c>
      <c r="AE390" s="18">
        <f t="shared" si="6"/>
        <v>1</v>
      </c>
    </row>
    <row r="391">
      <c r="A391" s="9">
        <f>IF(E391="","", IF('Global Precios'!B392="",0,'Global Precios'!B392))</f>
        <v>0</v>
      </c>
      <c r="B391" s="14" t="str">
        <f>IF('Global Precios'!B392="","",'Global Precios'!B392)</f>
        <v/>
      </c>
      <c r="C391" s="18">
        <f>IF('Global Precios'!A392="","",'Global Precios'!A392)</f>
        <v>417</v>
      </c>
      <c r="D391" s="18"/>
      <c r="E391" s="25" t="str">
        <f>IF('Global Precios'!D392="","",'Global Precios'!D392)</f>
        <v>TRIVERMEX SUSPENSIÓN</v>
      </c>
      <c r="F391" s="18"/>
      <c r="G391" s="25">
        <f>IFERROR(VLOOKUP(C391,'BuscarV Stock'!$A$2:$C$478,3,0),"AAA")</f>
        <v>3</v>
      </c>
      <c r="H391" s="25">
        <f t="shared" si="1"/>
        <v>0.21</v>
      </c>
      <c r="I391" s="30">
        <f>IF('Global Precios'!H392="","",'Global Precios'!H392)</f>
        <v>3006.61157</v>
      </c>
      <c r="J391" s="82">
        <f>IF('Global Precios'!K392="","",'Global Precios'!K392)</f>
        <v>1</v>
      </c>
      <c r="K391" s="30">
        <f>IF('Global Precios'!Z392="Desactivado",0,IF('Global Precios'!L392="","",'Global Precios'!L392))</f>
        <v>0</v>
      </c>
      <c r="L391" s="18"/>
      <c r="M391" s="18"/>
      <c r="N391" s="18"/>
      <c r="O391" s="18"/>
      <c r="P391" s="18"/>
      <c r="Q391" s="18"/>
      <c r="R391" s="18" t="str">
        <f>IF('Global Precios'!F392="","",'Global Precios'!F392)</f>
        <v>Medicamentos</v>
      </c>
      <c r="S391" s="18"/>
      <c r="T391" s="18" t="str">
        <f>IF('Global Precios'!E392="","",'Global Precios'!E392)</f>
        <v>ZOOVET</v>
      </c>
      <c r="U391" s="18"/>
      <c r="V391" s="18">
        <f t="shared" si="2"/>
        <v>0</v>
      </c>
      <c r="W391" s="18"/>
      <c r="X391" s="18"/>
      <c r="Y391" s="18"/>
      <c r="Z391" s="18"/>
      <c r="AA391" s="18"/>
      <c r="AB391" s="18">
        <f t="shared" si="3"/>
        <v>1</v>
      </c>
      <c r="AC391" s="18">
        <f t="shared" si="4"/>
        <v>1</v>
      </c>
      <c r="AD391" s="18">
        <f t="shared" si="5"/>
        <v>1</v>
      </c>
      <c r="AE391" s="18">
        <f t="shared" si="6"/>
        <v>1</v>
      </c>
    </row>
    <row r="392">
      <c r="A392" s="9">
        <f>IF(E392="","", IF('Global Precios'!B393="",0,'Global Precios'!B393))</f>
        <v>0</v>
      </c>
      <c r="B392" s="14" t="str">
        <f>IF('Global Precios'!B393="","",'Global Precios'!B393)</f>
        <v/>
      </c>
      <c r="C392" s="18">
        <f>IF('Global Precios'!A393="","",'Global Precios'!A393)</f>
        <v>418</v>
      </c>
      <c r="D392" s="18"/>
      <c r="E392" s="25" t="str">
        <f>IF('Global Precios'!D393="","",'Global Precios'!D393)</f>
        <v>AGILITY CATS SARDINA X 340 GR</v>
      </c>
      <c r="F392" s="18"/>
      <c r="G392" s="25">
        <f>IFERROR(VLOOKUP(C392,'BuscarV Stock'!$A$2:$C$478,3,0),"AAA")</f>
        <v>0</v>
      </c>
      <c r="H392" s="25">
        <f t="shared" si="1"/>
        <v>0.21</v>
      </c>
      <c r="I392" s="30">
        <f>IF('Global Precios'!H393="","",'Global Precios'!H393)</f>
        <v>1764.46281</v>
      </c>
      <c r="J392" s="82">
        <f>IF('Global Precios'!K393="","",'Global Precios'!K393)</f>
        <v>0.3</v>
      </c>
      <c r="K392" s="30">
        <f>IF('Global Precios'!Z393="Desactivado",0,IF('Global Precios'!L393="","",'Global Precios'!L393))</f>
        <v>0</v>
      </c>
      <c r="L392" s="18"/>
      <c r="M392" s="18"/>
      <c r="N392" s="18"/>
      <c r="O392" s="18"/>
      <c r="P392" s="18"/>
      <c r="Q392" s="18"/>
      <c r="R392" s="18" t="str">
        <f>IF('Global Precios'!F393="","",'Global Precios'!F393)</f>
        <v>Alimentos</v>
      </c>
      <c r="S392" s="18"/>
      <c r="T392" s="18" t="str">
        <f>IF('Global Precios'!E393="","",'Global Precios'!E393)</f>
        <v>AGILITY</v>
      </c>
      <c r="U392" s="18"/>
      <c r="V392" s="18">
        <f t="shared" si="2"/>
        <v>0</v>
      </c>
      <c r="W392" s="18"/>
      <c r="X392" s="18"/>
      <c r="Y392" s="18"/>
      <c r="Z392" s="18"/>
      <c r="AA392" s="18"/>
      <c r="AB392" s="18">
        <f t="shared" si="3"/>
        <v>1</v>
      </c>
      <c r="AC392" s="18">
        <f t="shared" si="4"/>
        <v>1</v>
      </c>
      <c r="AD392" s="18">
        <f t="shared" si="5"/>
        <v>1</v>
      </c>
      <c r="AE392" s="18">
        <f t="shared" si="6"/>
        <v>1</v>
      </c>
    </row>
    <row r="393">
      <c r="A393" s="9">
        <f>IF(E393="","", IF('Global Precios'!B394="",0,'Global Precios'!B394))</f>
        <v>0</v>
      </c>
      <c r="B393" s="14" t="str">
        <f>IF('Global Precios'!B394="","",'Global Precios'!B394)</f>
        <v/>
      </c>
      <c r="C393" s="18">
        <f>IF('Global Precios'!A394="","",'Global Precios'!A394)</f>
        <v>419</v>
      </c>
      <c r="D393" s="18"/>
      <c r="E393" s="25" t="str">
        <f>IF('Global Precios'!D394="","",'Global Precios'!D394)</f>
        <v>AGILITY CATS MERLUZA X 340 GR</v>
      </c>
      <c r="F393" s="18"/>
      <c r="G393" s="25">
        <f>IFERROR(VLOOKUP(C393,'BuscarV Stock'!$A$2:$C$478,3,0),"AAA")</f>
        <v>0</v>
      </c>
      <c r="H393" s="25">
        <f t="shared" si="1"/>
        <v>0.21</v>
      </c>
      <c r="I393" s="30">
        <f>IF('Global Precios'!H394="","",'Global Precios'!H394)</f>
        <v>2314.049587</v>
      </c>
      <c r="J393" s="82">
        <f>IF('Global Precios'!K394="","",'Global Precios'!K394)</f>
        <v>0.35</v>
      </c>
      <c r="K393" s="30">
        <f>IF('Global Precios'!Z394="Desactivado",0,IF('Global Precios'!L394="","",'Global Precios'!L394))</f>
        <v>4000</v>
      </c>
      <c r="L393" s="18"/>
      <c r="M393" s="18"/>
      <c r="N393" s="18"/>
      <c r="O393" s="18"/>
      <c r="P393" s="18"/>
      <c r="Q393" s="18"/>
      <c r="R393" s="18" t="str">
        <f>IF('Global Precios'!F394="","",'Global Precios'!F394)</f>
        <v>Alimentos</v>
      </c>
      <c r="S393" s="18"/>
      <c r="T393" s="18" t="str">
        <f>IF('Global Precios'!E394="","",'Global Precios'!E394)</f>
        <v>AGILITY</v>
      </c>
      <c r="U393" s="18"/>
      <c r="V393" s="18">
        <f t="shared" si="2"/>
        <v>0</v>
      </c>
      <c r="W393" s="18"/>
      <c r="X393" s="18"/>
      <c r="Y393" s="18"/>
      <c r="Z393" s="18"/>
      <c r="AA393" s="18"/>
      <c r="AB393" s="18">
        <f t="shared" si="3"/>
        <v>1</v>
      </c>
      <c r="AC393" s="18">
        <f t="shared" si="4"/>
        <v>1</v>
      </c>
      <c r="AD393" s="18">
        <f t="shared" si="5"/>
        <v>1</v>
      </c>
      <c r="AE393" s="18">
        <f t="shared" si="6"/>
        <v>1</v>
      </c>
    </row>
    <row r="394">
      <c r="A394" s="9">
        <f>IF(E394="","", IF('Global Precios'!B395="",0,'Global Precios'!B395))</f>
        <v>0</v>
      </c>
      <c r="B394" s="14" t="str">
        <f>IF('Global Precios'!B395="","",'Global Precios'!B395)</f>
        <v/>
      </c>
      <c r="C394" s="18">
        <f>IF('Global Precios'!A395="","",'Global Precios'!A395)</f>
        <v>420</v>
      </c>
      <c r="D394" s="18"/>
      <c r="E394" s="25" t="str">
        <f>IF('Global Precios'!D395="","",'Global Precios'!D395)</f>
        <v>AGILITY CATS MERLUZA X 90 GRS</v>
      </c>
      <c r="F394" s="18"/>
      <c r="G394" s="25">
        <f>IFERROR(VLOOKUP(C394,'BuscarV Stock'!$A$2:$C$478,3,0),"AAA")</f>
        <v>0</v>
      </c>
      <c r="H394" s="25">
        <f t="shared" si="1"/>
        <v>0.21</v>
      </c>
      <c r="I394" s="30">
        <f>IF('Global Precios'!H395="","",'Global Precios'!H395)</f>
        <v>747.9338843</v>
      </c>
      <c r="J394" s="82">
        <f>IF('Global Precios'!K395="","",'Global Precios'!K395)</f>
        <v>0.3</v>
      </c>
      <c r="K394" s="30">
        <f>IF('Global Precios'!Z395="Desactivado",0,IF('Global Precios'!L395="","",'Global Precios'!L395))</f>
        <v>0</v>
      </c>
      <c r="L394" s="18"/>
      <c r="M394" s="18"/>
      <c r="N394" s="18"/>
      <c r="O394" s="18"/>
      <c r="P394" s="18"/>
      <c r="Q394" s="18"/>
      <c r="R394" s="18" t="str">
        <f>IF('Global Precios'!F395="","",'Global Precios'!F395)</f>
        <v>Alimentos</v>
      </c>
      <c r="S394" s="18"/>
      <c r="T394" s="18" t="str">
        <f>IF('Global Precios'!E395="","",'Global Precios'!E395)</f>
        <v>AGILITY</v>
      </c>
      <c r="U394" s="18"/>
      <c r="V394" s="18">
        <f t="shared" si="2"/>
        <v>0</v>
      </c>
      <c r="W394" s="18"/>
      <c r="X394" s="18"/>
      <c r="Y394" s="18"/>
      <c r="Z394" s="18"/>
      <c r="AA394" s="18"/>
      <c r="AB394" s="18">
        <f t="shared" si="3"/>
        <v>1</v>
      </c>
      <c r="AC394" s="18">
        <f t="shared" si="4"/>
        <v>1</v>
      </c>
      <c r="AD394" s="18">
        <f t="shared" si="5"/>
        <v>1</v>
      </c>
      <c r="AE394" s="18">
        <f t="shared" si="6"/>
        <v>1</v>
      </c>
    </row>
    <row r="395">
      <c r="A395" s="9">
        <f>IF(E395="","", IF('Global Precios'!B396="",0,'Global Precios'!B396))</f>
        <v>0</v>
      </c>
      <c r="B395" s="14" t="str">
        <f>IF('Global Precios'!B396="","",'Global Precios'!B396)</f>
        <v/>
      </c>
      <c r="C395" s="18">
        <f>IF('Global Precios'!A396="","",'Global Precios'!A396)</f>
        <v>421</v>
      </c>
      <c r="D395" s="18"/>
      <c r="E395" s="25" t="str">
        <f>IF('Global Precios'!D396="","",'Global Precios'!D396)</f>
        <v>SIEGER REDUCED CALORIE</v>
      </c>
      <c r="F395" s="18"/>
      <c r="G395" s="25">
        <f>IFERROR(VLOOKUP(C395,'BuscarV Stock'!$A$2:$C$478,3,0),"AAA")</f>
        <v>0</v>
      </c>
      <c r="H395" s="25">
        <f t="shared" si="1"/>
        <v>0.21</v>
      </c>
      <c r="I395" s="30">
        <f>IF('Global Precios'!H396="","",'Global Precios'!H396)</f>
        <v>2665.289256</v>
      </c>
      <c r="J395" s="82">
        <f>IF('Global Precios'!K396="","",'Global Precios'!K396)</f>
        <v>0.3</v>
      </c>
      <c r="K395" s="30">
        <f>IF('Global Precios'!Z396="Desactivado",0,IF('Global Precios'!L396="","",'Global Precios'!L396))</f>
        <v>0</v>
      </c>
      <c r="L395" s="18"/>
      <c r="M395" s="18"/>
      <c r="N395" s="18"/>
      <c r="O395" s="18"/>
      <c r="P395" s="18"/>
      <c r="Q395" s="18"/>
      <c r="R395" s="18" t="str">
        <f>IF('Global Precios'!F396="","",'Global Precios'!F396)</f>
        <v>Alimentos</v>
      </c>
      <c r="S395" s="18"/>
      <c r="T395" s="18" t="str">
        <f>IF('Global Precios'!E396="","",'Global Precios'!E396)</f>
        <v>SIEGER</v>
      </c>
      <c r="U395" s="18"/>
      <c r="V395" s="18">
        <f t="shared" si="2"/>
        <v>0</v>
      </c>
      <c r="W395" s="18"/>
      <c r="X395" s="18"/>
      <c r="Y395" s="18"/>
      <c r="Z395" s="18"/>
      <c r="AA395" s="18"/>
      <c r="AB395" s="18">
        <f t="shared" si="3"/>
        <v>1</v>
      </c>
      <c r="AC395" s="18">
        <f t="shared" si="4"/>
        <v>1</v>
      </c>
      <c r="AD395" s="18">
        <f t="shared" si="5"/>
        <v>1</v>
      </c>
      <c r="AE395" s="18">
        <f t="shared" si="6"/>
        <v>1</v>
      </c>
    </row>
    <row r="396">
      <c r="A396" s="9">
        <f>IF(E396="","", IF('Global Precios'!B397="",0,'Global Precios'!B397))</f>
        <v>0</v>
      </c>
      <c r="B396" s="14" t="str">
        <f>IF('Global Precios'!B397="","",'Global Precios'!B397)</f>
        <v/>
      </c>
      <c r="C396" s="18">
        <f>IF('Global Precios'!A397="","",'Global Precios'!A397)</f>
        <v>424</v>
      </c>
      <c r="D396" s="18"/>
      <c r="E396" s="25" t="str">
        <f>IF('Global Precios'!D397="","",'Global Precios'!D397)</f>
        <v>METRONIDAZOL 500 x 10 comprimidos</v>
      </c>
      <c r="F396" s="18"/>
      <c r="G396" s="25">
        <f>IFERROR(VLOOKUP(C396,'BuscarV Stock'!$A$2:$C$478,3,0),"AAA")</f>
        <v>0</v>
      </c>
      <c r="H396" s="25">
        <f t="shared" si="1"/>
        <v>0.21</v>
      </c>
      <c r="I396" s="30">
        <f>IF('Global Precios'!H397="","",'Global Precios'!H397)</f>
        <v>2707.438017</v>
      </c>
      <c r="J396" s="82">
        <f>IF('Global Precios'!K397="","",'Global Precios'!K397)</f>
        <v>1</v>
      </c>
      <c r="K396" s="30">
        <f>IF('Global Precios'!Z397="Desactivado",0,IF('Global Precios'!L397="","",'Global Precios'!L397))</f>
        <v>0</v>
      </c>
      <c r="L396" s="18"/>
      <c r="M396" s="18"/>
      <c r="N396" s="18"/>
      <c r="O396" s="18"/>
      <c r="P396" s="18"/>
      <c r="Q396" s="18"/>
      <c r="R396" s="18" t="str">
        <f>IF('Global Precios'!F397="","",'Global Precios'!F397)</f>
        <v>Medicamentos</v>
      </c>
      <c r="S396" s="18"/>
      <c r="T396" s="18" t="str">
        <f>IF('Global Precios'!E397="","",'Global Precios'!E397)</f>
        <v/>
      </c>
      <c r="U396" s="18"/>
      <c r="V396" s="18">
        <f t="shared" si="2"/>
        <v>0</v>
      </c>
      <c r="W396" s="18"/>
      <c r="X396" s="18"/>
      <c r="Y396" s="18"/>
      <c r="Z396" s="18"/>
      <c r="AA396" s="18"/>
      <c r="AB396" s="18">
        <f t="shared" si="3"/>
        <v>1</v>
      </c>
      <c r="AC396" s="18">
        <f t="shared" si="4"/>
        <v>1</v>
      </c>
      <c r="AD396" s="18">
        <f t="shared" si="5"/>
        <v>1</v>
      </c>
      <c r="AE396" s="18">
        <f t="shared" si="6"/>
        <v>1</v>
      </c>
    </row>
    <row r="397">
      <c r="A397" s="9">
        <f>IF(E397="","", IF('Global Precios'!B398="",0,'Global Precios'!B398))</f>
        <v>0</v>
      </c>
      <c r="B397" s="14" t="str">
        <f>IF('Global Precios'!B398="","",'Global Precios'!B398)</f>
        <v/>
      </c>
      <c r="C397" s="18">
        <f>IF('Global Precios'!A398="","",'Global Precios'!A398)</f>
        <v>425</v>
      </c>
      <c r="D397" s="18"/>
      <c r="E397" s="25" t="str">
        <f>IF('Global Precios'!D398="","",'Global Precios'!D398)</f>
        <v>DOMICILIO</v>
      </c>
      <c r="F397" s="18"/>
      <c r="G397" s="25">
        <f>IFERROR(VLOOKUP(C397,'BuscarV Stock'!$A$2:$C$478,3,0),"AAA")</f>
        <v>0</v>
      </c>
      <c r="H397" s="25">
        <f t="shared" si="1"/>
        <v>0.21</v>
      </c>
      <c r="I397" s="30">
        <f>IF('Global Precios'!H398="","",'Global Precios'!H398)</f>
        <v>16746.28099</v>
      </c>
      <c r="J397" s="82">
        <f>IF('Global Precios'!K398="","",'Global Precios'!K398)</f>
        <v>0.01</v>
      </c>
      <c r="K397" s="30">
        <f>IF('Global Precios'!Z398="Desactivado",0,IF('Global Precios'!L398="","",'Global Precios'!L398))</f>
        <v>20000</v>
      </c>
      <c r="L397" s="18"/>
      <c r="M397" s="18"/>
      <c r="N397" s="18"/>
      <c r="O397" s="18"/>
      <c r="P397" s="18"/>
      <c r="Q397" s="18"/>
      <c r="R397" s="18" t="str">
        <f>IF('Global Precios'!F398="","",'Global Precios'!F398)</f>
        <v>Clinica</v>
      </c>
      <c r="S397" s="18"/>
      <c r="T397" s="18" t="str">
        <f>IF('Global Precios'!E398="","",'Global Precios'!E398)</f>
        <v/>
      </c>
      <c r="U397" s="18"/>
      <c r="V397" s="18">
        <f t="shared" si="2"/>
        <v>0</v>
      </c>
      <c r="W397" s="18"/>
      <c r="X397" s="18"/>
      <c r="Y397" s="18"/>
      <c r="Z397" s="18"/>
      <c r="AA397" s="18"/>
      <c r="AB397" s="18">
        <f t="shared" si="3"/>
        <v>1</v>
      </c>
      <c r="AC397" s="18">
        <f t="shared" si="4"/>
        <v>1</v>
      </c>
      <c r="AD397" s="18">
        <f t="shared" si="5"/>
        <v>1</v>
      </c>
      <c r="AE397" s="18">
        <f t="shared" si="6"/>
        <v>1</v>
      </c>
    </row>
    <row r="398">
      <c r="A398" s="9">
        <f>IF(E398="","", IF('Global Precios'!B399="",0,'Global Precios'!B399))</f>
        <v>0</v>
      </c>
      <c r="B398" s="14" t="str">
        <f>IF('Global Precios'!B399="","",'Global Precios'!B399)</f>
        <v/>
      </c>
      <c r="C398" s="18">
        <f>IF('Global Precios'!A399="","",'Global Precios'!A399)</f>
        <v>426</v>
      </c>
      <c r="D398" s="18"/>
      <c r="E398" s="25" t="str">
        <f>IF('Global Precios'!D399="","",'Global Precios'!D399)</f>
        <v>TRASLADO</v>
      </c>
      <c r="F398" s="18"/>
      <c r="G398" s="25">
        <f>IFERROR(VLOOKUP(C398,'BuscarV Stock'!$A$2:$C$478,3,0),"AAA")</f>
        <v>0</v>
      </c>
      <c r="H398" s="25">
        <f t="shared" si="1"/>
        <v>0.21</v>
      </c>
      <c r="I398" s="30">
        <f>IF('Global Precios'!H399="","",'Global Precios'!H399)</f>
        <v>3352.066116</v>
      </c>
      <c r="J398" s="82">
        <f>IF('Global Precios'!K399="","",'Global Precios'!K399)</f>
        <v>0.01</v>
      </c>
      <c r="K398" s="30">
        <f>IF('Global Precios'!Z399="Desactivado",0,IF('Global Precios'!L399="","",'Global Precios'!L399))</f>
        <v>0</v>
      </c>
      <c r="L398" s="18"/>
      <c r="M398" s="18"/>
      <c r="N398" s="18"/>
      <c r="O398" s="18"/>
      <c r="P398" s="18"/>
      <c r="Q398" s="18"/>
      <c r="R398" s="18" t="str">
        <f>IF('Global Precios'!F399="","",'Global Precios'!F399)</f>
        <v>Clinica</v>
      </c>
      <c r="S398" s="18"/>
      <c r="T398" s="18" t="str">
        <f>IF('Global Precios'!E399="","",'Global Precios'!E399)</f>
        <v/>
      </c>
      <c r="U398" s="18"/>
      <c r="V398" s="18">
        <f t="shared" si="2"/>
        <v>0</v>
      </c>
      <c r="W398" s="18"/>
      <c r="X398" s="18"/>
      <c r="Y398" s="18"/>
      <c r="Z398" s="18"/>
      <c r="AA398" s="18"/>
      <c r="AB398" s="18">
        <f t="shared" si="3"/>
        <v>1</v>
      </c>
      <c r="AC398" s="18">
        <f t="shared" si="4"/>
        <v>1</v>
      </c>
      <c r="AD398" s="18">
        <f t="shared" si="5"/>
        <v>1</v>
      </c>
      <c r="AE398" s="18">
        <f t="shared" si="6"/>
        <v>1</v>
      </c>
    </row>
    <row r="399">
      <c r="A399" s="9">
        <f>IF(E399="","", IF('Global Precios'!B400="",0,'Global Precios'!B400))</f>
        <v>0</v>
      </c>
      <c r="B399" s="14" t="str">
        <f>IF('Global Precios'!B400="","",'Global Precios'!B400)</f>
        <v/>
      </c>
      <c r="C399" s="18">
        <f>IF('Global Precios'!A400="","",'Global Precios'!A400)</f>
        <v>427</v>
      </c>
      <c r="D399" s="18"/>
      <c r="E399" s="25" t="str">
        <f>IF('Global Precios'!D400="","",'Global Precios'!D400)</f>
        <v>MORDILLO ESTRELLA</v>
      </c>
      <c r="F399" s="18"/>
      <c r="G399" s="25">
        <f>IFERROR(VLOOKUP(C399,'BuscarV Stock'!$A$2:$C$478,3,0),"AAA")</f>
        <v>0</v>
      </c>
      <c r="H399" s="25">
        <f t="shared" si="1"/>
        <v>0.21</v>
      </c>
      <c r="I399" s="30">
        <f>IF('Global Precios'!H400="","",'Global Precios'!H400)</f>
        <v>321</v>
      </c>
      <c r="J399" s="82">
        <f>IF('Global Precios'!K400="","",'Global Precios'!K400)</f>
        <v>0.8</v>
      </c>
      <c r="K399" s="30">
        <f>IF('Global Precios'!Z400="Desactivado",0,IF('Global Precios'!L400="","",'Global Precios'!L400))</f>
        <v>3500</v>
      </c>
      <c r="L399" s="18"/>
      <c r="M399" s="18"/>
      <c r="N399" s="18"/>
      <c r="O399" s="18"/>
      <c r="P399" s="18"/>
      <c r="Q399" s="18"/>
      <c r="R399" s="18" t="str">
        <f>IF('Global Precios'!F400="","",'Global Precios'!F400)</f>
        <v>Pet-shop</v>
      </c>
      <c r="S399" s="18"/>
      <c r="T399" s="18" t="str">
        <f>IF('Global Precios'!E400="","",'Global Precios'!E400)</f>
        <v/>
      </c>
      <c r="U399" s="18"/>
      <c r="V399" s="18">
        <f t="shared" si="2"/>
        <v>0</v>
      </c>
      <c r="W399" s="18"/>
      <c r="X399" s="18"/>
      <c r="Y399" s="18"/>
      <c r="Z399" s="18"/>
      <c r="AA399" s="18"/>
      <c r="AB399" s="18">
        <f t="shared" si="3"/>
        <v>1</v>
      </c>
      <c r="AC399" s="18">
        <f t="shared" si="4"/>
        <v>1</v>
      </c>
      <c r="AD399" s="18">
        <f t="shared" si="5"/>
        <v>1</v>
      </c>
      <c r="AE399" s="18">
        <f t="shared" si="6"/>
        <v>1</v>
      </c>
    </row>
    <row r="400">
      <c r="A400" s="9">
        <f>IF(E400="","", IF('Global Precios'!B401="",0,'Global Precios'!B401))</f>
        <v>0</v>
      </c>
      <c r="B400" s="14" t="str">
        <f>IF('Global Precios'!B401="","",'Global Precios'!B401)</f>
        <v/>
      </c>
      <c r="C400" s="18">
        <f>IF('Global Precios'!A401="","",'Global Precios'!A401)</f>
        <v>428</v>
      </c>
      <c r="D400" s="18"/>
      <c r="E400" s="25" t="str">
        <f>IF('Global Precios'!D401="","",'Global Precios'!D401)</f>
        <v>MORDILLO REDONDO</v>
      </c>
      <c r="F400" s="18"/>
      <c r="G400" s="25">
        <f>IFERROR(VLOOKUP(C400,'BuscarV Stock'!$A$2:$C$478,3,0),"AAA")</f>
        <v>1</v>
      </c>
      <c r="H400" s="25">
        <f t="shared" si="1"/>
        <v>0.21</v>
      </c>
      <c r="I400" s="30">
        <f>IF('Global Precios'!H401="","",'Global Precios'!H401)</f>
        <v>321</v>
      </c>
      <c r="J400" s="82">
        <f>IF('Global Precios'!K401="","",'Global Precios'!K401)</f>
        <v>0.8</v>
      </c>
      <c r="K400" s="30">
        <f>IF('Global Precios'!Z401="Desactivado",0,IF('Global Precios'!L401="","",'Global Precios'!L401))</f>
        <v>0</v>
      </c>
      <c r="L400" s="18"/>
      <c r="M400" s="18"/>
      <c r="N400" s="18"/>
      <c r="O400" s="18"/>
      <c r="P400" s="18"/>
      <c r="Q400" s="18"/>
      <c r="R400" s="18" t="str">
        <f>IF('Global Precios'!F401="","",'Global Precios'!F401)</f>
        <v>Pet-shop</v>
      </c>
      <c r="S400" s="18"/>
      <c r="T400" s="18" t="str">
        <f>IF('Global Precios'!E401="","",'Global Precios'!E401)</f>
        <v/>
      </c>
      <c r="U400" s="18"/>
      <c r="V400" s="18">
        <f t="shared" si="2"/>
        <v>0</v>
      </c>
      <c r="W400" s="18"/>
      <c r="X400" s="18"/>
      <c r="Y400" s="18"/>
      <c r="Z400" s="18"/>
      <c r="AA400" s="18"/>
      <c r="AB400" s="18">
        <f t="shared" si="3"/>
        <v>1</v>
      </c>
      <c r="AC400" s="18">
        <f t="shared" si="4"/>
        <v>1</v>
      </c>
      <c r="AD400" s="18">
        <f t="shared" si="5"/>
        <v>1</v>
      </c>
      <c r="AE400" s="18">
        <f t="shared" si="6"/>
        <v>1</v>
      </c>
    </row>
    <row r="401">
      <c r="A401" s="9">
        <f>IF(E401="","", IF('Global Precios'!B402="",0,'Global Precios'!B402))</f>
        <v>0</v>
      </c>
      <c r="B401" s="14" t="str">
        <f>IF('Global Precios'!B402="","",'Global Precios'!B402)</f>
        <v/>
      </c>
      <c r="C401" s="18">
        <f>IF('Global Precios'!A402="","",'Global Precios'!A402)</f>
        <v>429</v>
      </c>
      <c r="D401" s="18"/>
      <c r="E401" s="25" t="str">
        <f>IF('Global Precios'!D402="","",'Global Precios'!D402)</f>
        <v>HUESO GRANDE CHIFLE</v>
      </c>
      <c r="F401" s="18"/>
      <c r="G401" s="25">
        <f>IFERROR(VLOOKUP(C401,'BuscarV Stock'!$A$2:$C$478,3,0),"AAA")</f>
        <v>0</v>
      </c>
      <c r="H401" s="25">
        <f t="shared" si="1"/>
        <v>0.21</v>
      </c>
      <c r="I401" s="30">
        <f>IF('Global Precios'!H402="","",'Global Precios'!H402)</f>
        <v>330</v>
      </c>
      <c r="J401" s="82">
        <f>IF('Global Precios'!K402="","",'Global Precios'!K402)</f>
        <v>1</v>
      </c>
      <c r="K401" s="30">
        <f>IF('Global Precios'!Z402="Desactivado",0,IF('Global Precios'!L402="","",'Global Precios'!L402))</f>
        <v>0</v>
      </c>
      <c r="L401" s="18"/>
      <c r="M401" s="18"/>
      <c r="N401" s="18"/>
      <c r="O401" s="18"/>
      <c r="P401" s="18"/>
      <c r="Q401" s="18"/>
      <c r="R401" s="18" t="str">
        <f>IF('Global Precios'!F402="","",'Global Precios'!F402)</f>
        <v>Pet-shop</v>
      </c>
      <c r="S401" s="18"/>
      <c r="T401" s="18" t="str">
        <f>IF('Global Precios'!E402="","",'Global Precios'!E402)</f>
        <v/>
      </c>
      <c r="U401" s="18"/>
      <c r="V401" s="18">
        <f t="shared" si="2"/>
        <v>0</v>
      </c>
      <c r="W401" s="18"/>
      <c r="X401" s="18"/>
      <c r="Y401" s="18"/>
      <c r="Z401" s="18"/>
      <c r="AA401" s="18"/>
      <c r="AB401" s="18">
        <f t="shared" si="3"/>
        <v>1</v>
      </c>
      <c r="AC401" s="18">
        <f t="shared" si="4"/>
        <v>1</v>
      </c>
      <c r="AD401" s="18">
        <f t="shared" si="5"/>
        <v>1</v>
      </c>
      <c r="AE401" s="18">
        <f t="shared" si="6"/>
        <v>1</v>
      </c>
    </row>
    <row r="402">
      <c r="A402" s="9">
        <f>IF(E402="","", IF('Global Precios'!B403="",0,'Global Precios'!B403))</f>
        <v>0</v>
      </c>
      <c r="B402" s="14" t="str">
        <f>IF('Global Precios'!B403="","",'Global Precios'!B403)</f>
        <v/>
      </c>
      <c r="C402" s="18">
        <f>IF('Global Precios'!A403="","",'Global Precios'!A403)</f>
        <v>430</v>
      </c>
      <c r="D402" s="18"/>
      <c r="E402" s="25" t="str">
        <f>IF('Global Precios'!D403="","",'Global Precios'!D403)</f>
        <v>PROPLAN PPVD URINARY X 1,5 KG</v>
      </c>
      <c r="F402" s="18"/>
      <c r="G402" s="25">
        <f>IFERROR(VLOOKUP(C402,'BuscarV Stock'!$A$2:$C$478,3,0),"AAA")</f>
        <v>0</v>
      </c>
      <c r="H402" s="25">
        <f t="shared" si="1"/>
        <v>0.21</v>
      </c>
      <c r="I402" s="30">
        <f>IF('Global Precios'!H403="","",'Global Precios'!H403)</f>
        <v>3099.173554</v>
      </c>
      <c r="J402" s="82">
        <f>IF('Global Precios'!K403="","",'Global Precios'!K403)</f>
        <v>0.3</v>
      </c>
      <c r="K402" s="30">
        <f>IF('Global Precios'!Z403="Desactivado",0,IF('Global Precios'!L403="","",'Global Precios'!L403))</f>
        <v>0</v>
      </c>
      <c r="L402" s="18"/>
      <c r="M402" s="18"/>
      <c r="N402" s="18"/>
      <c r="O402" s="18"/>
      <c r="P402" s="18"/>
      <c r="Q402" s="18"/>
      <c r="R402" s="18" t="str">
        <f>IF('Global Precios'!F403="","",'Global Precios'!F403)</f>
        <v>Alimentos</v>
      </c>
      <c r="S402" s="18"/>
      <c r="T402" s="18" t="str">
        <f>IF('Global Precios'!E403="","",'Global Precios'!E403)</f>
        <v/>
      </c>
      <c r="U402" s="18"/>
      <c r="V402" s="18">
        <f t="shared" si="2"/>
        <v>0</v>
      </c>
      <c r="W402" s="18"/>
      <c r="X402" s="18"/>
      <c r="Y402" s="18"/>
      <c r="Z402" s="18"/>
      <c r="AA402" s="18"/>
      <c r="AB402" s="18">
        <f t="shared" si="3"/>
        <v>1</v>
      </c>
      <c r="AC402" s="18">
        <f t="shared" si="4"/>
        <v>1</v>
      </c>
      <c r="AD402" s="18">
        <f t="shared" si="5"/>
        <v>1</v>
      </c>
      <c r="AE402" s="18">
        <f t="shared" si="6"/>
        <v>1</v>
      </c>
    </row>
    <row r="403">
      <c r="A403" s="9">
        <f>IF(E403="","", IF('Global Precios'!B404="",0,'Global Precios'!B404))</f>
        <v>0</v>
      </c>
      <c r="B403" s="14" t="str">
        <f>IF('Global Precios'!B404="","",'Global Precios'!B404)</f>
        <v/>
      </c>
      <c r="C403" s="18">
        <f>IF('Global Precios'!A404="","",'Global Precios'!A404)</f>
        <v>432</v>
      </c>
      <c r="D403" s="18"/>
      <c r="E403" s="25" t="str">
        <f>IF('Global Precios'!D404="","",'Global Precios'!D404)</f>
        <v>FUROSEMIDA 40 MG X 20 COMPRIMIDOS</v>
      </c>
      <c r="F403" s="18"/>
      <c r="G403" s="25">
        <f>IFERROR(VLOOKUP(C403,'BuscarV Stock'!$A$2:$C$478,3,0),"AAA")</f>
        <v>0</v>
      </c>
      <c r="H403" s="25">
        <f t="shared" si="1"/>
        <v>0.21</v>
      </c>
      <c r="I403" s="30">
        <f>IF('Global Precios'!H404="","",'Global Precios'!H404)</f>
        <v>295.8677686</v>
      </c>
      <c r="J403" s="82">
        <f>IF('Global Precios'!K404="","",'Global Precios'!K404)</f>
        <v>1</v>
      </c>
      <c r="K403" s="30">
        <f>IF('Global Precios'!Z404="Desactivado",0,IF('Global Precios'!L404="","",'Global Precios'!L404))</f>
        <v>0</v>
      </c>
      <c r="L403" s="18"/>
      <c r="M403" s="18"/>
      <c r="N403" s="18"/>
      <c r="O403" s="18"/>
      <c r="P403" s="18"/>
      <c r="Q403" s="18"/>
      <c r="R403" s="18" t="str">
        <f>IF('Global Precios'!F404="","",'Global Precios'!F404)</f>
        <v>Medicamentos</v>
      </c>
      <c r="S403" s="18"/>
      <c r="T403" s="18" t="str">
        <f>IF('Global Precios'!E404="","",'Global Precios'!E404)</f>
        <v/>
      </c>
      <c r="U403" s="18"/>
      <c r="V403" s="18">
        <f t="shared" si="2"/>
        <v>0</v>
      </c>
      <c r="W403" s="18"/>
      <c r="X403" s="18"/>
      <c r="Y403" s="18"/>
      <c r="Z403" s="18"/>
      <c r="AA403" s="18"/>
      <c r="AB403" s="18">
        <f t="shared" si="3"/>
        <v>1</v>
      </c>
      <c r="AC403" s="18">
        <f t="shared" si="4"/>
        <v>1</v>
      </c>
      <c r="AD403" s="18">
        <f t="shared" si="5"/>
        <v>1</v>
      </c>
      <c r="AE403" s="18">
        <f t="shared" si="6"/>
        <v>1</v>
      </c>
    </row>
    <row r="404">
      <c r="A404" s="9">
        <f>IF(E404="","", IF('Global Precios'!B405="",0,'Global Precios'!B405))</f>
        <v>0</v>
      </c>
      <c r="B404" s="14" t="str">
        <f>IF('Global Precios'!B405="","",'Global Precios'!B405)</f>
        <v/>
      </c>
      <c r="C404" s="18">
        <f>IF('Global Precios'!A405="","",'Global Precios'!A405)</f>
        <v>433</v>
      </c>
      <c r="D404" s="18"/>
      <c r="E404" s="25" t="str">
        <f>IF('Global Precios'!D405="","",'Global Precios'!D405)</f>
        <v>SERENEX SPRAY FELINO X 70 C.C</v>
      </c>
      <c r="F404" s="18"/>
      <c r="G404" s="25">
        <f>IFERROR(VLOOKUP(C404,'BuscarV Stock'!$A$2:$C$478,3,0),"AAA")</f>
        <v>0</v>
      </c>
      <c r="H404" s="25">
        <f t="shared" si="1"/>
        <v>0.21</v>
      </c>
      <c r="I404" s="30">
        <f>IF('Global Precios'!H405="","",'Global Precios'!H405)</f>
        <v>21074.38017</v>
      </c>
      <c r="J404" s="82">
        <f>IF('Global Precios'!K405="","",'Global Precios'!K405)</f>
        <v>0.3</v>
      </c>
      <c r="K404" s="30">
        <f>IF('Global Precios'!Z405="Desactivado",0,IF('Global Precios'!L405="","",'Global Precios'!L405))</f>
        <v>33200</v>
      </c>
      <c r="L404" s="18"/>
      <c r="M404" s="18"/>
      <c r="N404" s="18"/>
      <c r="O404" s="18"/>
      <c r="P404" s="18"/>
      <c r="Q404" s="18"/>
      <c r="R404" s="18" t="str">
        <f>IF('Global Precios'!F405="","",'Global Precios'!F405)</f>
        <v>Medicamentos</v>
      </c>
      <c r="S404" s="18"/>
      <c r="T404" s="18" t="str">
        <f>IF('Global Precios'!E405="","",'Global Precios'!E405)</f>
        <v>Koning</v>
      </c>
      <c r="U404" s="18"/>
      <c r="V404" s="18">
        <f t="shared" si="2"/>
        <v>0</v>
      </c>
      <c r="W404" s="18"/>
      <c r="X404" s="18"/>
      <c r="Y404" s="18"/>
      <c r="Z404" s="18"/>
      <c r="AA404" s="18"/>
      <c r="AB404" s="18">
        <f t="shared" si="3"/>
        <v>1</v>
      </c>
      <c r="AC404" s="18">
        <f t="shared" si="4"/>
        <v>1</v>
      </c>
      <c r="AD404" s="18">
        <f t="shared" si="5"/>
        <v>1</v>
      </c>
      <c r="AE404" s="18">
        <f t="shared" si="6"/>
        <v>1</v>
      </c>
    </row>
    <row r="405">
      <c r="A405" s="9">
        <f>IF(E405="","", IF('Global Precios'!B406="",0,'Global Precios'!B406))</f>
        <v>0</v>
      </c>
      <c r="B405" s="14" t="str">
        <f>IF('Global Precios'!B406="","",'Global Precios'!B406)</f>
        <v/>
      </c>
      <c r="C405" s="18">
        <f>IF('Global Precios'!A406="","",'Global Precios'!A406)</f>
        <v>434</v>
      </c>
      <c r="D405" s="18"/>
      <c r="E405" s="25" t="str">
        <f>IF('Global Precios'!D406="","",'Global Precios'!D406)</f>
        <v>OP. CORDERO Y ARROZ ADULTO SMALL X 3 KG</v>
      </c>
      <c r="F405" s="18"/>
      <c r="G405" s="25">
        <f>IFERROR(VLOOKUP(C405,'BuscarV Stock'!$A$2:$C$478,3,0),"AAA")</f>
        <v>2</v>
      </c>
      <c r="H405" s="25">
        <f t="shared" si="1"/>
        <v>0.21</v>
      </c>
      <c r="I405" s="30">
        <f>IF('Global Precios'!H406="","",'Global Precios'!H406)</f>
        <v>11171.90083</v>
      </c>
      <c r="J405" s="82">
        <f>IF('Global Precios'!K406="","",'Global Precios'!K406)</f>
        <v>0.3</v>
      </c>
      <c r="K405" s="30">
        <f>IF('Global Precios'!Z406="Desactivado",0,IF('Global Precios'!L406="","",'Global Precios'!L406))</f>
        <v>18000</v>
      </c>
      <c r="L405" s="18"/>
      <c r="M405" s="18"/>
      <c r="N405" s="18"/>
      <c r="O405" s="18"/>
      <c r="P405" s="18"/>
      <c r="Q405" s="18"/>
      <c r="R405" s="18" t="str">
        <f>IF('Global Precios'!F406="","",'Global Precios'!F406)</f>
        <v>Alimentos</v>
      </c>
      <c r="S405" s="18"/>
      <c r="T405" s="18" t="str">
        <f>IF('Global Precios'!E406="","",'Global Precios'!E406)</f>
        <v>Old Prince</v>
      </c>
      <c r="U405" s="18"/>
      <c r="V405" s="18">
        <f t="shared" si="2"/>
        <v>0</v>
      </c>
      <c r="W405" s="18"/>
      <c r="X405" s="18"/>
      <c r="Y405" s="18"/>
      <c r="Z405" s="18"/>
      <c r="AA405" s="18"/>
      <c r="AB405" s="18">
        <f t="shared" si="3"/>
        <v>1</v>
      </c>
      <c r="AC405" s="18">
        <f t="shared" si="4"/>
        <v>1</v>
      </c>
      <c r="AD405" s="18">
        <f t="shared" si="5"/>
        <v>1</v>
      </c>
      <c r="AE405" s="18">
        <f t="shared" si="6"/>
        <v>1</v>
      </c>
    </row>
    <row r="406">
      <c r="A406" s="9">
        <f>IF(E406="","", IF('Global Precios'!B407="",0,'Global Precios'!B407))</f>
        <v>0</v>
      </c>
      <c r="B406" s="14" t="str">
        <f>IF('Global Precios'!B407="","",'Global Precios'!B407)</f>
        <v/>
      </c>
      <c r="C406" s="18">
        <f>IF('Global Precios'!A407="","",'Global Precios'!A407)</f>
        <v>435</v>
      </c>
      <c r="D406" s="18"/>
      <c r="E406" s="25" t="str">
        <f>IF('Global Precios'!D407="","",'Global Precios'!D407)</f>
        <v>OP. CORDERO Y ARROZ MEDIUM Y LARGE</v>
      </c>
      <c r="F406" s="18"/>
      <c r="G406" s="25">
        <f>IFERROR(VLOOKUP(C406,'BuscarV Stock'!$A$2:$C$478,3,0),"AAA")</f>
        <v>0</v>
      </c>
      <c r="H406" s="25">
        <f t="shared" si="1"/>
        <v>0.21</v>
      </c>
      <c r="I406" s="30">
        <f>IF('Global Precios'!H407="","",'Global Precios'!H407)</f>
        <v>7077.68595</v>
      </c>
      <c r="J406" s="82">
        <f>IF('Global Precios'!K407="","",'Global Precios'!K407)</f>
        <v>0.3</v>
      </c>
      <c r="K406" s="30">
        <f>IF('Global Precios'!Z407="Desactivado",0,IF('Global Precios'!L407="","",'Global Precios'!L407))</f>
        <v>0</v>
      </c>
      <c r="L406" s="18"/>
      <c r="M406" s="18"/>
      <c r="N406" s="18"/>
      <c r="O406" s="18"/>
      <c r="P406" s="18"/>
      <c r="Q406" s="18"/>
      <c r="R406" s="18" t="str">
        <f>IF('Global Precios'!F407="","",'Global Precios'!F407)</f>
        <v>Alimentos</v>
      </c>
      <c r="S406" s="18"/>
      <c r="T406" s="18" t="str">
        <f>IF('Global Precios'!E407="","",'Global Precios'!E407)</f>
        <v>Old Prince</v>
      </c>
      <c r="U406" s="18"/>
      <c r="V406" s="18">
        <f t="shared" si="2"/>
        <v>0</v>
      </c>
      <c r="W406" s="18"/>
      <c r="X406" s="18"/>
      <c r="Y406" s="18"/>
      <c r="Z406" s="18"/>
      <c r="AA406" s="18"/>
      <c r="AB406" s="18">
        <f t="shared" si="3"/>
        <v>1</v>
      </c>
      <c r="AC406" s="18">
        <f t="shared" si="4"/>
        <v>1</v>
      </c>
      <c r="AD406" s="18">
        <f t="shared" si="5"/>
        <v>1</v>
      </c>
      <c r="AE406" s="18">
        <f t="shared" si="6"/>
        <v>1</v>
      </c>
    </row>
    <row r="407">
      <c r="A407" s="9">
        <f>IF(E407="","", IF('Global Precios'!B408="",0,'Global Precios'!B408))</f>
        <v>0</v>
      </c>
      <c r="B407" s="14" t="str">
        <f>IF('Global Precios'!B408="","",'Global Precios'!B408)</f>
        <v/>
      </c>
      <c r="C407" s="18">
        <f>IF('Global Precios'!A408="","",'Global Precios'!A408)</f>
        <v>436</v>
      </c>
      <c r="D407" s="18"/>
      <c r="E407" s="25" t="str">
        <f>IF('Global Precios'!D408="","",'Global Precios'!D408)</f>
        <v>SIEGER ADULT MEDIUM Y LARGE BREED X 15 KG</v>
      </c>
      <c r="F407" s="18"/>
      <c r="G407" s="25">
        <f>IFERROR(VLOOKUP(C407,'BuscarV Stock'!$A$2:$C$478,3,0),"AAA")</f>
        <v>0</v>
      </c>
      <c r="H407" s="25">
        <f t="shared" si="1"/>
        <v>0.21</v>
      </c>
      <c r="I407" s="30">
        <f>IF('Global Precios'!H408="","",'Global Precios'!H408)</f>
        <v>20059.50413</v>
      </c>
      <c r="J407" s="82">
        <f>IF('Global Precios'!K408="","",'Global Precios'!K408)</f>
        <v>0.3</v>
      </c>
      <c r="K407" s="30">
        <f>IF('Global Precios'!Z408="Desactivado",0,IF('Global Precios'!L408="","",'Global Precios'!L408))</f>
        <v>0</v>
      </c>
      <c r="L407" s="18"/>
      <c r="M407" s="18"/>
      <c r="N407" s="18"/>
      <c r="O407" s="18"/>
      <c r="P407" s="18"/>
      <c r="Q407" s="18"/>
      <c r="R407" s="18" t="str">
        <f>IF('Global Precios'!F408="","",'Global Precios'!F408)</f>
        <v>Alimentos</v>
      </c>
      <c r="S407" s="18"/>
      <c r="T407" s="18" t="str">
        <f>IF('Global Precios'!E408="","",'Global Precios'!E408)</f>
        <v>Sieger</v>
      </c>
      <c r="U407" s="18"/>
      <c r="V407" s="18">
        <f t="shared" si="2"/>
        <v>0</v>
      </c>
      <c r="W407" s="18"/>
      <c r="X407" s="18"/>
      <c r="Y407" s="18"/>
      <c r="Z407" s="18"/>
      <c r="AA407" s="18"/>
      <c r="AB407" s="18">
        <f t="shared" si="3"/>
        <v>1</v>
      </c>
      <c r="AC407" s="18">
        <f t="shared" si="4"/>
        <v>1</v>
      </c>
      <c r="AD407" s="18">
        <f t="shared" si="5"/>
        <v>1</v>
      </c>
      <c r="AE407" s="18">
        <f t="shared" si="6"/>
        <v>1</v>
      </c>
    </row>
    <row r="408">
      <c r="A408" s="9">
        <f>IF(E408="","", IF('Global Precios'!B409="",0,'Global Precios'!B409))</f>
        <v>0</v>
      </c>
      <c r="B408" s="14" t="str">
        <f>IF('Global Precios'!B409="","",'Global Precios'!B409)</f>
        <v/>
      </c>
      <c r="C408" s="18">
        <f>IF('Global Precios'!A409="","",'Global Precios'!A409)</f>
        <v>437</v>
      </c>
      <c r="D408" s="18"/>
      <c r="E408" s="25" t="str">
        <f>IF('Global Precios'!D409="","",'Global Precios'!D409)</f>
        <v>CHALECO INFLABLE T. 3</v>
      </c>
      <c r="F408" s="18"/>
      <c r="G408" s="25">
        <f>IFERROR(VLOOKUP(C408,'BuscarV Stock'!$A$2:$C$478,3,0),"AAA")</f>
        <v>0</v>
      </c>
      <c r="H408" s="25">
        <f t="shared" si="1"/>
        <v>0.21</v>
      </c>
      <c r="I408" s="30">
        <f>IF('Global Precios'!H409="","",'Global Precios'!H409)</f>
        <v>793</v>
      </c>
      <c r="J408" s="82">
        <f>IF('Global Precios'!K409="","",'Global Precios'!K409)</f>
        <v>1</v>
      </c>
      <c r="K408" s="30">
        <f>IF('Global Precios'!Z409="Desactivado",0,IF('Global Precios'!L409="","",'Global Precios'!L409))</f>
        <v>0</v>
      </c>
      <c r="L408" s="18"/>
      <c r="M408" s="18"/>
      <c r="N408" s="18"/>
      <c r="O408" s="18"/>
      <c r="P408" s="18"/>
      <c r="Q408" s="18"/>
      <c r="R408" s="18" t="str">
        <f>IF('Global Precios'!F409="","",'Global Precios'!F409)</f>
        <v>Pet-shop</v>
      </c>
      <c r="S408" s="18"/>
      <c r="T408" s="18" t="str">
        <f>IF('Global Precios'!E409="","",'Global Precios'!E409)</f>
        <v/>
      </c>
      <c r="U408" s="18"/>
      <c r="V408" s="18">
        <f t="shared" si="2"/>
        <v>0</v>
      </c>
      <c r="W408" s="18"/>
      <c r="X408" s="18"/>
      <c r="Y408" s="18"/>
      <c r="Z408" s="18"/>
      <c r="AA408" s="18"/>
      <c r="AB408" s="18">
        <f t="shared" si="3"/>
        <v>1</v>
      </c>
      <c r="AC408" s="18">
        <f t="shared" si="4"/>
        <v>1</v>
      </c>
      <c r="AD408" s="18">
        <f t="shared" si="5"/>
        <v>1</v>
      </c>
      <c r="AE408" s="18">
        <f t="shared" si="6"/>
        <v>1</v>
      </c>
    </row>
    <row r="409">
      <c r="A409" s="9">
        <f>IF(E409="","", IF('Global Precios'!B410="",0,'Global Precios'!B410))</f>
        <v>0</v>
      </c>
      <c r="B409" s="14" t="str">
        <f>IF('Global Precios'!B410="","",'Global Precios'!B410)</f>
        <v/>
      </c>
      <c r="C409" s="18">
        <f>IF('Global Precios'!A410="","",'Global Precios'!A410)</f>
        <v>438</v>
      </c>
      <c r="D409" s="18"/>
      <c r="E409" s="25" t="str">
        <f>IF('Global Precios'!D410="","",'Global Precios'!D410)</f>
        <v>CAMPERA INFLABLE T. 4</v>
      </c>
      <c r="F409" s="18"/>
      <c r="G409" s="25">
        <f>IFERROR(VLOOKUP(C409,'BuscarV Stock'!$A$2:$C$478,3,0),"AAA")</f>
        <v>0</v>
      </c>
      <c r="H409" s="25">
        <f t="shared" si="1"/>
        <v>0.21</v>
      </c>
      <c r="I409" s="30">
        <f>IF('Global Precios'!H410="","",'Global Precios'!H410)</f>
        <v>854</v>
      </c>
      <c r="J409" s="82">
        <f>IF('Global Precios'!K410="","",'Global Precios'!K410)</f>
        <v>1</v>
      </c>
      <c r="K409" s="30">
        <f>IF('Global Precios'!Z410="Desactivado",0,IF('Global Precios'!L410="","",'Global Precios'!L410))</f>
        <v>0</v>
      </c>
      <c r="L409" s="18"/>
      <c r="M409" s="18"/>
      <c r="N409" s="18"/>
      <c r="O409" s="18"/>
      <c r="P409" s="18"/>
      <c r="Q409" s="18"/>
      <c r="R409" s="18" t="str">
        <f>IF('Global Precios'!F410="","",'Global Precios'!F410)</f>
        <v>Pet-shop</v>
      </c>
      <c r="S409" s="18"/>
      <c r="T409" s="18" t="str">
        <f>IF('Global Precios'!E410="","",'Global Precios'!E410)</f>
        <v/>
      </c>
      <c r="U409" s="18"/>
      <c r="V409" s="18">
        <f t="shared" si="2"/>
        <v>0</v>
      </c>
      <c r="W409" s="18"/>
      <c r="X409" s="18"/>
      <c r="Y409" s="18"/>
      <c r="Z409" s="18"/>
      <c r="AA409" s="18"/>
      <c r="AB409" s="18">
        <f t="shared" si="3"/>
        <v>1</v>
      </c>
      <c r="AC409" s="18">
        <f t="shared" si="4"/>
        <v>1</v>
      </c>
      <c r="AD409" s="18">
        <f t="shared" si="5"/>
        <v>1</v>
      </c>
      <c r="AE409" s="18">
        <f t="shared" si="6"/>
        <v>1</v>
      </c>
    </row>
    <row r="410">
      <c r="A410" s="9">
        <f>IF(E410="","", IF('Global Precios'!B411="",0,'Global Precios'!B411))</f>
        <v>0</v>
      </c>
      <c r="B410" s="14" t="str">
        <f>IF('Global Precios'!B411="","",'Global Precios'!B411)</f>
        <v/>
      </c>
      <c r="C410" s="18">
        <f>IF('Global Precios'!A411="","",'Global Precios'!A411)</f>
        <v>439</v>
      </c>
      <c r="D410" s="18"/>
      <c r="E410" s="25" t="str">
        <f>IF('Global Precios'!D411="","",'Global Precios'!D411)</f>
        <v>COLLAR C/PAÑUELO TALLE 3</v>
      </c>
      <c r="F410" s="18"/>
      <c r="G410" s="25">
        <f>IFERROR(VLOOKUP(C410,'BuscarV Stock'!$A$2:$C$478,3,0),"AAA")</f>
        <v>0</v>
      </c>
      <c r="H410" s="25">
        <f t="shared" si="1"/>
        <v>0.21</v>
      </c>
      <c r="I410" s="30">
        <f>IF('Global Precios'!H411="","",'Global Precios'!H411)</f>
        <v>385</v>
      </c>
      <c r="J410" s="82">
        <f>IF('Global Precios'!K411="","",'Global Precios'!K411)</f>
        <v>1</v>
      </c>
      <c r="K410" s="30">
        <f>IF('Global Precios'!Z411="Desactivado",0,IF('Global Precios'!L411="","",'Global Precios'!L411))</f>
        <v>0</v>
      </c>
      <c r="L410" s="18"/>
      <c r="M410" s="18"/>
      <c r="N410" s="18"/>
      <c r="O410" s="18"/>
      <c r="P410" s="18"/>
      <c r="Q410" s="18"/>
      <c r="R410" s="18" t="str">
        <f>IF('Global Precios'!F411="","",'Global Precios'!F411)</f>
        <v>Pet-shop</v>
      </c>
      <c r="S410" s="18"/>
      <c r="T410" s="18" t="str">
        <f>IF('Global Precios'!E411="","",'Global Precios'!E411)</f>
        <v/>
      </c>
      <c r="U410" s="18"/>
      <c r="V410" s="18">
        <f t="shared" si="2"/>
        <v>0</v>
      </c>
      <c r="W410" s="18"/>
      <c r="X410" s="18"/>
      <c r="Y410" s="18"/>
      <c r="Z410" s="18"/>
      <c r="AA410" s="18"/>
      <c r="AB410" s="18">
        <f t="shared" si="3"/>
        <v>1</v>
      </c>
      <c r="AC410" s="18">
        <f t="shared" si="4"/>
        <v>1</v>
      </c>
      <c r="AD410" s="18">
        <f t="shared" si="5"/>
        <v>1</v>
      </c>
      <c r="AE410" s="18">
        <f t="shared" si="6"/>
        <v>1</v>
      </c>
    </row>
    <row r="411">
      <c r="A411" s="9">
        <f>IF(E411="","", IF('Global Precios'!B412="",0,'Global Precios'!B412))</f>
        <v>0</v>
      </c>
      <c r="B411" s="14" t="str">
        <f>IF('Global Precios'!B412="","",'Global Precios'!B412)</f>
        <v/>
      </c>
      <c r="C411" s="18">
        <f>IF('Global Precios'!A412="","",'Global Precios'!A412)</f>
        <v>440</v>
      </c>
      <c r="D411" s="18"/>
      <c r="E411" s="25" t="str">
        <f>IF('Global Precios'!D412="","",'Global Precios'!D412)</f>
        <v>RATÓN A CUERDA</v>
      </c>
      <c r="F411" s="18"/>
      <c r="G411" s="25">
        <f>IFERROR(VLOOKUP(C411,'BuscarV Stock'!$A$2:$C$478,3,0),"AAA")</f>
        <v>3</v>
      </c>
      <c r="H411" s="25">
        <f t="shared" si="1"/>
        <v>0.21</v>
      </c>
      <c r="I411" s="30">
        <f>IF('Global Precios'!H412="","",'Global Precios'!H412)</f>
        <v>524</v>
      </c>
      <c r="J411" s="82">
        <f>IF('Global Precios'!K412="","",'Global Precios'!K412)</f>
        <v>0.8</v>
      </c>
      <c r="K411" s="30">
        <f>IF('Global Precios'!Z412="Desactivado",0,IF('Global Precios'!L412="","",'Global Precios'!L412))</f>
        <v>4500</v>
      </c>
      <c r="L411" s="18"/>
      <c r="M411" s="18"/>
      <c r="N411" s="18"/>
      <c r="O411" s="18"/>
      <c r="P411" s="18"/>
      <c r="Q411" s="18"/>
      <c r="R411" s="18" t="str">
        <f>IF('Global Precios'!F412="","",'Global Precios'!F412)</f>
        <v>Pet-shop</v>
      </c>
      <c r="S411" s="18"/>
      <c r="T411" s="18" t="str">
        <f>IF('Global Precios'!E412="","",'Global Precios'!E412)</f>
        <v/>
      </c>
      <c r="U411" s="18"/>
      <c r="V411" s="18">
        <f t="shared" si="2"/>
        <v>0</v>
      </c>
      <c r="W411" s="18"/>
      <c r="X411" s="18"/>
      <c r="Y411" s="18"/>
      <c r="Z411" s="18"/>
      <c r="AA411" s="18"/>
      <c r="AB411" s="18">
        <f t="shared" si="3"/>
        <v>1</v>
      </c>
      <c r="AC411" s="18">
        <f t="shared" si="4"/>
        <v>1</v>
      </c>
      <c r="AD411" s="18">
        <f t="shared" si="5"/>
        <v>1</v>
      </c>
      <c r="AE411" s="18">
        <f t="shared" si="6"/>
        <v>1</v>
      </c>
    </row>
    <row r="412">
      <c r="A412" s="9">
        <f>IF(E412="","", IF('Global Precios'!B413="",0,'Global Precios'!B413))</f>
        <v>0</v>
      </c>
      <c r="B412" s="14" t="str">
        <f>IF('Global Precios'!B413="","",'Global Precios'!B413)</f>
        <v/>
      </c>
      <c r="C412" s="18">
        <f>IF('Global Precios'!A413="","",'Global Precios'!A413)</f>
        <v>441</v>
      </c>
      <c r="D412" s="18"/>
      <c r="E412" s="25" t="str">
        <f>IF('Global Precios'!D413="","",'Global Precios'!D413)</f>
        <v>ENZIMOL X COMPRIMIDO</v>
      </c>
      <c r="F412" s="18"/>
      <c r="G412" s="25">
        <f>IFERROR(VLOOKUP(C412,'BuscarV Stock'!$A$2:$C$478,3,0),"AAA")</f>
        <v>0</v>
      </c>
      <c r="H412" s="25">
        <f t="shared" si="1"/>
        <v>0.21</v>
      </c>
      <c r="I412" s="30">
        <f>IF('Global Precios'!H413="","",'Global Precios'!H413)</f>
        <v>100</v>
      </c>
      <c r="J412" s="82">
        <f>IF('Global Precios'!K413="","",'Global Precios'!K413)</f>
        <v>1.5</v>
      </c>
      <c r="K412" s="30">
        <f>IF('Global Precios'!Z413="Desactivado",0,IF('Global Precios'!L413="","",'Global Precios'!L413))</f>
        <v>0</v>
      </c>
      <c r="L412" s="18"/>
      <c r="M412" s="18"/>
      <c r="N412" s="18"/>
      <c r="O412" s="18"/>
      <c r="P412" s="18"/>
      <c r="Q412" s="18"/>
      <c r="R412" s="18" t="str">
        <f>IF('Global Precios'!F413="","",'Global Precios'!F413)</f>
        <v>Medicamentos</v>
      </c>
      <c r="S412" s="18"/>
      <c r="T412" s="18" t="str">
        <f>IF('Global Precios'!E413="","",'Global Precios'!E413)</f>
        <v/>
      </c>
      <c r="U412" s="18"/>
      <c r="V412" s="18">
        <f t="shared" si="2"/>
        <v>0</v>
      </c>
      <c r="W412" s="18"/>
      <c r="X412" s="18"/>
      <c r="Y412" s="18"/>
      <c r="Z412" s="18"/>
      <c r="AA412" s="18"/>
      <c r="AB412" s="18">
        <f t="shared" si="3"/>
        <v>1</v>
      </c>
      <c r="AC412" s="18">
        <f t="shared" si="4"/>
        <v>1</v>
      </c>
      <c r="AD412" s="18">
        <f t="shared" si="5"/>
        <v>1</v>
      </c>
      <c r="AE412" s="18">
        <f t="shared" si="6"/>
        <v>1</v>
      </c>
    </row>
    <row r="413">
      <c r="A413" s="9">
        <f>IF(E413="","", IF('Global Precios'!B414="",0,'Global Precios'!B414))</f>
        <v>0</v>
      </c>
      <c r="B413" s="14" t="str">
        <f>IF('Global Precios'!B414="","",'Global Precios'!B414)</f>
        <v/>
      </c>
      <c r="C413" s="18">
        <f>IF('Global Precios'!A414="","",'Global Precios'!A414)</f>
        <v>442</v>
      </c>
      <c r="D413" s="18"/>
      <c r="E413" s="25" t="str">
        <f>IF('Global Precios'!D414="","",'Global Precios'!D414)</f>
        <v>ITRACONAZOL SUSPENSION ORAL X 15 ML</v>
      </c>
      <c r="F413" s="18"/>
      <c r="G413" s="25">
        <f>IFERROR(VLOOKUP(C413,'BuscarV Stock'!$A$2:$C$478,3,0),"AAA")</f>
        <v>1</v>
      </c>
      <c r="H413" s="25">
        <f t="shared" si="1"/>
        <v>0.21</v>
      </c>
      <c r="I413" s="30">
        <f>IF('Global Precios'!H414="","",'Global Precios'!H414)</f>
        <v>9215.702479</v>
      </c>
      <c r="J413" s="82">
        <f>IF('Global Precios'!K414="","",'Global Precios'!K414)</f>
        <v>0.8</v>
      </c>
      <c r="K413" s="30">
        <f>IF('Global Precios'!Z414="Desactivado",0,IF('Global Precios'!L414="","",'Global Precios'!L414))</f>
        <v>20000</v>
      </c>
      <c r="L413" s="18"/>
      <c r="M413" s="18"/>
      <c r="N413" s="18"/>
      <c r="O413" s="18"/>
      <c r="P413" s="18"/>
      <c r="Q413" s="18"/>
      <c r="R413" s="18" t="str">
        <f>IF('Global Precios'!F414="","",'Global Precios'!F414)</f>
        <v>Medicamentos</v>
      </c>
      <c r="S413" s="18"/>
      <c r="T413" s="18" t="str">
        <f>IF('Global Precios'!E414="","",'Global Precios'!E414)</f>
        <v/>
      </c>
      <c r="U413" s="18"/>
      <c r="V413" s="18">
        <f t="shared" si="2"/>
        <v>0</v>
      </c>
      <c r="W413" s="18"/>
      <c r="X413" s="18"/>
      <c r="Y413" s="18"/>
      <c r="Z413" s="18"/>
      <c r="AA413" s="18"/>
      <c r="AB413" s="18">
        <f t="shared" si="3"/>
        <v>1</v>
      </c>
      <c r="AC413" s="18">
        <f t="shared" si="4"/>
        <v>1</v>
      </c>
      <c r="AD413" s="18">
        <f t="shared" si="5"/>
        <v>1</v>
      </c>
      <c r="AE413" s="18">
        <f t="shared" si="6"/>
        <v>1</v>
      </c>
    </row>
    <row r="414">
      <c r="A414" s="9">
        <f>IF(E414="","", IF('Global Precios'!B415="",0,'Global Precios'!B415))</f>
        <v>0</v>
      </c>
      <c r="B414" s="14" t="str">
        <f>IF('Global Precios'!B415="","",'Global Precios'!B415)</f>
        <v/>
      </c>
      <c r="C414" s="18">
        <f>IF('Global Precios'!A415="","",'Global Precios'!A415)</f>
        <v>443</v>
      </c>
      <c r="D414" s="18"/>
      <c r="E414" s="25" t="str">
        <f>IF('Global Precios'!D415="","",'Global Precios'!D415)</f>
        <v>PREVICOX 57 mg  X COMPRIMIDO</v>
      </c>
      <c r="F414" s="18"/>
      <c r="G414" s="25">
        <f>IFERROR(VLOOKUP(C414,'BuscarV Stock'!$A$2:$C$478,3,0),"AAA")</f>
        <v>35</v>
      </c>
      <c r="H414" s="25">
        <f t="shared" si="1"/>
        <v>0.21</v>
      </c>
      <c r="I414" s="30">
        <f>IF('Global Precios'!H415="","",'Global Precios'!H415)</f>
        <v>909.0909091</v>
      </c>
      <c r="J414" s="82">
        <f>IF('Global Precios'!K415="","",'Global Precios'!K415)</f>
        <v>0.8</v>
      </c>
      <c r="K414" s="30">
        <f>IF('Global Precios'!Z415="Desactivado",0,IF('Global Precios'!L415="","",'Global Precios'!L415))</f>
        <v>2000</v>
      </c>
      <c r="L414" s="18"/>
      <c r="M414" s="18"/>
      <c r="N414" s="18"/>
      <c r="O414" s="18"/>
      <c r="P414" s="18"/>
      <c r="Q414" s="18"/>
      <c r="R414" s="18" t="str">
        <f>IF('Global Precios'!F415="","",'Global Precios'!F415)</f>
        <v>Medicamentos</v>
      </c>
      <c r="S414" s="18"/>
      <c r="T414" s="18" t="str">
        <f>IF('Global Precios'!E415="","",'Global Precios'!E415)</f>
        <v/>
      </c>
      <c r="U414" s="18"/>
      <c r="V414" s="18">
        <f t="shared" si="2"/>
        <v>0</v>
      </c>
      <c r="W414" s="18"/>
      <c r="X414" s="18"/>
      <c r="Y414" s="18"/>
      <c r="Z414" s="18"/>
      <c r="AA414" s="18"/>
      <c r="AB414" s="18">
        <f t="shared" si="3"/>
        <v>1</v>
      </c>
      <c r="AC414" s="18">
        <f t="shared" si="4"/>
        <v>1</v>
      </c>
      <c r="AD414" s="18">
        <f t="shared" si="5"/>
        <v>1</v>
      </c>
      <c r="AE414" s="18">
        <f t="shared" si="6"/>
        <v>1</v>
      </c>
    </row>
    <row r="415">
      <c r="A415" s="9">
        <f>IF(E415="","", IF('Global Precios'!B416="",0,'Global Precios'!B416))</f>
        <v>0</v>
      </c>
      <c r="B415" s="14" t="str">
        <f>IF('Global Precios'!B416="","",'Global Precios'!B416)</f>
        <v/>
      </c>
      <c r="C415" s="18">
        <f>IF('Global Precios'!A416="","",'Global Precios'!A416)</f>
        <v>444</v>
      </c>
      <c r="D415" s="18"/>
      <c r="E415" s="25" t="str">
        <f>IF('Global Precios'!D416="","",'Global Precios'!D416)</f>
        <v>Pechera acolchada T. L</v>
      </c>
      <c r="F415" s="18"/>
      <c r="G415" s="25">
        <f>IFERROR(VLOOKUP(C415,'BuscarV Stock'!$A$2:$C$478,3,0),"AAA")</f>
        <v>1</v>
      </c>
      <c r="H415" s="25">
        <f t="shared" si="1"/>
        <v>0.21</v>
      </c>
      <c r="I415" s="30">
        <f>IF('Global Precios'!H416="","",'Global Precios'!H416)</f>
        <v>1177</v>
      </c>
      <c r="J415" s="82">
        <f>IF('Global Precios'!K416="","",'Global Precios'!K416)</f>
        <v>0.8</v>
      </c>
      <c r="K415" s="30">
        <f>IF('Global Precios'!Z416="Desactivado",0,IF('Global Precios'!L416="","",'Global Precios'!L416))</f>
        <v>10000</v>
      </c>
      <c r="L415" s="18"/>
      <c r="M415" s="18"/>
      <c r="N415" s="18"/>
      <c r="O415" s="18"/>
      <c r="P415" s="18"/>
      <c r="Q415" s="18"/>
      <c r="R415" s="18" t="str">
        <f>IF('Global Precios'!F416="","",'Global Precios'!F416)</f>
        <v>Pet-shop</v>
      </c>
      <c r="S415" s="18"/>
      <c r="T415" s="18" t="str">
        <f>IF('Global Precios'!E416="","",'Global Precios'!E416)</f>
        <v/>
      </c>
      <c r="U415" s="18"/>
      <c r="V415" s="18">
        <f t="shared" si="2"/>
        <v>0</v>
      </c>
      <c r="W415" s="18"/>
      <c r="X415" s="18"/>
      <c r="Y415" s="18"/>
      <c r="Z415" s="18"/>
      <c r="AA415" s="18"/>
      <c r="AB415" s="18">
        <f t="shared" si="3"/>
        <v>1</v>
      </c>
      <c r="AC415" s="18">
        <f t="shared" si="4"/>
        <v>1</v>
      </c>
      <c r="AD415" s="18">
        <f t="shared" si="5"/>
        <v>1</v>
      </c>
      <c r="AE415" s="18">
        <f t="shared" si="6"/>
        <v>1</v>
      </c>
    </row>
    <row r="416">
      <c r="A416" s="9">
        <f>IF(E416="","", IF('Global Precios'!B417="",0,'Global Precios'!B417))</f>
        <v>0</v>
      </c>
      <c r="B416" s="14" t="str">
        <f>IF('Global Precios'!B417="","",'Global Precios'!B417)</f>
        <v/>
      </c>
      <c r="C416" s="18">
        <f>IF('Global Precios'!A417="","",'Global Precios'!A417)</f>
        <v>445</v>
      </c>
      <c r="D416" s="18"/>
      <c r="E416" s="25" t="str">
        <f>IF('Global Precios'!D417="","",'Global Precios'!D417)</f>
        <v>NEXGARD GG (25 A 50 KG)</v>
      </c>
      <c r="F416" s="18"/>
      <c r="G416" s="25">
        <f>IFERROR(VLOOKUP(C416,'BuscarV Stock'!$A$2:$C$478,3,0),"AAA")</f>
        <v>4</v>
      </c>
      <c r="H416" s="25">
        <f t="shared" si="1"/>
        <v>0.21</v>
      </c>
      <c r="I416" s="30">
        <f>IF('Global Precios'!H417="","",'Global Precios'!H417)</f>
        <v>16415.70248</v>
      </c>
      <c r="J416" s="82">
        <f>IF('Global Precios'!K417="","",'Global Precios'!K417)</f>
        <v>0.8</v>
      </c>
      <c r="K416" s="30">
        <f>IF('Global Precios'!Z417="Desactivado",0,IF('Global Precios'!L417="","",'Global Precios'!L417))</f>
        <v>36000</v>
      </c>
      <c r="L416" s="18"/>
      <c r="M416" s="18"/>
      <c r="N416" s="18"/>
      <c r="O416" s="18"/>
      <c r="P416" s="18"/>
      <c r="Q416" s="18"/>
      <c r="R416" s="18" t="str">
        <f>IF('Global Precios'!F417="","",'Global Precios'!F417)</f>
        <v>Medicamentos</v>
      </c>
      <c r="S416" s="18"/>
      <c r="T416" s="18" t="str">
        <f>IF('Global Precios'!E417="","",'Global Precios'!E417)</f>
        <v>FRONTLINE</v>
      </c>
      <c r="U416" s="18"/>
      <c r="V416" s="18">
        <f t="shared" si="2"/>
        <v>0</v>
      </c>
      <c r="W416" s="18"/>
      <c r="X416" s="18"/>
      <c r="Y416" s="18"/>
      <c r="Z416" s="18"/>
      <c r="AA416" s="18"/>
      <c r="AB416" s="18">
        <f t="shared" si="3"/>
        <v>1</v>
      </c>
      <c r="AC416" s="18">
        <f t="shared" si="4"/>
        <v>1</v>
      </c>
      <c r="AD416" s="18">
        <f t="shared" si="5"/>
        <v>1</v>
      </c>
      <c r="AE416" s="18">
        <f t="shared" si="6"/>
        <v>1</v>
      </c>
    </row>
    <row r="417">
      <c r="A417" s="9">
        <f>IF(E417="","", IF('Global Precios'!B418="",0,'Global Precios'!B418))</f>
        <v>0</v>
      </c>
      <c r="B417" s="14" t="str">
        <f>IF('Global Precios'!B418="","",'Global Precios'!B418)</f>
        <v/>
      </c>
      <c r="C417" s="18">
        <f>IF('Global Precios'!A418="","",'Global Precios'!A418)</f>
        <v>446</v>
      </c>
      <c r="D417" s="18"/>
      <c r="E417" s="25" t="str">
        <f>IF('Global Precios'!D418="","",'Global Precios'!D418)</f>
        <v>Nogastrol</v>
      </c>
      <c r="F417" s="18"/>
      <c r="G417" s="25">
        <f>IFERROR(VLOOKUP(C417,'BuscarV Stock'!$A$2:$C$478,3,0),"AAA")</f>
        <v>0</v>
      </c>
      <c r="H417" s="25">
        <f t="shared" si="1"/>
        <v>0.21</v>
      </c>
      <c r="I417" s="30">
        <f>IF('Global Precios'!H418="","",'Global Precios'!H418)</f>
        <v>652.0661157</v>
      </c>
      <c r="J417" s="82">
        <f>IF('Global Precios'!K418="","",'Global Precios'!K418)</f>
        <v>0.8</v>
      </c>
      <c r="K417" s="30">
        <f>IF('Global Precios'!Z418="Desactivado",0,IF('Global Precios'!L418="","",'Global Precios'!L418))</f>
        <v>0</v>
      </c>
      <c r="L417" s="18"/>
      <c r="M417" s="18"/>
      <c r="N417" s="18"/>
      <c r="O417" s="18"/>
      <c r="P417" s="18"/>
      <c r="Q417" s="18"/>
      <c r="R417" s="18" t="str">
        <f>IF('Global Precios'!F418="","",'Global Precios'!F418)</f>
        <v>Medicamentos</v>
      </c>
      <c r="S417" s="18"/>
      <c r="T417" s="18" t="str">
        <f>IF('Global Precios'!E418="","",'Global Precios'!E418)</f>
        <v>Mayors</v>
      </c>
      <c r="U417" s="18"/>
      <c r="V417" s="18">
        <f t="shared" si="2"/>
        <v>0</v>
      </c>
      <c r="W417" s="18"/>
      <c r="X417" s="18"/>
      <c r="Y417" s="18"/>
      <c r="Z417" s="18"/>
      <c r="AA417" s="18"/>
      <c r="AB417" s="18">
        <f t="shared" si="3"/>
        <v>1</v>
      </c>
      <c r="AC417" s="18">
        <f t="shared" si="4"/>
        <v>1</v>
      </c>
      <c r="AD417" s="18">
        <f t="shared" si="5"/>
        <v>1</v>
      </c>
      <c r="AE417" s="18">
        <f t="shared" si="6"/>
        <v>1</v>
      </c>
    </row>
    <row r="418">
      <c r="A418" s="9">
        <f>IF(E418="","", IF('Global Precios'!B419="",0,'Global Precios'!B419))</f>
        <v>0</v>
      </c>
      <c r="B418" s="14" t="str">
        <f>IF('Global Precios'!B419="","",'Global Precios'!B419)</f>
        <v/>
      </c>
      <c r="C418" s="18">
        <f>IF('Global Precios'!A419="","",'Global Precios'!A419)</f>
        <v>447</v>
      </c>
      <c r="D418" s="18"/>
      <c r="E418" s="25" t="str">
        <f>IF('Global Precios'!D419="","",'Global Precios'!D419)</f>
        <v>NOGASTROL X 10 COMPRIMIDOS</v>
      </c>
      <c r="F418" s="18"/>
      <c r="G418" s="25" t="str">
        <f>IFERROR(VLOOKUP(C418,'BuscarV Stock'!$A$2:$C$478,3,0),"AAA")</f>
        <v>0.6</v>
      </c>
      <c r="H418" s="25">
        <f t="shared" si="1"/>
        <v>0.21</v>
      </c>
      <c r="I418" s="30">
        <f>IF('Global Precios'!H419="","",'Global Precios'!H419)</f>
        <v>836.3636364</v>
      </c>
      <c r="J418" s="82">
        <f>IF('Global Precios'!K419="","",'Global Precios'!K419)</f>
        <v>0.8</v>
      </c>
      <c r="K418" s="30">
        <f>IF('Global Precios'!Z419="Desactivado",0,IF('Global Precios'!L419="","",'Global Precios'!L419))</f>
        <v>0</v>
      </c>
      <c r="L418" s="18"/>
      <c r="M418" s="18"/>
      <c r="N418" s="18"/>
      <c r="O418" s="18"/>
      <c r="P418" s="18"/>
      <c r="Q418" s="18"/>
      <c r="R418" s="18" t="str">
        <f>IF('Global Precios'!F419="","",'Global Precios'!F419)</f>
        <v>Medicamentos</v>
      </c>
      <c r="S418" s="18"/>
      <c r="T418" s="18" t="str">
        <f>IF('Global Precios'!E419="","",'Global Precios'!E419)</f>
        <v>Mayors</v>
      </c>
      <c r="U418" s="18"/>
      <c r="V418" s="18">
        <f t="shared" si="2"/>
        <v>0</v>
      </c>
      <c r="W418" s="18"/>
      <c r="X418" s="18"/>
      <c r="Y418" s="18"/>
      <c r="Z418" s="18"/>
      <c r="AA418" s="18"/>
      <c r="AB418" s="18">
        <f t="shared" si="3"/>
        <v>1</v>
      </c>
      <c r="AC418" s="18">
        <f t="shared" si="4"/>
        <v>1</v>
      </c>
      <c r="AD418" s="18">
        <f t="shared" si="5"/>
        <v>1</v>
      </c>
      <c r="AE418" s="18">
        <f t="shared" si="6"/>
        <v>1</v>
      </c>
    </row>
    <row r="419">
      <c r="A419" s="9">
        <f>IF(E419="","", IF('Global Precios'!B420="",0,'Global Precios'!B420))</f>
        <v>0</v>
      </c>
      <c r="B419" s="14" t="str">
        <f>IF('Global Precios'!B420="","",'Global Precios'!B420)</f>
        <v/>
      </c>
      <c r="C419" s="18">
        <f>IF('Global Precios'!A420="","",'Global Precios'!A420)</f>
        <v>448</v>
      </c>
      <c r="D419" s="18"/>
      <c r="E419" s="25" t="str">
        <f>IF('Global Precios'!D420="","",'Global Precios'!D420)</f>
        <v>MV RENAL CANINOS X 2 KG</v>
      </c>
      <c r="F419" s="18"/>
      <c r="G419" s="25">
        <f>IFERROR(VLOOKUP(C419,'BuscarV Stock'!$A$2:$C$478,3,0),"AAA")</f>
        <v>0</v>
      </c>
      <c r="H419" s="25">
        <f t="shared" si="1"/>
        <v>0.21</v>
      </c>
      <c r="I419" s="30">
        <f>IF('Global Precios'!H420="","",'Global Precios'!H420)</f>
        <v>13595.04132</v>
      </c>
      <c r="J419" s="82">
        <f>IF('Global Precios'!K420="","",'Global Precios'!K420)</f>
        <v>0.4</v>
      </c>
      <c r="K419" s="30">
        <f>IF('Global Precios'!Z420="Desactivado",0,IF('Global Precios'!L420="","",'Global Precios'!L420))</f>
        <v>23000</v>
      </c>
      <c r="L419" s="18"/>
      <c r="M419" s="18"/>
      <c r="N419" s="18"/>
      <c r="O419" s="18"/>
      <c r="P419" s="18"/>
      <c r="Q419" s="18"/>
      <c r="R419" s="18" t="str">
        <f>IF('Global Precios'!F420="","",'Global Precios'!F420)</f>
        <v>Alimentos</v>
      </c>
      <c r="S419" s="18"/>
      <c r="T419" s="18" t="str">
        <f>IF('Global Precios'!E420="","",'Global Precios'!E420)</f>
        <v>Mv</v>
      </c>
      <c r="U419" s="18"/>
      <c r="V419" s="18">
        <f t="shared" si="2"/>
        <v>0</v>
      </c>
      <c r="W419" s="18"/>
      <c r="X419" s="18"/>
      <c r="Y419" s="18"/>
      <c r="Z419" s="18"/>
      <c r="AA419" s="18"/>
      <c r="AB419" s="18">
        <f t="shared" si="3"/>
        <v>1</v>
      </c>
      <c r="AC419" s="18">
        <f t="shared" si="4"/>
        <v>1</v>
      </c>
      <c r="AD419" s="18">
        <f t="shared" si="5"/>
        <v>1</v>
      </c>
      <c r="AE419" s="18">
        <f t="shared" si="6"/>
        <v>1</v>
      </c>
    </row>
    <row r="420">
      <c r="A420" s="9">
        <f>IF(E420="","", IF('Global Precios'!B421="",0,'Global Precios'!B421))</f>
        <v>0</v>
      </c>
      <c r="B420" s="14" t="str">
        <f>IF('Global Precios'!B421="","",'Global Precios'!B421)</f>
        <v/>
      </c>
      <c r="C420" s="18">
        <f>IF('Global Precios'!A421="","",'Global Precios'!A421)</f>
        <v>449</v>
      </c>
      <c r="D420" s="18"/>
      <c r="E420" s="25" t="str">
        <f>IF('Global Precios'!D421="","",'Global Precios'!D421)</f>
        <v>RECOVERY LATA</v>
      </c>
      <c r="F420" s="18"/>
      <c r="G420" s="25">
        <f>IFERROR(VLOOKUP(C420,'BuscarV Stock'!$A$2:$C$478,3,0),"AAA")</f>
        <v>0</v>
      </c>
      <c r="H420" s="25">
        <f t="shared" si="1"/>
        <v>0.21</v>
      </c>
      <c r="I420" s="30">
        <f>IF('Global Precios'!H421="","",'Global Precios'!H421)</f>
        <v>3471.07438</v>
      </c>
      <c r="J420" s="82">
        <f>IF('Global Precios'!K421="","",'Global Precios'!K421)</f>
        <v>0.3</v>
      </c>
      <c r="K420" s="30">
        <f>IF('Global Precios'!Z421="Desactivado",0,IF('Global Precios'!L421="","",'Global Precios'!L421))</f>
        <v>5500</v>
      </c>
      <c r="L420" s="18"/>
      <c r="M420" s="18"/>
      <c r="N420" s="18"/>
      <c r="O420" s="18"/>
      <c r="P420" s="18"/>
      <c r="Q420" s="18"/>
      <c r="R420" s="18" t="str">
        <f>IF('Global Precios'!F421="","",'Global Precios'!F421)</f>
        <v>Alimentos</v>
      </c>
      <c r="S420" s="18"/>
      <c r="T420" s="18" t="str">
        <f>IF('Global Precios'!E421="","",'Global Precios'!E421)</f>
        <v>Royal canin</v>
      </c>
      <c r="U420" s="18"/>
      <c r="V420" s="18">
        <f t="shared" si="2"/>
        <v>0</v>
      </c>
      <c r="W420" s="18"/>
      <c r="X420" s="18"/>
      <c r="Y420" s="18"/>
      <c r="Z420" s="18"/>
      <c r="AA420" s="18"/>
      <c r="AB420" s="18">
        <f t="shared" si="3"/>
        <v>1</v>
      </c>
      <c r="AC420" s="18">
        <f t="shared" si="4"/>
        <v>1</v>
      </c>
      <c r="AD420" s="18">
        <f t="shared" si="5"/>
        <v>1</v>
      </c>
      <c r="AE420" s="18">
        <f t="shared" si="6"/>
        <v>1</v>
      </c>
    </row>
    <row r="421">
      <c r="A421" s="9">
        <f>IF(E421="","", IF('Global Precios'!B422="",0,'Global Precios'!B422))</f>
        <v>0</v>
      </c>
      <c r="B421" s="14" t="str">
        <f>IF('Global Precios'!B422="","",'Global Precios'!B422)</f>
        <v/>
      </c>
      <c r="C421" s="18">
        <f>IF('Global Precios'!A422="","",'Global Precios'!A422)</f>
        <v>450</v>
      </c>
      <c r="D421" s="18"/>
      <c r="E421" s="25" t="str">
        <f>IF('Global Precios'!D422="","",'Global Precios'!D422)</f>
        <v>DOXICICLINA SUSPENSIÓN X 20 ML</v>
      </c>
      <c r="F421" s="18"/>
      <c r="G421" s="25">
        <f>IFERROR(VLOOKUP(C421,'BuscarV Stock'!$A$2:$C$478,3,0),"AAA")</f>
        <v>0</v>
      </c>
      <c r="H421" s="25">
        <f t="shared" si="1"/>
        <v>0.21</v>
      </c>
      <c r="I421" s="30">
        <f>IF('Global Precios'!H422="","",'Global Precios'!H422)</f>
        <v>4792.561983</v>
      </c>
      <c r="J421" s="82">
        <f>IF('Global Precios'!K422="","",'Global Precios'!K422)</f>
        <v>1</v>
      </c>
      <c r="K421" s="30">
        <f>IF('Global Precios'!Z422="Desactivado",0,IF('Global Precios'!L422="","",'Global Precios'!L422))</f>
        <v>0</v>
      </c>
      <c r="L421" s="18"/>
      <c r="M421" s="18"/>
      <c r="N421" s="18"/>
      <c r="O421" s="18"/>
      <c r="P421" s="18"/>
      <c r="Q421" s="18"/>
      <c r="R421" s="18" t="str">
        <f>IF('Global Precios'!F422="","",'Global Precios'!F422)</f>
        <v>Medicamentos</v>
      </c>
      <c r="S421" s="18"/>
      <c r="T421" s="18" t="str">
        <f>IF('Global Precios'!E422="","",'Global Precios'!E422)</f>
        <v>Jenner</v>
      </c>
      <c r="U421" s="18"/>
      <c r="V421" s="18">
        <f t="shared" si="2"/>
        <v>0</v>
      </c>
      <c r="W421" s="18"/>
      <c r="X421" s="18"/>
      <c r="Y421" s="18"/>
      <c r="Z421" s="18"/>
      <c r="AA421" s="18"/>
      <c r="AB421" s="18">
        <f t="shared" si="3"/>
        <v>1</v>
      </c>
      <c r="AC421" s="18">
        <f t="shared" si="4"/>
        <v>1</v>
      </c>
      <c r="AD421" s="18">
        <f t="shared" si="5"/>
        <v>1</v>
      </c>
      <c r="AE421" s="18">
        <f t="shared" si="6"/>
        <v>1</v>
      </c>
    </row>
    <row r="422">
      <c r="A422" s="9">
        <f>IF(E422="","", IF('Global Precios'!B423="",0,'Global Precios'!B423))</f>
        <v>0</v>
      </c>
      <c r="B422" s="14" t="str">
        <f>IF('Global Precios'!B423="","",'Global Precios'!B423)</f>
        <v/>
      </c>
      <c r="C422" s="18">
        <f>IF('Global Precios'!A423="","",'Global Precios'!A423)</f>
        <v>451</v>
      </c>
      <c r="D422" s="18"/>
      <c r="E422" s="25" t="str">
        <f>IF('Global Precios'!D423="","",'Global Precios'!D423)</f>
        <v>DENTASTIX RAZAS PEQUEÑAS X 3</v>
      </c>
      <c r="F422" s="18"/>
      <c r="G422" s="25">
        <f>IFERROR(VLOOKUP(C422,'BuscarV Stock'!$A$2:$C$478,3,0),"AAA")</f>
        <v>4</v>
      </c>
      <c r="H422" s="25">
        <f t="shared" si="1"/>
        <v>0.21</v>
      </c>
      <c r="I422" s="30">
        <f>IF('Global Precios'!H423="","",'Global Precios'!H423)</f>
        <v>264.4628099</v>
      </c>
      <c r="J422" s="82">
        <f>IF('Global Precios'!K423="","",'Global Precios'!K423)</f>
        <v>1</v>
      </c>
      <c r="K422" s="30">
        <f>IF('Global Precios'!Z423="Desactivado",0,IF('Global Precios'!L423="","",'Global Precios'!L423))</f>
        <v>0</v>
      </c>
      <c r="L422" s="18"/>
      <c r="M422" s="18"/>
      <c r="N422" s="18"/>
      <c r="O422" s="18"/>
      <c r="P422" s="18"/>
      <c r="Q422" s="18"/>
      <c r="R422" s="18" t="str">
        <f>IF('Global Precios'!F423="","",'Global Precios'!F423)</f>
        <v>Alimentos</v>
      </c>
      <c r="S422" s="18"/>
      <c r="T422" s="18" t="str">
        <f>IF('Global Precios'!E423="","",'Global Precios'!E423)</f>
        <v>Pedigree</v>
      </c>
      <c r="U422" s="18"/>
      <c r="V422" s="18">
        <f t="shared" si="2"/>
        <v>0</v>
      </c>
      <c r="W422" s="18"/>
      <c r="X422" s="18"/>
      <c r="Y422" s="18"/>
      <c r="Z422" s="18"/>
      <c r="AA422" s="18"/>
      <c r="AB422" s="18">
        <f t="shared" si="3"/>
        <v>1</v>
      </c>
      <c r="AC422" s="18">
        <f t="shared" si="4"/>
        <v>1</v>
      </c>
      <c r="AD422" s="18">
        <f t="shared" si="5"/>
        <v>1</v>
      </c>
      <c r="AE422" s="18">
        <f t="shared" si="6"/>
        <v>1</v>
      </c>
    </row>
    <row r="423">
      <c r="A423" s="9">
        <f>IF(E423="","", IF('Global Precios'!B424="",0,'Global Precios'!B424))</f>
        <v>0</v>
      </c>
      <c r="B423" s="14" t="str">
        <f>IF('Global Precios'!B424="","",'Global Precios'!B424)</f>
        <v/>
      </c>
      <c r="C423" s="18">
        <f>IF('Global Precios'!A424="","",'Global Precios'!A424)</f>
        <v>452</v>
      </c>
      <c r="D423" s="18"/>
      <c r="E423" s="25" t="str">
        <f>IF('Global Precios'!D424="","",'Global Precios'!D424)</f>
        <v>DENTASTIX RAZAS MEDIANAS X 3</v>
      </c>
      <c r="F423" s="18"/>
      <c r="G423" s="25">
        <f>IFERROR(VLOOKUP(C423,'BuscarV Stock'!$A$2:$C$478,3,0),"AAA")</f>
        <v>4</v>
      </c>
      <c r="H423" s="25">
        <f t="shared" si="1"/>
        <v>0.21</v>
      </c>
      <c r="I423" s="30">
        <f>IF('Global Precios'!H424="","",'Global Precios'!H424)</f>
        <v>289.2561983</v>
      </c>
      <c r="J423" s="82">
        <f>IF('Global Precios'!K424="","",'Global Precios'!K424)</f>
        <v>1</v>
      </c>
      <c r="K423" s="30">
        <f>IF('Global Precios'!Z424="Desactivado",0,IF('Global Precios'!L424="","",'Global Precios'!L424))</f>
        <v>0</v>
      </c>
      <c r="L423" s="18"/>
      <c r="M423" s="18"/>
      <c r="N423" s="18"/>
      <c r="O423" s="18"/>
      <c r="P423" s="18"/>
      <c r="Q423" s="18"/>
      <c r="R423" s="18" t="str">
        <f>IF('Global Precios'!F424="","",'Global Precios'!F424)</f>
        <v>Alimentos</v>
      </c>
      <c r="S423" s="18"/>
      <c r="T423" s="18" t="str">
        <f>IF('Global Precios'!E424="","",'Global Precios'!E424)</f>
        <v>Pedigree</v>
      </c>
      <c r="U423" s="18"/>
      <c r="V423" s="18">
        <f t="shared" si="2"/>
        <v>0</v>
      </c>
      <c r="W423" s="18"/>
      <c r="X423" s="18"/>
      <c r="Y423" s="18"/>
      <c r="Z423" s="18"/>
      <c r="AA423" s="18"/>
      <c r="AB423" s="18">
        <f t="shared" si="3"/>
        <v>1</v>
      </c>
      <c r="AC423" s="18">
        <f t="shared" si="4"/>
        <v>1</v>
      </c>
      <c r="AD423" s="18">
        <f t="shared" si="5"/>
        <v>1</v>
      </c>
      <c r="AE423" s="18">
        <f t="shared" si="6"/>
        <v>1</v>
      </c>
    </row>
    <row r="424">
      <c r="A424" s="9">
        <f>IF(E424="","", IF('Global Precios'!B425="",0,'Global Precios'!B425))</f>
        <v>0</v>
      </c>
      <c r="B424" s="14" t="str">
        <f>IF('Global Precios'!B425="","",'Global Precios'!B425)</f>
        <v/>
      </c>
      <c r="C424" s="18">
        <f>IF('Global Precios'!A425="","",'Global Precios'!A425)</f>
        <v>453</v>
      </c>
      <c r="D424" s="18"/>
      <c r="E424" s="25" t="str">
        <f>IF('Global Precios'!D425="","",'Global Precios'!D425)</f>
        <v>RODEO CARNE/POLLO</v>
      </c>
      <c r="F424" s="18"/>
      <c r="G424" s="25">
        <f>IFERROR(VLOOKUP(C424,'BuscarV Stock'!$A$2:$C$478,3,0),"AAA")</f>
        <v>0</v>
      </c>
      <c r="H424" s="25">
        <f t="shared" si="1"/>
        <v>0.21</v>
      </c>
      <c r="I424" s="30">
        <f>IF('Global Precios'!H425="","",'Global Precios'!H425)</f>
        <v>264.4628099</v>
      </c>
      <c r="J424" s="82">
        <f>IF('Global Precios'!K425="","",'Global Precios'!K425)</f>
        <v>1</v>
      </c>
      <c r="K424" s="30">
        <f>IF('Global Precios'!Z425="Desactivado",0,IF('Global Precios'!L425="","",'Global Precios'!L425))</f>
        <v>0</v>
      </c>
      <c r="L424" s="18"/>
      <c r="M424" s="18"/>
      <c r="N424" s="18"/>
      <c r="O424" s="18"/>
      <c r="P424" s="18"/>
      <c r="Q424" s="18"/>
      <c r="R424" s="18" t="str">
        <f>IF('Global Precios'!F425="","",'Global Precios'!F425)</f>
        <v>Alimentos</v>
      </c>
      <c r="S424" s="18"/>
      <c r="T424" s="18" t="str">
        <f>IF('Global Precios'!E425="","",'Global Precios'!E425)</f>
        <v>Pedigree</v>
      </c>
      <c r="U424" s="18"/>
      <c r="V424" s="18">
        <f t="shared" si="2"/>
        <v>0</v>
      </c>
      <c r="W424" s="18"/>
      <c r="X424" s="18"/>
      <c r="Y424" s="18"/>
      <c r="Z424" s="18"/>
      <c r="AA424" s="18"/>
      <c r="AB424" s="18">
        <f t="shared" si="3"/>
        <v>1</v>
      </c>
      <c r="AC424" s="18">
        <f t="shared" si="4"/>
        <v>1</v>
      </c>
      <c r="AD424" s="18">
        <f t="shared" si="5"/>
        <v>1</v>
      </c>
      <c r="AE424" s="18">
        <f t="shared" si="6"/>
        <v>1</v>
      </c>
    </row>
    <row r="425">
      <c r="A425" s="9">
        <f>IF(E425="","", IF('Global Precios'!B426="",0,'Global Precios'!B426))</f>
        <v>0</v>
      </c>
      <c r="B425" s="14" t="str">
        <f>IF('Global Precios'!B426="","",'Global Precios'!B426)</f>
        <v/>
      </c>
      <c r="C425" s="18">
        <f>IF('Global Precios'!A426="","",'Global Precios'!A426)</f>
        <v>454</v>
      </c>
      <c r="D425" s="18"/>
      <c r="E425" s="25" t="str">
        <f>IF('Global Precios'!D426="","",'Global Precios'!D426)</f>
        <v>MV URINARY GATOS</v>
      </c>
      <c r="F425" s="18"/>
      <c r="G425" s="25">
        <f>IFERROR(VLOOKUP(C425,'BuscarV Stock'!$A$2:$C$478,3,0),"AAA")</f>
        <v>1</v>
      </c>
      <c r="H425" s="25">
        <f t="shared" si="1"/>
        <v>0.21</v>
      </c>
      <c r="I425" s="30">
        <f>IF('Global Precios'!H426="","",'Global Precios'!H426)</f>
        <v>14834.71074</v>
      </c>
      <c r="J425" s="82">
        <f>IF('Global Precios'!K426="","",'Global Precios'!K426)</f>
        <v>0.4</v>
      </c>
      <c r="K425" s="30">
        <f>IF('Global Precios'!Z426="Desactivado",0,IF('Global Precios'!L426="","",'Global Precios'!L426))</f>
        <v>25000</v>
      </c>
      <c r="L425" s="18"/>
      <c r="M425" s="18"/>
      <c r="N425" s="18"/>
      <c r="O425" s="18"/>
      <c r="P425" s="18"/>
      <c r="Q425" s="18"/>
      <c r="R425" s="18" t="str">
        <f>IF('Global Precios'!F426="","",'Global Precios'!F426)</f>
        <v>Alimentos</v>
      </c>
      <c r="S425" s="18"/>
      <c r="T425" s="18" t="str">
        <f>IF('Global Precios'!E426="","",'Global Precios'!E426)</f>
        <v>Mv</v>
      </c>
      <c r="U425" s="18"/>
      <c r="V425" s="18">
        <f t="shared" si="2"/>
        <v>0</v>
      </c>
      <c r="W425" s="18"/>
      <c r="X425" s="18"/>
      <c r="Y425" s="18"/>
      <c r="Z425" s="18"/>
      <c r="AA425" s="18"/>
      <c r="AB425" s="18">
        <f t="shared" si="3"/>
        <v>1</v>
      </c>
      <c r="AC425" s="18">
        <f t="shared" si="4"/>
        <v>1</v>
      </c>
      <c r="AD425" s="18">
        <f t="shared" si="5"/>
        <v>1</v>
      </c>
      <c r="AE425" s="18">
        <f t="shared" si="6"/>
        <v>1</v>
      </c>
    </row>
    <row r="426">
      <c r="A426" s="9">
        <f>IF(E426="","", IF('Global Precios'!B427="",0,'Global Precios'!B427))</f>
        <v>0</v>
      </c>
      <c r="B426" s="14" t="str">
        <f>IF('Global Precios'!B427="","",'Global Precios'!B427)</f>
        <v/>
      </c>
      <c r="C426" s="18">
        <f>IF('Global Precios'!A427="","",'Global Precios'!A427)</f>
        <v>455</v>
      </c>
      <c r="D426" s="18"/>
      <c r="E426" s="25" t="str">
        <f>IF('Global Precios'!D427="","",'Global Precios'!D427)</f>
        <v>BRAVECTO GATOS PIPETA 2,8 A 6,25 KG</v>
      </c>
      <c r="F426" s="18"/>
      <c r="G426" s="25">
        <f>IFERROR(VLOOKUP(C426,'BuscarV Stock'!$A$2:$C$478,3,0),"AAA")</f>
        <v>0</v>
      </c>
      <c r="H426" s="25">
        <f t="shared" si="1"/>
        <v>0.21</v>
      </c>
      <c r="I426" s="30">
        <f>IF('Global Precios'!H427="","",'Global Precios'!H427)</f>
        <v>19109.91736</v>
      </c>
      <c r="J426" s="82">
        <f>IF('Global Precios'!K427="","",'Global Precios'!K427)</f>
        <v>0.3</v>
      </c>
      <c r="K426" s="30">
        <f>IF('Global Precios'!Z427="Desactivado",0,IF('Global Precios'!L427="","",'Global Precios'!L427))</f>
        <v>30000</v>
      </c>
      <c r="L426" s="18"/>
      <c r="M426" s="18"/>
      <c r="N426" s="18"/>
      <c r="O426" s="18"/>
      <c r="P426" s="18"/>
      <c r="Q426" s="18"/>
      <c r="R426" s="18" t="str">
        <f>IF('Global Precios'!F427="","",'Global Precios'!F427)</f>
        <v>Medicamentos</v>
      </c>
      <c r="S426" s="18"/>
      <c r="T426" s="18" t="str">
        <f>IF('Global Precios'!E427="","",'Global Precios'!E427)</f>
        <v>Msd</v>
      </c>
      <c r="U426" s="18"/>
      <c r="V426" s="18">
        <f t="shared" si="2"/>
        <v>0</v>
      </c>
      <c r="W426" s="18"/>
      <c r="X426" s="18"/>
      <c r="Y426" s="18"/>
      <c r="Z426" s="18"/>
      <c r="AA426" s="18"/>
      <c r="AB426" s="18">
        <f t="shared" si="3"/>
        <v>1</v>
      </c>
      <c r="AC426" s="18">
        <f t="shared" si="4"/>
        <v>1</v>
      </c>
      <c r="AD426" s="18">
        <f t="shared" si="5"/>
        <v>1</v>
      </c>
      <c r="AE426" s="18">
        <f t="shared" si="6"/>
        <v>1</v>
      </c>
    </row>
    <row r="427">
      <c r="A427" s="9">
        <f>IF(E427="","", IF('Global Precios'!B428="",0,'Global Precios'!B428))</f>
        <v>0</v>
      </c>
      <c r="B427" s="14" t="str">
        <f>IF('Global Precios'!B428="","",'Global Precios'!B428)</f>
        <v/>
      </c>
      <c r="C427" s="18">
        <f>IF('Global Precios'!A428="","",'Global Precios'!A428)</f>
        <v>456</v>
      </c>
      <c r="D427" s="18"/>
      <c r="E427" s="25" t="str">
        <f>IF('Global Precios'!D428="","",'Global Precios'!D428)</f>
        <v>CORTE DE UÑAS Y RECORTE DE PELO PERRO CHICO</v>
      </c>
      <c r="F427" s="18"/>
      <c r="G427" s="25">
        <f>IFERROR(VLOOKUP(C427,'BuscarV Stock'!$A$2:$C$478,3,0),"AAA")</f>
        <v>0</v>
      </c>
      <c r="H427" s="25">
        <f t="shared" si="1"/>
        <v>0.21</v>
      </c>
      <c r="I427" s="30">
        <f>IF('Global Precios'!H428="","",'Global Precios'!H428)</f>
        <v>4623.140496</v>
      </c>
      <c r="J427" s="82">
        <f>IF('Global Precios'!K428="","",'Global Precios'!K428)</f>
        <v>1</v>
      </c>
      <c r="K427" s="30">
        <f>IF('Global Precios'!Z428="Desactivado",0,IF('Global Precios'!L428="","",'Global Precios'!L428))</f>
        <v>0</v>
      </c>
      <c r="L427" s="18"/>
      <c r="M427" s="18"/>
      <c r="N427" s="18"/>
      <c r="O427" s="18"/>
      <c r="P427" s="18"/>
      <c r="Q427" s="18"/>
      <c r="R427" s="18" t="str">
        <f>IF('Global Precios'!F428="","",'Global Precios'!F428)</f>
        <v>Peluquería</v>
      </c>
      <c r="S427" s="18"/>
      <c r="T427" s="18" t="str">
        <f>IF('Global Precios'!E428="","",'Global Precios'!E428)</f>
        <v/>
      </c>
      <c r="U427" s="18"/>
      <c r="V427" s="18">
        <f t="shared" si="2"/>
        <v>0</v>
      </c>
      <c r="W427" s="18"/>
      <c r="X427" s="18"/>
      <c r="Y427" s="18"/>
      <c r="Z427" s="18"/>
      <c r="AA427" s="18"/>
      <c r="AB427" s="18">
        <f t="shared" si="3"/>
        <v>1</v>
      </c>
      <c r="AC427" s="18">
        <f t="shared" si="4"/>
        <v>1</v>
      </c>
      <c r="AD427" s="18">
        <f t="shared" si="5"/>
        <v>1</v>
      </c>
      <c r="AE427" s="18">
        <f t="shared" si="6"/>
        <v>1</v>
      </c>
    </row>
    <row r="428">
      <c r="A428" s="9">
        <f>IF(E428="","", IF('Global Precios'!B429="",0,'Global Precios'!B429))</f>
        <v>0</v>
      </c>
      <c r="B428" s="14" t="str">
        <f>IF('Global Precios'!B429="","",'Global Precios'!B429)</f>
        <v/>
      </c>
      <c r="C428" s="18">
        <f>IF('Global Precios'!A429="","",'Global Precios'!A429)</f>
        <v>457</v>
      </c>
      <c r="D428" s="18"/>
      <c r="E428" s="25" t="str">
        <f>IF('Global Precios'!D429="","",'Global Precios'!D429)</f>
        <v>CORTE DE UÑAS Y RECORTE DE PELO PERRO MEDIANO</v>
      </c>
      <c r="F428" s="18"/>
      <c r="G428" s="25">
        <f>IFERROR(VLOOKUP(C428,'BuscarV Stock'!$A$2:$C$478,3,0),"AAA")</f>
        <v>0</v>
      </c>
      <c r="H428" s="25">
        <f t="shared" si="1"/>
        <v>0.21</v>
      </c>
      <c r="I428" s="30">
        <f>IF('Global Precios'!H429="","",'Global Precios'!H429)</f>
        <v>1204.958678</v>
      </c>
      <c r="J428" s="82">
        <f>IF('Global Precios'!K429="","",'Global Precios'!K429)</f>
        <v>1</v>
      </c>
      <c r="K428" s="30">
        <f>IF('Global Precios'!Z429="Desactivado",0,IF('Global Precios'!L429="","",'Global Precios'!L429))</f>
        <v>0</v>
      </c>
      <c r="L428" s="18"/>
      <c r="M428" s="18"/>
      <c r="N428" s="18"/>
      <c r="O428" s="18"/>
      <c r="P428" s="18"/>
      <c r="Q428" s="18"/>
      <c r="R428" s="18" t="str">
        <f>IF('Global Precios'!F429="","",'Global Precios'!F429)</f>
        <v>Peluquería</v>
      </c>
      <c r="S428" s="18"/>
      <c r="T428" s="18" t="str">
        <f>IF('Global Precios'!E429="","",'Global Precios'!E429)</f>
        <v/>
      </c>
      <c r="U428" s="18"/>
      <c r="V428" s="18">
        <f t="shared" si="2"/>
        <v>0</v>
      </c>
      <c r="W428" s="18"/>
      <c r="X428" s="18"/>
      <c r="Y428" s="18"/>
      <c r="Z428" s="18"/>
      <c r="AA428" s="18"/>
      <c r="AB428" s="18">
        <f t="shared" si="3"/>
        <v>1</v>
      </c>
      <c r="AC428" s="18">
        <f t="shared" si="4"/>
        <v>1</v>
      </c>
      <c r="AD428" s="18">
        <f t="shared" si="5"/>
        <v>1</v>
      </c>
      <c r="AE428" s="18">
        <f t="shared" si="6"/>
        <v>1</v>
      </c>
    </row>
    <row r="429">
      <c r="A429" s="9">
        <f>IF(E429="","", IF('Global Precios'!B430="",0,'Global Precios'!B430))</f>
        <v>0</v>
      </c>
      <c r="B429" s="14" t="str">
        <f>IF('Global Precios'!B430="","",'Global Precios'!B430)</f>
        <v/>
      </c>
      <c r="C429" s="18">
        <f>IF('Global Precios'!A430="","",'Global Precios'!A430)</f>
        <v>458</v>
      </c>
      <c r="D429" s="18"/>
      <c r="E429" s="25" t="str">
        <f>IF('Global Precios'!D430="","",'Global Precios'!D430)</f>
        <v>CORTE DE UÑAS Y RECORTE DE PELO PERRO GRANDE</v>
      </c>
      <c r="F429" s="18"/>
      <c r="G429" s="25">
        <f>IFERROR(VLOOKUP(C429,'BuscarV Stock'!$A$2:$C$478,3,0),"AAA")</f>
        <v>0</v>
      </c>
      <c r="H429" s="25">
        <f t="shared" si="1"/>
        <v>0.21</v>
      </c>
      <c r="I429" s="30">
        <f>IF('Global Precios'!H430="","",'Global Precios'!H430)</f>
        <v>1966.115702</v>
      </c>
      <c r="J429" s="82">
        <f>IF('Global Precios'!K430="","",'Global Precios'!K430)</f>
        <v>1</v>
      </c>
      <c r="K429" s="30">
        <f>IF('Global Precios'!Z430="Desactivado",0,IF('Global Precios'!L430="","",'Global Precios'!L430))</f>
        <v>0</v>
      </c>
      <c r="L429" s="18"/>
      <c r="M429" s="18"/>
      <c r="N429" s="18"/>
      <c r="O429" s="18"/>
      <c r="P429" s="18"/>
      <c r="Q429" s="18"/>
      <c r="R429" s="18" t="str">
        <f>IF('Global Precios'!F430="","",'Global Precios'!F430)</f>
        <v>Peluquería</v>
      </c>
      <c r="S429" s="18"/>
      <c r="T429" s="18" t="str">
        <f>IF('Global Precios'!E430="","",'Global Precios'!E430)</f>
        <v/>
      </c>
      <c r="U429" s="18"/>
      <c r="V429" s="18">
        <f t="shared" si="2"/>
        <v>0</v>
      </c>
      <c r="W429" s="18"/>
      <c r="X429" s="18"/>
      <c r="Y429" s="18"/>
      <c r="Z429" s="18"/>
      <c r="AA429" s="18"/>
      <c r="AB429" s="18">
        <f t="shared" si="3"/>
        <v>1</v>
      </c>
      <c r="AC429" s="18">
        <f t="shared" si="4"/>
        <v>1</v>
      </c>
      <c r="AD429" s="18">
        <f t="shared" si="5"/>
        <v>1</v>
      </c>
      <c r="AE429" s="18">
        <f t="shared" si="6"/>
        <v>1</v>
      </c>
    </row>
    <row r="430">
      <c r="A430" s="9">
        <f>IF(E430="","", IF('Global Precios'!B431="",0,'Global Precios'!B431))</f>
        <v>0</v>
      </c>
      <c r="B430" s="14" t="str">
        <f>IF('Global Precios'!B431="","",'Global Precios'!B431)</f>
        <v/>
      </c>
      <c r="C430" s="18">
        <f>IF('Global Precios'!A431="","",'Global Precios'!A431)</f>
        <v>459</v>
      </c>
      <c r="D430" s="18"/>
      <c r="E430" s="25" t="str">
        <f>IF('Global Precios'!D431="","",'Global Precios'!D431)</f>
        <v>SPINOMAX DUO 4-9 KG X COMPRIMIDO</v>
      </c>
      <c r="F430" s="18"/>
      <c r="G430" s="25">
        <f>IFERROR(VLOOKUP(C430,'BuscarV Stock'!$A$2:$C$478,3,0),"AAA")</f>
        <v>0</v>
      </c>
      <c r="H430" s="25">
        <f t="shared" si="1"/>
        <v>0.21</v>
      </c>
      <c r="I430" s="30">
        <f>IF('Global Precios'!H431="","",'Global Precios'!H431)</f>
        <v>3636.363636</v>
      </c>
      <c r="J430" s="82">
        <f>IF('Global Precios'!K431="","",'Global Precios'!K431)</f>
        <v>0.8</v>
      </c>
      <c r="K430" s="30">
        <f>IF('Global Precios'!Z431="Desactivado",0,IF('Global Precios'!L431="","",'Global Precios'!L431))</f>
        <v>0</v>
      </c>
      <c r="L430" s="18"/>
      <c r="M430" s="18"/>
      <c r="N430" s="18"/>
      <c r="O430" s="18"/>
      <c r="P430" s="18"/>
      <c r="Q430" s="18"/>
      <c r="R430" s="18" t="str">
        <f>IF('Global Precios'!F431="","",'Global Precios'!F431)</f>
        <v>Medicamentos</v>
      </c>
      <c r="S430" s="18"/>
      <c r="T430" s="18" t="str">
        <f>IF('Global Precios'!E431="","",'Global Precios'!E431)</f>
        <v>Zoovet</v>
      </c>
      <c r="U430" s="18"/>
      <c r="V430" s="18">
        <f t="shared" si="2"/>
        <v>0</v>
      </c>
      <c r="W430" s="18"/>
      <c r="X430" s="18"/>
      <c r="Y430" s="18"/>
      <c r="Z430" s="18"/>
      <c r="AA430" s="18"/>
      <c r="AB430" s="18">
        <f t="shared" si="3"/>
        <v>1</v>
      </c>
      <c r="AC430" s="18">
        <f t="shared" si="4"/>
        <v>1</v>
      </c>
      <c r="AD430" s="18">
        <f t="shared" si="5"/>
        <v>1</v>
      </c>
      <c r="AE430" s="18">
        <f t="shared" si="6"/>
        <v>1</v>
      </c>
    </row>
    <row r="431">
      <c r="A431" s="9">
        <f>IF(E431="","", IF('Global Precios'!B432="",0,'Global Precios'!B432))</f>
        <v>0</v>
      </c>
      <c r="B431" s="14" t="str">
        <f>IF('Global Precios'!B432="","",'Global Precios'!B432)</f>
        <v/>
      </c>
      <c r="C431" s="18">
        <f>IF('Global Precios'!A432="","",'Global Precios'!A432)</f>
        <v>460</v>
      </c>
      <c r="D431" s="18"/>
      <c r="E431" s="25" t="str">
        <f>IF('Global Precios'!D432="","",'Global Precios'!D432)</f>
        <v>SPINOMAX DUO DE 2-4 KG X COMPRIMIDO</v>
      </c>
      <c r="F431" s="18"/>
      <c r="G431" s="25">
        <f>IFERROR(VLOOKUP(C431,'BuscarV Stock'!$A$2:$C$478,3,0),"AAA")</f>
        <v>1</v>
      </c>
      <c r="H431" s="25">
        <f t="shared" si="1"/>
        <v>0.21</v>
      </c>
      <c r="I431" s="30">
        <f>IF('Global Precios'!H432="","",'Global Precios'!H432)</f>
        <v>3223.140496</v>
      </c>
      <c r="J431" s="82">
        <f>IF('Global Precios'!K432="","",'Global Precios'!K432)</f>
        <v>0.8</v>
      </c>
      <c r="K431" s="30">
        <f>IF('Global Precios'!Z432="Desactivado",0,IF('Global Precios'!L432="","",'Global Precios'!L432))</f>
        <v>0</v>
      </c>
      <c r="L431" s="18"/>
      <c r="M431" s="18"/>
      <c r="N431" s="18"/>
      <c r="O431" s="18"/>
      <c r="P431" s="18"/>
      <c r="Q431" s="18"/>
      <c r="R431" s="18" t="str">
        <f>IF('Global Precios'!F432="","",'Global Precios'!F432)</f>
        <v>Medicamentos</v>
      </c>
      <c r="S431" s="18"/>
      <c r="T431" s="18" t="str">
        <f>IF('Global Precios'!E432="","",'Global Precios'!E432)</f>
        <v>Zoovet</v>
      </c>
      <c r="U431" s="18"/>
      <c r="V431" s="18">
        <f t="shared" si="2"/>
        <v>0</v>
      </c>
      <c r="W431" s="18"/>
      <c r="X431" s="18"/>
      <c r="Y431" s="18"/>
      <c r="Z431" s="18"/>
      <c r="AA431" s="18"/>
      <c r="AB431" s="18">
        <f t="shared" si="3"/>
        <v>1</v>
      </c>
      <c r="AC431" s="18">
        <f t="shared" si="4"/>
        <v>1</v>
      </c>
      <c r="AD431" s="18">
        <f t="shared" si="5"/>
        <v>1</v>
      </c>
      <c r="AE431" s="18">
        <f t="shared" si="6"/>
        <v>1</v>
      </c>
    </row>
    <row r="432">
      <c r="A432" s="9">
        <f>IF(E432="","", IF('Global Precios'!B433="",0,'Global Precios'!B433))</f>
        <v>0</v>
      </c>
      <c r="B432" s="14" t="str">
        <f>IF('Global Precios'!B433="","",'Global Precios'!B433)</f>
        <v/>
      </c>
      <c r="C432" s="18">
        <f>IF('Global Precios'!A433="","",'Global Precios'!A433)</f>
        <v>461</v>
      </c>
      <c r="D432" s="18"/>
      <c r="E432" s="25" t="str">
        <f>IF('Global Precios'!D433="","",'Global Precios'!D433)</f>
        <v>TEST SPEED DUO FELV/FIV</v>
      </c>
      <c r="F432" s="18"/>
      <c r="G432" s="25">
        <f>IFERROR(VLOOKUP(C432,'BuscarV Stock'!$A$2:$C$478,3,0),"AAA")</f>
        <v>0</v>
      </c>
      <c r="H432" s="25">
        <f t="shared" si="1"/>
        <v>0.21</v>
      </c>
      <c r="I432" s="30">
        <f>IF('Global Precios'!H433="","",'Global Precios'!H433)</f>
        <v>21917.35537</v>
      </c>
      <c r="J432" s="82">
        <f>IF('Global Precios'!K433="","",'Global Precios'!K433)</f>
        <v>0.7</v>
      </c>
      <c r="K432" s="30">
        <f>IF('Global Precios'!Z433="Desactivado",0,IF('Global Precios'!L433="","",'Global Precios'!L433))</f>
        <v>45000</v>
      </c>
      <c r="L432" s="18"/>
      <c r="M432" s="18"/>
      <c r="N432" s="18"/>
      <c r="O432" s="18"/>
      <c r="P432" s="18"/>
      <c r="Q432" s="18"/>
      <c r="R432" s="18" t="str">
        <f>IF('Global Precios'!F433="","",'Global Precios'!F433)</f>
        <v>Medicamentos</v>
      </c>
      <c r="S432" s="18"/>
      <c r="T432" s="18" t="str">
        <f>IF('Global Precios'!E433="","",'Global Precios'!E433)</f>
        <v>Virbac</v>
      </c>
      <c r="U432" s="18"/>
      <c r="V432" s="18">
        <f t="shared" si="2"/>
        <v>0</v>
      </c>
      <c r="W432" s="18"/>
      <c r="X432" s="18"/>
      <c r="Y432" s="18"/>
      <c r="Z432" s="18"/>
      <c r="AA432" s="18"/>
      <c r="AB432" s="18">
        <f t="shared" si="3"/>
        <v>1</v>
      </c>
      <c r="AC432" s="18">
        <f t="shared" si="4"/>
        <v>1</v>
      </c>
      <c r="AD432" s="18">
        <f t="shared" si="5"/>
        <v>1</v>
      </c>
      <c r="AE432" s="18">
        <f t="shared" si="6"/>
        <v>1</v>
      </c>
    </row>
    <row r="433">
      <c r="A433" s="9">
        <f>IF(E433="","", IF('Global Precios'!B434="",0,'Global Precios'!B434))</f>
        <v>0</v>
      </c>
      <c r="B433" s="14" t="str">
        <f>IF('Global Precios'!B434="","",'Global Precios'!B434)</f>
        <v/>
      </c>
      <c r="C433" s="18">
        <f>IF('Global Precios'!A434="","",'Global Precios'!A434)</f>
        <v>462</v>
      </c>
      <c r="D433" s="18"/>
      <c r="E433" s="25" t="str">
        <f>IF('Global Precios'!D434="","",'Global Precios'!D434)</f>
        <v>VACUNA PUREVAX FELV</v>
      </c>
      <c r="F433" s="18"/>
      <c r="G433" s="25">
        <f>IFERROR(VLOOKUP(C433,'BuscarV Stock'!$A$2:$C$478,3,0),"AAA")</f>
        <v>0</v>
      </c>
      <c r="H433" s="25">
        <f t="shared" si="1"/>
        <v>0.21</v>
      </c>
      <c r="I433" s="30">
        <f>IF('Global Precios'!H434="","",'Global Precios'!H434)</f>
        <v>3046.280992</v>
      </c>
      <c r="J433" s="82">
        <f>IF('Global Precios'!K434="","",'Global Precios'!K434)</f>
        <v>1.2</v>
      </c>
      <c r="K433" s="30">
        <f>IF('Global Precios'!Z434="Desactivado",0,IF('Global Precios'!L434="","",'Global Precios'!L434))</f>
        <v>0</v>
      </c>
      <c r="L433" s="18"/>
      <c r="M433" s="18"/>
      <c r="N433" s="18"/>
      <c r="O433" s="18"/>
      <c r="P433" s="18"/>
      <c r="Q433" s="18"/>
      <c r="R433" s="18" t="str">
        <f>IF('Global Precios'!F434="","",'Global Precios'!F434)</f>
        <v>Medicamentos</v>
      </c>
      <c r="S433" s="18"/>
      <c r="T433" s="18" t="str">
        <f>IF('Global Precios'!E434="","",'Global Precios'!E434)</f>
        <v>Boehringer pequeños</v>
      </c>
      <c r="U433" s="18"/>
      <c r="V433" s="18">
        <f t="shared" si="2"/>
        <v>0</v>
      </c>
      <c r="W433" s="18"/>
      <c r="X433" s="18"/>
      <c r="Y433" s="18"/>
      <c r="Z433" s="18"/>
      <c r="AA433" s="18"/>
      <c r="AB433" s="18">
        <f t="shared" si="3"/>
        <v>1</v>
      </c>
      <c r="AC433" s="18">
        <f t="shared" si="4"/>
        <v>1</v>
      </c>
      <c r="AD433" s="18">
        <f t="shared" si="5"/>
        <v>1</v>
      </c>
      <c r="AE433" s="18">
        <f t="shared" si="6"/>
        <v>1</v>
      </c>
    </row>
    <row r="434">
      <c r="A434" s="9">
        <f>IF(E434="","", IF('Global Precios'!B435="",0,'Global Precios'!B435))</f>
        <v>0</v>
      </c>
      <c r="B434" s="14" t="str">
        <f>IF('Global Precios'!B435="","",'Global Precios'!B435)</f>
        <v/>
      </c>
      <c r="C434" s="18">
        <f>IF('Global Precios'!A435="","",'Global Precios'!A435)</f>
        <v>463</v>
      </c>
      <c r="D434" s="18"/>
      <c r="E434" s="25" t="str">
        <f>IF('Global Precios'!D435="","",'Global Precios'!D435)</f>
        <v>EXCELLENT URINRY CAT X 1 KG</v>
      </c>
      <c r="F434" s="18"/>
      <c r="G434" s="25">
        <f>IFERROR(VLOOKUP(C434,'BuscarV Stock'!$A$2:$C$478,3,0),"AAA")</f>
        <v>1</v>
      </c>
      <c r="H434" s="25">
        <f t="shared" si="1"/>
        <v>0.21</v>
      </c>
      <c r="I434" s="30">
        <f>IF('Global Precios'!H435="","",'Global Precios'!H435)</f>
        <v>9181.818182</v>
      </c>
      <c r="J434" s="82">
        <f>IF('Global Precios'!K435="","",'Global Precios'!K435)</f>
        <v>0.35</v>
      </c>
      <c r="K434" s="30">
        <f>IF('Global Precios'!Z435="Desactivado",0,IF('Global Precios'!L435="","",'Global Precios'!L435))</f>
        <v>14000</v>
      </c>
      <c r="L434" s="18"/>
      <c r="M434" s="18"/>
      <c r="N434" s="18"/>
      <c r="O434" s="18"/>
      <c r="P434" s="18"/>
      <c r="Q434" s="18"/>
      <c r="R434" s="18" t="str">
        <f>IF('Global Precios'!F435="","",'Global Precios'!F435)</f>
        <v>Alimentos</v>
      </c>
      <c r="S434" s="18"/>
      <c r="T434" s="18" t="str">
        <f>IF('Global Precios'!E435="","",'Global Precios'!E435)</f>
        <v>Excellent</v>
      </c>
      <c r="U434" s="18"/>
      <c r="V434" s="18">
        <f t="shared" si="2"/>
        <v>0</v>
      </c>
      <c r="W434" s="18"/>
      <c r="X434" s="18"/>
      <c r="Y434" s="18"/>
      <c r="Z434" s="18"/>
      <c r="AA434" s="18"/>
      <c r="AB434" s="18">
        <f t="shared" si="3"/>
        <v>1</v>
      </c>
      <c r="AC434" s="18">
        <f t="shared" si="4"/>
        <v>1</v>
      </c>
      <c r="AD434" s="18">
        <f t="shared" si="5"/>
        <v>1</v>
      </c>
      <c r="AE434" s="18">
        <f t="shared" si="6"/>
        <v>1</v>
      </c>
    </row>
    <row r="435">
      <c r="A435" s="9">
        <f>IF(E435="","", IF('Global Precios'!B436="",0,'Global Precios'!B436))</f>
        <v>0</v>
      </c>
      <c r="B435" s="14" t="str">
        <f>IF('Global Precios'!B436="","",'Global Precios'!B436)</f>
        <v/>
      </c>
      <c r="C435" s="18">
        <f>IF('Global Precios'!A436="","",'Global Precios'!A436)</f>
        <v>464</v>
      </c>
      <c r="D435" s="18"/>
      <c r="E435" s="25" t="str">
        <f>IF('Global Precios'!D436="","",'Global Precios'!D436)</f>
        <v>SUELTO X 1 KG AGILITY CAT URINARY</v>
      </c>
      <c r="F435" s="18"/>
      <c r="G435" s="25">
        <f>IFERROR(VLOOKUP(C435,'BuscarV Stock'!$A$2:$C$478,3,0),"AAA")</f>
        <v>3</v>
      </c>
      <c r="H435" s="25">
        <f t="shared" si="1"/>
        <v>0.21</v>
      </c>
      <c r="I435" s="30">
        <f>IF('Global Precios'!H436="","",'Global Precios'!H436)</f>
        <v>1225.289256</v>
      </c>
      <c r="J435" s="82">
        <f>IF('Global Precios'!K436="","",'Global Precios'!K436)</f>
        <v>0.43</v>
      </c>
      <c r="K435" s="30">
        <f>IF('Global Precios'!Z436="Desactivado",0,IF('Global Precios'!L436="","",'Global Precios'!L436))</f>
        <v>0</v>
      </c>
      <c r="L435" s="18"/>
      <c r="M435" s="18"/>
      <c r="N435" s="18"/>
      <c r="O435" s="18"/>
      <c r="P435" s="18"/>
      <c r="Q435" s="18"/>
      <c r="R435" s="18" t="str">
        <f>IF('Global Precios'!F436="","",'Global Precios'!F436)</f>
        <v>Alimentos</v>
      </c>
      <c r="S435" s="18"/>
      <c r="T435" s="18" t="str">
        <f>IF('Global Precios'!E436="","",'Global Precios'!E436)</f>
        <v>Agility</v>
      </c>
      <c r="U435" s="18"/>
      <c r="V435" s="18">
        <f t="shared" si="2"/>
        <v>0</v>
      </c>
      <c r="W435" s="18"/>
      <c r="X435" s="18"/>
      <c r="Y435" s="18"/>
      <c r="Z435" s="18"/>
      <c r="AA435" s="18"/>
      <c r="AB435" s="18">
        <f t="shared" si="3"/>
        <v>1</v>
      </c>
      <c r="AC435" s="18">
        <f t="shared" si="4"/>
        <v>1</v>
      </c>
      <c r="AD435" s="18">
        <f t="shared" si="5"/>
        <v>1</v>
      </c>
      <c r="AE435" s="18">
        <f t="shared" si="6"/>
        <v>1</v>
      </c>
    </row>
    <row r="436">
      <c r="A436" s="9">
        <f>IF(E436="","", IF('Global Precios'!B437="",0,'Global Precios'!B437))</f>
        <v>0</v>
      </c>
      <c r="B436" s="14" t="str">
        <f>IF('Global Precios'!B437="","",'Global Precios'!B437)</f>
        <v/>
      </c>
      <c r="C436" s="18">
        <f>IF('Global Precios'!A437="","",'Global Precios'!A437)</f>
        <v>465</v>
      </c>
      <c r="D436" s="18"/>
      <c r="E436" s="25" t="str">
        <f>IF('Global Precios'!D437="","",'Global Precios'!D437)</f>
        <v>DESPARASITACIÓN</v>
      </c>
      <c r="F436" s="18"/>
      <c r="G436" s="25">
        <f>IFERROR(VLOOKUP(C436,'BuscarV Stock'!$A$2:$C$478,3,0),"AAA")</f>
        <v>0</v>
      </c>
      <c r="H436" s="25">
        <f t="shared" si="1"/>
        <v>0.21</v>
      </c>
      <c r="I436" s="30">
        <f>IF('Global Precios'!H437="","",'Global Precios'!H437)</f>
        <v>534.7107438</v>
      </c>
      <c r="J436" s="82">
        <f>IF('Global Precios'!K437="","",'Global Precios'!K437)</f>
        <v>4</v>
      </c>
      <c r="K436" s="30">
        <f>IF('Global Precios'!Z437="Desactivado",0,IF('Global Precios'!L437="","",'Global Precios'!L437))</f>
        <v>3000</v>
      </c>
      <c r="L436" s="18"/>
      <c r="M436" s="18"/>
      <c r="N436" s="18"/>
      <c r="O436" s="18"/>
      <c r="P436" s="18"/>
      <c r="Q436" s="18"/>
      <c r="R436" s="18" t="str">
        <f>IF('Global Precios'!F437="","",'Global Precios'!F437)</f>
        <v>Clinica</v>
      </c>
      <c r="S436" s="18"/>
      <c r="T436" s="18" t="str">
        <f>IF('Global Precios'!E437="","",'Global Precios'!E437)</f>
        <v/>
      </c>
      <c r="U436" s="18"/>
      <c r="V436" s="18">
        <f t="shared" si="2"/>
        <v>0</v>
      </c>
      <c r="W436" s="18"/>
      <c r="X436" s="18"/>
      <c r="Y436" s="18"/>
      <c r="Z436" s="18"/>
      <c r="AA436" s="18"/>
      <c r="AB436" s="18">
        <f t="shared" si="3"/>
        <v>1</v>
      </c>
      <c r="AC436" s="18">
        <f t="shared" si="4"/>
        <v>1</v>
      </c>
      <c r="AD436" s="18">
        <f t="shared" si="5"/>
        <v>1</v>
      </c>
      <c r="AE436" s="18">
        <f t="shared" si="6"/>
        <v>1</v>
      </c>
    </row>
    <row r="437">
      <c r="A437" s="9">
        <f>IF(E437="","", IF('Global Precios'!B438="",0,'Global Precios'!B438))</f>
        <v>0</v>
      </c>
      <c r="B437" s="14" t="str">
        <f>IF('Global Precios'!B438="","",'Global Precios'!B438)</f>
        <v/>
      </c>
      <c r="C437" s="18">
        <f>IF('Global Precios'!A438="","",'Global Precios'!A438)</f>
        <v>466</v>
      </c>
      <c r="D437" s="18"/>
      <c r="E437" s="25" t="str">
        <f>IF('Global Precios'!D438="","",'Global Precios'!D438)</f>
        <v>MV PERRO RENAL X 10 KG</v>
      </c>
      <c r="F437" s="18"/>
      <c r="G437" s="25">
        <f>IFERROR(VLOOKUP(C437,'BuscarV Stock'!$A$2:$C$478,3,0),"AAA")</f>
        <v>0</v>
      </c>
      <c r="H437" s="25">
        <f t="shared" si="1"/>
        <v>0.21</v>
      </c>
      <c r="I437" s="30">
        <f>IF('Global Precios'!H438="","",'Global Precios'!H438)</f>
        <v>58859.50413</v>
      </c>
      <c r="J437" s="82">
        <f>IF('Global Precios'!K438="","",'Global Precios'!K438)</f>
        <v>0.35</v>
      </c>
      <c r="K437" s="30">
        <f>IF('Global Precios'!Z438="Desactivado",0,IF('Global Precios'!L438="","",'Global Precios'!L438))</f>
        <v>96000</v>
      </c>
      <c r="L437" s="18"/>
      <c r="M437" s="18"/>
      <c r="N437" s="18"/>
      <c r="O437" s="18"/>
      <c r="P437" s="18"/>
      <c r="Q437" s="18"/>
      <c r="R437" s="18" t="str">
        <f>IF('Global Precios'!F438="","",'Global Precios'!F438)</f>
        <v>Alimentos</v>
      </c>
      <c r="S437" s="18"/>
      <c r="T437" s="18" t="str">
        <f>IF('Global Precios'!E438="","",'Global Precios'!E438)</f>
        <v>Holliday</v>
      </c>
      <c r="U437" s="18"/>
      <c r="V437" s="18">
        <f t="shared" si="2"/>
        <v>0</v>
      </c>
      <c r="W437" s="18"/>
      <c r="X437" s="18"/>
      <c r="Y437" s="18"/>
      <c r="Z437" s="18"/>
      <c r="AA437" s="18"/>
      <c r="AB437" s="18">
        <f t="shared" si="3"/>
        <v>1</v>
      </c>
      <c r="AC437" s="18">
        <f t="shared" si="4"/>
        <v>1</v>
      </c>
      <c r="AD437" s="18">
        <f t="shared" si="5"/>
        <v>1</v>
      </c>
      <c r="AE437" s="18">
        <f t="shared" si="6"/>
        <v>1</v>
      </c>
    </row>
    <row r="438">
      <c r="A438" s="9">
        <f>IF(E438="","", IF('Global Precios'!B439="",0,'Global Precios'!B439))</f>
        <v>0</v>
      </c>
      <c r="B438" s="14" t="str">
        <f>IF('Global Precios'!B439="","",'Global Precios'!B439)</f>
        <v/>
      </c>
      <c r="C438" s="18">
        <f>IF('Global Precios'!A439="","",'Global Precios'!A439)</f>
        <v>467</v>
      </c>
      <c r="D438" s="18"/>
      <c r="E438" s="25" t="str">
        <f>IF('Global Precios'!D439="","",'Global Precios'!D439)</f>
        <v>PIEDRAS SANITARIAS ALTA GAMA LAVANDA X 2 KG </v>
      </c>
      <c r="F438" s="18"/>
      <c r="G438" s="25">
        <f>IFERROR(VLOOKUP(C438,'BuscarV Stock'!$A$2:$C$478,3,0),"AAA")</f>
        <v>13</v>
      </c>
      <c r="H438" s="25">
        <f t="shared" si="1"/>
        <v>0.21</v>
      </c>
      <c r="I438" s="30">
        <f>IF('Global Precios'!H439="","",'Global Precios'!H439)</f>
        <v>258</v>
      </c>
      <c r="J438" s="82">
        <f>IF('Global Precios'!K439="","",'Global Precios'!K439)</f>
        <v>0.8</v>
      </c>
      <c r="K438" s="30">
        <f>IF('Global Precios'!Z439="Desactivado",0,IF('Global Precios'!L439="","",'Global Precios'!L439))</f>
        <v>0</v>
      </c>
      <c r="L438" s="18"/>
      <c r="M438" s="18"/>
      <c r="N438" s="18"/>
      <c r="O438" s="18"/>
      <c r="P438" s="18"/>
      <c r="Q438" s="18"/>
      <c r="R438" s="18" t="str">
        <f>IF('Global Precios'!F439="","",'Global Precios'!F439)</f>
        <v>Pet-shop</v>
      </c>
      <c r="S438" s="18"/>
      <c r="T438" s="18" t="str">
        <f>IF('Global Precios'!E439="","",'Global Precios'!E439)</f>
        <v>Alta gama</v>
      </c>
      <c r="U438" s="18"/>
      <c r="V438" s="18">
        <f t="shared" si="2"/>
        <v>0</v>
      </c>
      <c r="W438" s="18"/>
      <c r="X438" s="18"/>
      <c r="Y438" s="18"/>
      <c r="Z438" s="18"/>
      <c r="AA438" s="18"/>
      <c r="AB438" s="18">
        <f t="shared" si="3"/>
        <v>1</v>
      </c>
      <c r="AC438" s="18">
        <f t="shared" si="4"/>
        <v>1</v>
      </c>
      <c r="AD438" s="18">
        <f t="shared" si="5"/>
        <v>1</v>
      </c>
      <c r="AE438" s="18">
        <f t="shared" si="6"/>
        <v>1</v>
      </c>
    </row>
    <row r="439">
      <c r="A439" s="9">
        <f>IF(E439="","", IF('Global Precios'!B440="",0,'Global Precios'!B440))</f>
        <v>0</v>
      </c>
      <c r="B439" s="14" t="str">
        <f>IF('Global Precios'!B440="","",'Global Precios'!B440)</f>
        <v/>
      </c>
      <c r="C439" s="18">
        <f>IF('Global Precios'!A440="","",'Global Precios'!A440)</f>
        <v>468</v>
      </c>
      <c r="D439" s="18"/>
      <c r="E439" s="25" t="str">
        <f>IF('Global Precios'!D440="","",'Global Precios'!D440)</f>
        <v>PIEDRAS SANITARIAS ALTA GAMA LAVANDA X 3.6 KG</v>
      </c>
      <c r="F439" s="18"/>
      <c r="G439" s="25">
        <f>IFERROR(VLOOKUP(C439,'BuscarV Stock'!$A$2:$C$478,3,0),"AAA")</f>
        <v>0</v>
      </c>
      <c r="H439" s="25">
        <f t="shared" si="1"/>
        <v>0.21</v>
      </c>
      <c r="I439" s="30">
        <f>IF('Global Precios'!H440="","",'Global Precios'!H440)</f>
        <v>444</v>
      </c>
      <c r="J439" s="82">
        <f>IF('Global Precios'!K440="","",'Global Precios'!K440)</f>
        <v>0.8</v>
      </c>
      <c r="K439" s="30">
        <f>IF('Global Precios'!Z440="Desactivado",0,IF('Global Precios'!L440="","",'Global Precios'!L440))</f>
        <v>0</v>
      </c>
      <c r="L439" s="18"/>
      <c r="M439" s="18"/>
      <c r="N439" s="18"/>
      <c r="O439" s="18"/>
      <c r="P439" s="18"/>
      <c r="Q439" s="18"/>
      <c r="R439" s="18" t="str">
        <f>IF('Global Precios'!F440="","",'Global Precios'!F440)</f>
        <v>Pet-shop</v>
      </c>
      <c r="S439" s="18"/>
      <c r="T439" s="18" t="str">
        <f>IF('Global Precios'!E440="","",'Global Precios'!E440)</f>
        <v>Alta gama</v>
      </c>
      <c r="U439" s="18"/>
      <c r="V439" s="18">
        <f t="shared" si="2"/>
        <v>0</v>
      </c>
      <c r="W439" s="18"/>
      <c r="X439" s="18"/>
      <c r="Y439" s="18"/>
      <c r="Z439" s="18"/>
      <c r="AA439" s="18"/>
      <c r="AB439" s="18">
        <f t="shared" si="3"/>
        <v>1</v>
      </c>
      <c r="AC439" s="18">
        <f t="shared" si="4"/>
        <v>1</v>
      </c>
      <c r="AD439" s="18">
        <f t="shared" si="5"/>
        <v>1</v>
      </c>
      <c r="AE439" s="18">
        <f t="shared" si="6"/>
        <v>1</v>
      </c>
    </row>
    <row r="440">
      <c r="A440" s="9">
        <f>IF(E440="","", IF('Global Precios'!B441="",0,'Global Precios'!B441))</f>
        <v>0</v>
      </c>
      <c r="B440" s="14" t="str">
        <f>IF('Global Precios'!B441="","",'Global Precios'!B441)</f>
        <v/>
      </c>
      <c r="C440" s="18">
        <f>IF('Global Precios'!A441="","",'Global Precios'!A441)</f>
        <v>469</v>
      </c>
      <c r="D440" s="18"/>
      <c r="E440" s="25" t="str">
        <f>IF('Global Precios'!D441="","",'Global Precios'!D441)</f>
        <v>PIEDRAS SANITARIAS MICHI FELÍZ X 2 KG</v>
      </c>
      <c r="F440" s="18"/>
      <c r="G440" s="25">
        <f>IFERROR(VLOOKUP(C440,'BuscarV Stock'!$A$2:$C$478,3,0),"AAA")</f>
        <v>0</v>
      </c>
      <c r="H440" s="25">
        <f t="shared" si="1"/>
        <v>0.21</v>
      </c>
      <c r="I440" s="30">
        <f>IF('Global Precios'!H441="","",'Global Precios'!H441)</f>
        <v>131</v>
      </c>
      <c r="J440" s="82">
        <f>IF('Global Precios'!K441="","",'Global Precios'!K441)</f>
        <v>0.8</v>
      </c>
      <c r="K440" s="30">
        <f>IF('Global Precios'!Z441="Desactivado",0,IF('Global Precios'!L441="","",'Global Precios'!L441))</f>
        <v>0</v>
      </c>
      <c r="L440" s="18"/>
      <c r="M440" s="18"/>
      <c r="N440" s="18"/>
      <c r="O440" s="18"/>
      <c r="P440" s="18"/>
      <c r="Q440" s="18"/>
      <c r="R440" s="18" t="str">
        <f>IF('Global Precios'!F441="","",'Global Precios'!F441)</f>
        <v>Pet-shop</v>
      </c>
      <c r="S440" s="18"/>
      <c r="T440" s="18" t="str">
        <f>IF('Global Precios'!E441="","",'Global Precios'!E441)</f>
        <v>Michi felíz</v>
      </c>
      <c r="U440" s="18"/>
      <c r="V440" s="18">
        <f t="shared" si="2"/>
        <v>0</v>
      </c>
      <c r="W440" s="18"/>
      <c r="X440" s="18"/>
      <c r="Y440" s="18"/>
      <c r="Z440" s="18"/>
      <c r="AA440" s="18"/>
      <c r="AB440" s="18">
        <f t="shared" si="3"/>
        <v>1</v>
      </c>
      <c r="AC440" s="18">
        <f t="shared" si="4"/>
        <v>1</v>
      </c>
      <c r="AD440" s="18">
        <f t="shared" si="5"/>
        <v>1</v>
      </c>
      <c r="AE440" s="18">
        <f t="shared" si="6"/>
        <v>1</v>
      </c>
    </row>
    <row r="441">
      <c r="A441" s="9">
        <f>IF(E441="","", IF('Global Precios'!B442="",0,'Global Precios'!B442))</f>
        <v>0</v>
      </c>
      <c r="B441" s="14" t="str">
        <f>IF('Global Precios'!B442="","",'Global Precios'!B442)</f>
        <v/>
      </c>
      <c r="C441" s="18">
        <f>IF('Global Precios'!A442="","",'Global Precios'!A442)</f>
        <v>470</v>
      </c>
      <c r="D441" s="18"/>
      <c r="E441" s="25" t="str">
        <f>IF('Global Precios'!D442="","",'Global Precios'!D442)</f>
        <v>PROPLAN VETERINARYDIETS HA X 2 KG PERROS</v>
      </c>
      <c r="F441" s="18"/>
      <c r="G441" s="25">
        <f>IFERROR(VLOOKUP(C441,'BuscarV Stock'!$A$2:$C$478,3,0),"AAA")</f>
        <v>1</v>
      </c>
      <c r="H441" s="25">
        <f t="shared" si="1"/>
        <v>0.21</v>
      </c>
      <c r="I441" s="30">
        <f>IF('Global Precios'!H442="","",'Global Precios'!H442)</f>
        <v>2733.057851</v>
      </c>
      <c r="J441" s="82">
        <f>IF('Global Precios'!K442="","",'Global Precios'!K442)</f>
        <v>0.3</v>
      </c>
      <c r="K441" s="30">
        <f>IF('Global Precios'!Z442="Desactivado",0,IF('Global Precios'!L442="","",'Global Precios'!L442))</f>
        <v>0</v>
      </c>
      <c r="L441" s="18"/>
      <c r="M441" s="18"/>
      <c r="N441" s="18"/>
      <c r="O441" s="18"/>
      <c r="P441" s="18"/>
      <c r="Q441" s="18"/>
      <c r="R441" s="18" t="str">
        <f>IF('Global Precios'!F442="","",'Global Precios'!F442)</f>
        <v>Alimentos</v>
      </c>
      <c r="S441" s="18"/>
      <c r="T441" s="18" t="str">
        <f>IF('Global Precios'!E442="","",'Global Precios'!E442)</f>
        <v>Pro plan</v>
      </c>
      <c r="U441" s="18"/>
      <c r="V441" s="18">
        <f t="shared" si="2"/>
        <v>0</v>
      </c>
      <c r="W441" s="18"/>
      <c r="X441" s="18"/>
      <c r="Y441" s="18"/>
      <c r="Z441" s="18"/>
      <c r="AA441" s="18"/>
      <c r="AB441" s="18">
        <f t="shared" si="3"/>
        <v>1</v>
      </c>
      <c r="AC441" s="18">
        <f t="shared" si="4"/>
        <v>1</v>
      </c>
      <c r="AD441" s="18">
        <f t="shared" si="5"/>
        <v>1</v>
      </c>
      <c r="AE441" s="18">
        <f t="shared" si="6"/>
        <v>1</v>
      </c>
    </row>
    <row r="442">
      <c r="A442" s="9">
        <f>IF(E442="","", IF('Global Precios'!B443="",0,'Global Precios'!B443))</f>
        <v>0</v>
      </c>
      <c r="B442" s="14" t="str">
        <f>IF('Global Precios'!B443="","",'Global Precios'!B443)</f>
        <v/>
      </c>
      <c r="C442" s="18">
        <f>IF('Global Precios'!A443="","",'Global Precios'!A443)</f>
        <v>471</v>
      </c>
      <c r="D442" s="18"/>
      <c r="E442" s="25" t="str">
        <f>IF('Global Precios'!D443="","",'Global Precios'!D443)</f>
        <v>MV GATO RENAL X 2 KG</v>
      </c>
      <c r="F442" s="18"/>
      <c r="G442" s="25">
        <f>IFERROR(VLOOKUP(C442,'BuscarV Stock'!$A$2:$C$478,3,0),"AAA")</f>
        <v>0</v>
      </c>
      <c r="H442" s="25">
        <f t="shared" si="1"/>
        <v>0.21</v>
      </c>
      <c r="I442" s="30">
        <f>IF('Global Precios'!H443="","",'Global Precios'!H443)</f>
        <v>16301.65289</v>
      </c>
      <c r="J442" s="82">
        <f>IF('Global Precios'!K443="","",'Global Precios'!K443)</f>
        <v>0.4</v>
      </c>
      <c r="K442" s="30">
        <f>IF('Global Precios'!Z443="Desactivado",0,IF('Global Precios'!L443="","",'Global Precios'!L443))</f>
        <v>28000</v>
      </c>
      <c r="L442" s="18"/>
      <c r="M442" s="18"/>
      <c r="N442" s="18"/>
      <c r="O442" s="18"/>
      <c r="P442" s="18"/>
      <c r="Q442" s="18"/>
      <c r="R442" s="18" t="str">
        <f>IF('Global Precios'!F443="","",'Global Precios'!F443)</f>
        <v>Alimentos</v>
      </c>
      <c r="S442" s="18"/>
      <c r="T442" s="18" t="str">
        <f>IF('Global Precios'!E443="","",'Global Precios'!E443)</f>
        <v>Mv Holliday</v>
      </c>
      <c r="U442" s="18"/>
      <c r="V442" s="18">
        <f t="shared" si="2"/>
        <v>0</v>
      </c>
      <c r="W442" s="18"/>
      <c r="X442" s="18"/>
      <c r="Y442" s="18"/>
      <c r="Z442" s="18"/>
      <c r="AA442" s="18"/>
      <c r="AB442" s="18">
        <f t="shared" si="3"/>
        <v>1</v>
      </c>
      <c r="AC442" s="18">
        <f t="shared" si="4"/>
        <v>1</v>
      </c>
      <c r="AD442" s="18">
        <f t="shared" si="5"/>
        <v>1</v>
      </c>
      <c r="AE442" s="18">
        <f t="shared" si="6"/>
        <v>1</v>
      </c>
    </row>
    <row r="443">
      <c r="A443" s="9">
        <f>IF(E443="","", IF('Global Precios'!B444="",0,'Global Precios'!B444))</f>
        <v>0</v>
      </c>
      <c r="B443" s="14" t="str">
        <f>IF('Global Precios'!B444="","",'Global Precios'!B444)</f>
        <v/>
      </c>
      <c r="C443" s="18">
        <f>IF('Global Precios'!A444="","",'Global Precios'!A444)</f>
        <v>472</v>
      </c>
      <c r="D443" s="18"/>
      <c r="E443" s="25" t="str">
        <f>IF('Global Precios'!D444="","",'Global Precios'!D444)</f>
        <v>MV GATO GASTROINTESTINAL X 2 KG</v>
      </c>
      <c r="F443" s="18"/>
      <c r="G443" s="25">
        <f>IFERROR(VLOOKUP(C443,'BuscarV Stock'!$A$2:$C$478,3,0),"AAA")</f>
        <v>0</v>
      </c>
      <c r="H443" s="25">
        <f t="shared" si="1"/>
        <v>0.21</v>
      </c>
      <c r="I443" s="30">
        <f>IF('Global Precios'!H444="","",'Global Precios'!H444)</f>
        <v>15051.23967</v>
      </c>
      <c r="J443" s="82">
        <f>IF('Global Precios'!K444="","",'Global Precios'!K444)</f>
        <v>0.4</v>
      </c>
      <c r="K443" s="30">
        <f>IF('Global Precios'!Z444="Desactivado",0,IF('Global Precios'!L444="","",'Global Precios'!L444))</f>
        <v>25000</v>
      </c>
      <c r="L443" s="18"/>
      <c r="M443" s="18"/>
      <c r="N443" s="18"/>
      <c r="O443" s="18"/>
      <c r="P443" s="18"/>
      <c r="Q443" s="18"/>
      <c r="R443" s="18" t="str">
        <f>IF('Global Precios'!F444="","",'Global Precios'!F444)</f>
        <v>Alimentos</v>
      </c>
      <c r="S443" s="18"/>
      <c r="T443" s="18" t="str">
        <f>IF('Global Precios'!E444="","",'Global Precios'!E444)</f>
        <v>Mv Holliday</v>
      </c>
      <c r="U443" s="18"/>
      <c r="V443" s="18">
        <f t="shared" si="2"/>
        <v>0</v>
      </c>
      <c r="W443" s="18"/>
      <c r="X443" s="18"/>
      <c r="Y443" s="18"/>
      <c r="Z443" s="18"/>
      <c r="AA443" s="18"/>
      <c r="AB443" s="18">
        <f t="shared" si="3"/>
        <v>1</v>
      </c>
      <c r="AC443" s="18">
        <f t="shared" si="4"/>
        <v>1</v>
      </c>
      <c r="AD443" s="18">
        <f t="shared" si="5"/>
        <v>1</v>
      </c>
      <c r="AE443" s="18">
        <f t="shared" si="6"/>
        <v>1</v>
      </c>
    </row>
    <row r="444">
      <c r="A444" s="9">
        <f>IF(E444="","", IF('Global Precios'!B445="",0,'Global Precios'!B445))</f>
        <v>0</v>
      </c>
      <c r="B444" s="14" t="str">
        <f>IF('Global Precios'!B445="","",'Global Precios'!B445)</f>
        <v/>
      </c>
      <c r="C444" s="18">
        <f>IF('Global Precios'!A445="","",'Global Precios'!A445)</f>
        <v>473</v>
      </c>
      <c r="D444" s="18"/>
      <c r="E444" s="25" t="str">
        <f>IF('Global Precios'!D445="","",'Global Precios'!D445)</f>
        <v>OP. CORDERO Y ARROZ SMALL BREED X 15 KG </v>
      </c>
      <c r="F444" s="18"/>
      <c r="G444" s="25">
        <f>IFERROR(VLOOKUP(C444,'BuscarV Stock'!$A$2:$C$478,3,0),"AAA")</f>
        <v>0</v>
      </c>
      <c r="H444" s="25">
        <f t="shared" si="1"/>
        <v>0.21</v>
      </c>
      <c r="I444" s="30">
        <f>IF('Global Precios'!H445="","",'Global Precios'!H445)</f>
        <v>22297.52066</v>
      </c>
      <c r="J444" s="82">
        <f>IF('Global Precios'!K445="","",'Global Precios'!K445)</f>
        <v>0.3</v>
      </c>
      <c r="K444" s="30">
        <f>IF('Global Precios'!Z445="Desactivado",0,IF('Global Precios'!L445="","",'Global Precios'!L445))</f>
        <v>0</v>
      </c>
      <c r="L444" s="18"/>
      <c r="M444" s="18"/>
      <c r="N444" s="18"/>
      <c r="O444" s="18"/>
      <c r="P444" s="18"/>
      <c r="Q444" s="18"/>
      <c r="R444" s="18" t="str">
        <f>IF('Global Precios'!F445="","",'Global Precios'!F445)</f>
        <v>Alimentos</v>
      </c>
      <c r="S444" s="18"/>
      <c r="T444" s="18" t="str">
        <f>IF('Global Precios'!E445="","",'Global Precios'!E445)</f>
        <v>Old Prince</v>
      </c>
      <c r="U444" s="18"/>
      <c r="V444" s="18">
        <f t="shared" si="2"/>
        <v>0</v>
      </c>
      <c r="W444" s="18"/>
      <c r="X444" s="18"/>
      <c r="Y444" s="18"/>
      <c r="Z444" s="18"/>
      <c r="AA444" s="18"/>
      <c r="AB444" s="18">
        <f t="shared" si="3"/>
        <v>1</v>
      </c>
      <c r="AC444" s="18">
        <f t="shared" si="4"/>
        <v>1</v>
      </c>
      <c r="AD444" s="18">
        <f t="shared" si="5"/>
        <v>1</v>
      </c>
      <c r="AE444" s="18">
        <f t="shared" si="6"/>
        <v>1</v>
      </c>
    </row>
    <row r="445">
      <c r="A445" s="9">
        <f>IF(E445="","", IF('Global Precios'!B446="",0,'Global Precios'!B446))</f>
        <v>0</v>
      </c>
      <c r="B445" s="14" t="str">
        <f>IF('Global Precios'!B446="","",'Global Precios'!B446)</f>
        <v/>
      </c>
      <c r="C445" s="18">
        <f>IF('Global Precios'!A446="","",'Global Precios'!A446)</f>
        <v>474</v>
      </c>
      <c r="D445" s="18"/>
      <c r="E445" s="25" t="str">
        <f>IF('Global Precios'!D446="","",'Global Precios'!D446)</f>
        <v>DERMOMICINA LAIKA X 60 ML</v>
      </c>
      <c r="F445" s="18"/>
      <c r="G445" s="25">
        <f>IFERROR(VLOOKUP(C445,'BuscarV Stock'!$A$2:$C$478,3,0),"AAA")</f>
        <v>3</v>
      </c>
      <c r="H445" s="25">
        <f t="shared" si="1"/>
        <v>0.21</v>
      </c>
      <c r="I445" s="30">
        <f>IF('Global Precios'!H446="","",'Global Precios'!H446)</f>
        <v>7748.760331</v>
      </c>
      <c r="J445" s="82">
        <f>IF('Global Precios'!K446="","",'Global Precios'!K446)</f>
        <v>0.8</v>
      </c>
      <c r="K445" s="30">
        <f>IF('Global Precios'!Z446="Desactivado",0,IF('Global Precios'!L446="","",'Global Precios'!L446))</f>
        <v>17000</v>
      </c>
      <c r="L445" s="18"/>
      <c r="M445" s="18"/>
      <c r="N445" s="18"/>
      <c r="O445" s="18"/>
      <c r="P445" s="18"/>
      <c r="Q445" s="18"/>
      <c r="R445" s="18" t="str">
        <f>IF('Global Precios'!F446="","",'Global Precios'!F446)</f>
        <v>Medicamentos</v>
      </c>
      <c r="S445" s="18"/>
      <c r="T445" s="18" t="str">
        <f>IF('Global Precios'!E446="","",'Global Precios'!E446)</f>
        <v>Laika</v>
      </c>
      <c r="U445" s="18"/>
      <c r="V445" s="18">
        <f t="shared" si="2"/>
        <v>0</v>
      </c>
      <c r="W445" s="18"/>
      <c r="X445" s="18"/>
      <c r="Y445" s="18"/>
      <c r="Z445" s="18"/>
      <c r="AA445" s="18"/>
      <c r="AB445" s="18">
        <f t="shared" si="3"/>
        <v>1</v>
      </c>
      <c r="AC445" s="18">
        <f t="shared" si="4"/>
        <v>1</v>
      </c>
      <c r="AD445" s="18">
        <f t="shared" si="5"/>
        <v>1</v>
      </c>
      <c r="AE445" s="18">
        <f t="shared" si="6"/>
        <v>1</v>
      </c>
    </row>
    <row r="446">
      <c r="A446" s="9">
        <f>IF(E446="","", IF('Global Precios'!B447="",0,'Global Precios'!B447))</f>
        <v>0</v>
      </c>
      <c r="B446" s="14" t="str">
        <f>IF('Global Precios'!B447="","",'Global Precios'!B447)</f>
        <v/>
      </c>
      <c r="C446" s="18">
        <f>IF('Global Precios'!A447="","",'Global Precios'!A447)</f>
        <v>475</v>
      </c>
      <c r="D446" s="18"/>
      <c r="E446" s="25" t="str">
        <f>IF('Global Precios'!D447="","",'Global Precios'!D447)</f>
        <v>AMIODARONA 200 MG X 10 COMPRIMIDOS</v>
      </c>
      <c r="F446" s="18"/>
      <c r="G446" s="25">
        <f>IFERROR(VLOOKUP(C446,'BuscarV Stock'!$A$2:$C$478,3,0),"AAA")</f>
        <v>12</v>
      </c>
      <c r="H446" s="25">
        <f t="shared" si="1"/>
        <v>0.21</v>
      </c>
      <c r="I446" s="30">
        <f>IF('Global Precios'!H447="","",'Global Precios'!H447)</f>
        <v>322.3140496</v>
      </c>
      <c r="J446" s="82">
        <f>IF('Global Precios'!K447="","",'Global Precios'!K447)</f>
        <v>0.8</v>
      </c>
      <c r="K446" s="30">
        <f>IF('Global Precios'!Z447="Desactivado",0,IF('Global Precios'!L447="","",'Global Precios'!L447))</f>
        <v>0</v>
      </c>
      <c r="L446" s="18"/>
      <c r="M446" s="18"/>
      <c r="N446" s="18"/>
      <c r="O446" s="18"/>
      <c r="P446" s="18"/>
      <c r="Q446" s="18"/>
      <c r="R446" s="18" t="str">
        <f>IF('Global Precios'!F447="","",'Global Precios'!F447)</f>
        <v>Medicamentos</v>
      </c>
      <c r="S446" s="18"/>
      <c r="T446" s="18" t="str">
        <f>IF('Global Precios'!E447="","",'Global Precios'!E447)</f>
        <v/>
      </c>
      <c r="U446" s="18"/>
      <c r="V446" s="18">
        <f t="shared" si="2"/>
        <v>0</v>
      </c>
      <c r="W446" s="18"/>
      <c r="X446" s="18"/>
      <c r="Y446" s="18"/>
      <c r="Z446" s="18"/>
      <c r="AA446" s="18"/>
      <c r="AB446" s="18">
        <f t="shared" si="3"/>
        <v>1</v>
      </c>
      <c r="AC446" s="18">
        <f t="shared" si="4"/>
        <v>1</v>
      </c>
      <c r="AD446" s="18">
        <f t="shared" si="5"/>
        <v>1</v>
      </c>
      <c r="AE446" s="18">
        <f t="shared" si="6"/>
        <v>1</v>
      </c>
    </row>
    <row r="447">
      <c r="A447" s="9">
        <f>IF(E447="","", IF('Global Precios'!B448="",0,'Global Precios'!B448))</f>
        <v>0</v>
      </c>
      <c r="B447" s="14" t="str">
        <f>IF('Global Precios'!B448="","",'Global Precios'!B448)</f>
        <v/>
      </c>
      <c r="C447" s="18">
        <f>IF('Global Precios'!A448="","",'Global Precios'!A448)</f>
        <v>476</v>
      </c>
      <c r="D447" s="18"/>
      <c r="E447" s="25" t="str">
        <f>IF('Global Precios'!D448="","",'Global Precios'!D448)</f>
        <v>FULL HEPAT X 10 COMPRIMIDOS</v>
      </c>
      <c r="F447" s="18"/>
      <c r="G447" s="25">
        <f>IFERROR(VLOOKUP(C447,'BuscarV Stock'!$A$2:$C$478,3,0),"AAA")</f>
        <v>9</v>
      </c>
      <c r="H447" s="25">
        <f t="shared" si="1"/>
        <v>0.21</v>
      </c>
      <c r="I447" s="30">
        <f>IF('Global Precios'!H448="","",'Global Precios'!H448)</f>
        <v>2713.22314</v>
      </c>
      <c r="J447" s="82">
        <f>IF('Global Precios'!K448="","",'Global Precios'!K448)</f>
        <v>0.8</v>
      </c>
      <c r="K447" s="30">
        <f>IF('Global Precios'!Z448="Desactivado",0,IF('Global Precios'!L448="","",'Global Precios'!L448))</f>
        <v>0</v>
      </c>
      <c r="L447" s="18"/>
      <c r="M447" s="18"/>
      <c r="N447" s="18"/>
      <c r="O447" s="18"/>
      <c r="P447" s="18"/>
      <c r="Q447" s="18"/>
      <c r="R447" s="18" t="str">
        <f>IF('Global Precios'!F448="","",'Global Precios'!F448)</f>
        <v>Medicamentos</v>
      </c>
      <c r="S447" s="18"/>
      <c r="T447" s="18" t="str">
        <f>IF('Global Precios'!E448="","",'Global Precios'!E448)</f>
        <v>Zoovet</v>
      </c>
      <c r="U447" s="18"/>
      <c r="V447" s="18">
        <f t="shared" si="2"/>
        <v>0</v>
      </c>
      <c r="W447" s="18"/>
      <c r="X447" s="18"/>
      <c r="Y447" s="18"/>
      <c r="Z447" s="18"/>
      <c r="AA447" s="18"/>
      <c r="AB447" s="18">
        <f t="shared" si="3"/>
        <v>1</v>
      </c>
      <c r="AC447" s="18">
        <f t="shared" si="4"/>
        <v>1</v>
      </c>
      <c r="AD447" s="18">
        <f t="shared" si="5"/>
        <v>1</v>
      </c>
      <c r="AE447" s="18">
        <f t="shared" si="6"/>
        <v>1</v>
      </c>
    </row>
    <row r="448">
      <c r="A448" s="9">
        <f>IF(E448="","", IF('Global Precios'!B449="",0,'Global Precios'!B449))</f>
        <v>0</v>
      </c>
      <c r="B448" s="14" t="str">
        <f>IF('Global Precios'!B449="","",'Global Precios'!B449)</f>
        <v/>
      </c>
      <c r="C448" s="18">
        <f>IF('Global Precios'!A449="","",'Global Precios'!A449)</f>
        <v>477</v>
      </c>
      <c r="D448" s="18"/>
      <c r="E448" s="25" t="str">
        <f>IF('Global Precios'!D449="","",'Global Precios'!D449)</f>
        <v>PROTECH GATOS DE 2 A 5 KG</v>
      </c>
      <c r="F448" s="18"/>
      <c r="G448" s="25">
        <f>IFERROR(VLOOKUP(C448,'BuscarV Stock'!$A$2:$C$478,3,0),"AAA")</f>
        <v>0</v>
      </c>
      <c r="H448" s="25">
        <f t="shared" si="1"/>
        <v>0.21</v>
      </c>
      <c r="I448" s="30">
        <f>IF('Global Precios'!H449="","",'Global Precios'!H449)</f>
        <v>573.553719</v>
      </c>
      <c r="J448" s="82">
        <f>IF('Global Precios'!K449="","",'Global Precios'!K449)</f>
        <v>0.8</v>
      </c>
      <c r="K448" s="30">
        <f>IF('Global Precios'!Z449="Desactivado",0,IF('Global Precios'!L449="","",'Global Precios'!L449))</f>
        <v>0</v>
      </c>
      <c r="L448" s="18"/>
      <c r="M448" s="18"/>
      <c r="N448" s="18"/>
      <c r="O448" s="18"/>
      <c r="P448" s="18"/>
      <c r="Q448" s="18"/>
      <c r="R448" s="18" t="str">
        <f>IF('Global Precios'!F449="","",'Global Precios'!F449)</f>
        <v>Medicamentos</v>
      </c>
      <c r="S448" s="18"/>
      <c r="T448" s="18" t="str">
        <f>IF('Global Precios'!E449="","",'Global Precios'!E449)</f>
        <v>Labyes</v>
      </c>
      <c r="U448" s="18"/>
      <c r="V448" s="18">
        <f t="shared" si="2"/>
        <v>0</v>
      </c>
      <c r="W448" s="18"/>
      <c r="X448" s="18"/>
      <c r="Y448" s="18"/>
      <c r="Z448" s="18"/>
      <c r="AA448" s="18"/>
      <c r="AB448" s="18">
        <f t="shared" si="3"/>
        <v>1</v>
      </c>
      <c r="AC448" s="18">
        <f t="shared" si="4"/>
        <v>1</v>
      </c>
      <c r="AD448" s="18">
        <f t="shared" si="5"/>
        <v>1</v>
      </c>
      <c r="AE448" s="18">
        <f t="shared" si="6"/>
        <v>1</v>
      </c>
    </row>
    <row r="449">
      <c r="A449" s="9">
        <f>IF(E449="","", IF('Global Precios'!B450="",0,'Global Precios'!B450))</f>
        <v>0</v>
      </c>
      <c r="B449" s="14" t="str">
        <f>IF('Global Precios'!B450="","",'Global Precios'!B450)</f>
        <v/>
      </c>
      <c r="C449" s="18">
        <f>IF('Global Precios'!A450="","",'Global Precios'!A450)</f>
        <v>478</v>
      </c>
      <c r="D449" s="18"/>
      <c r="E449" s="25" t="str">
        <f>IF('Global Precios'!D450="","",'Global Precios'!D450)</f>
        <v>PROTECH GATOS MÁS DE 5 KG</v>
      </c>
      <c r="F449" s="18"/>
      <c r="G449" s="25">
        <f>IFERROR(VLOOKUP(C449,'BuscarV Stock'!$A$2:$C$478,3,0),"AAA")</f>
        <v>1</v>
      </c>
      <c r="H449" s="25">
        <f t="shared" si="1"/>
        <v>0.21</v>
      </c>
      <c r="I449" s="30">
        <f>IF('Global Precios'!H450="","",'Global Precios'!H450)</f>
        <v>607.4380165</v>
      </c>
      <c r="J449" s="82">
        <f>IF('Global Precios'!K450="","",'Global Precios'!K450)</f>
        <v>0.8</v>
      </c>
      <c r="K449" s="30">
        <f>IF('Global Precios'!Z450="Desactivado",0,IF('Global Precios'!L450="","",'Global Precios'!L450))</f>
        <v>0</v>
      </c>
      <c r="L449" s="18"/>
      <c r="M449" s="18"/>
      <c r="N449" s="18"/>
      <c r="O449" s="18"/>
      <c r="P449" s="18"/>
      <c r="Q449" s="18"/>
      <c r="R449" s="18" t="str">
        <f>IF('Global Precios'!F450="","",'Global Precios'!F450)</f>
        <v>Medicamentos</v>
      </c>
      <c r="S449" s="18"/>
      <c r="T449" s="18" t="str">
        <f>IF('Global Precios'!E450="","",'Global Precios'!E450)</f>
        <v>Labyes</v>
      </c>
      <c r="U449" s="18"/>
      <c r="V449" s="18">
        <f t="shared" si="2"/>
        <v>0</v>
      </c>
      <c r="W449" s="18"/>
      <c r="X449" s="18"/>
      <c r="Y449" s="18"/>
      <c r="Z449" s="18"/>
      <c r="AA449" s="18"/>
      <c r="AB449" s="18">
        <f t="shared" si="3"/>
        <v>1</v>
      </c>
      <c r="AC449" s="18">
        <f t="shared" si="4"/>
        <v>1</v>
      </c>
      <c r="AD449" s="18">
        <f t="shared" si="5"/>
        <v>1</v>
      </c>
      <c r="AE449" s="18">
        <f t="shared" si="6"/>
        <v>1</v>
      </c>
    </row>
    <row r="450">
      <c r="A450" s="9">
        <f>IF(E450="","", IF('Global Precios'!B451="",0,'Global Precios'!B451))</f>
        <v>0</v>
      </c>
      <c r="B450" s="14" t="str">
        <f>IF('Global Precios'!B451="","",'Global Precios'!B451)</f>
        <v/>
      </c>
      <c r="C450" s="18">
        <f>IF('Global Precios'!A451="","",'Global Precios'!A451)</f>
        <v>479</v>
      </c>
      <c r="D450" s="18"/>
      <c r="E450" s="25" t="str">
        <f>IF('Global Precios'!D451="","",'Global Precios'!D451)</f>
        <v>ESTUDIOS COMPLEMENTARIOS</v>
      </c>
      <c r="F450" s="18"/>
      <c r="G450" s="25">
        <f>IFERROR(VLOOKUP(C450,'BuscarV Stock'!$A$2:$C$478,3,0),"AAA")</f>
        <v>0</v>
      </c>
      <c r="H450" s="25">
        <f t="shared" si="1"/>
        <v>0.21</v>
      </c>
      <c r="I450" s="30" t="str">
        <f>IF('Global Precios'!H451="","",'Global Precios'!H451)</f>
        <v/>
      </c>
      <c r="J450" s="18">
        <f>IF('Global Precios'!K451="","",'Global Precios'!K451)</f>
        <v>0</v>
      </c>
      <c r="K450" s="30">
        <f>IF('Global Precios'!Z451="Desactivado",0,IF('Global Precios'!L451="","",'Global Precios'!L451))</f>
        <v>0</v>
      </c>
      <c r="L450" s="18"/>
      <c r="M450" s="18"/>
      <c r="N450" s="18"/>
      <c r="O450" s="18"/>
      <c r="P450" s="18"/>
      <c r="Q450" s="18"/>
      <c r="R450" s="18" t="str">
        <f>IF('Global Precios'!F451="","",'Global Precios'!F451)</f>
        <v>Clinica</v>
      </c>
      <c r="S450" s="18"/>
      <c r="T450" s="18" t="str">
        <f>IF('Global Precios'!E451="","",'Global Precios'!E451)</f>
        <v/>
      </c>
      <c r="U450" s="18"/>
      <c r="V450" s="18">
        <f t="shared" si="2"/>
        <v>0</v>
      </c>
      <c r="W450" s="18"/>
      <c r="X450" s="18"/>
      <c r="Y450" s="18"/>
      <c r="Z450" s="18"/>
      <c r="AA450" s="18"/>
      <c r="AB450" s="18">
        <f t="shared" si="3"/>
        <v>1</v>
      </c>
      <c r="AC450" s="18">
        <f t="shared" si="4"/>
        <v>1</v>
      </c>
      <c r="AD450" s="18">
        <f t="shared" si="5"/>
        <v>1</v>
      </c>
      <c r="AE450" s="18">
        <f t="shared" si="6"/>
        <v>1</v>
      </c>
    </row>
    <row r="451">
      <c r="A451" s="9">
        <f>IF(E451="","", IF('Global Precios'!B452="",0,'Global Precios'!B452))</f>
        <v>0</v>
      </c>
      <c r="B451" s="14" t="str">
        <f>IF('Global Precios'!B452="","",'Global Precios'!B452)</f>
        <v/>
      </c>
      <c r="C451" s="18">
        <f>IF('Global Precios'!A452="","",'Global Precios'!A452)</f>
        <v>480</v>
      </c>
      <c r="D451" s="18"/>
      <c r="E451" s="25" t="str">
        <f>IF('Global Precios'!D452="","",'Global Precios'!D452)</f>
        <v>HEPATIC ROYAL CANIN X 10 KG</v>
      </c>
      <c r="F451" s="18"/>
      <c r="G451" s="25">
        <f>IFERROR(VLOOKUP(C451,'BuscarV Stock'!$A$2:$C$478,3,0),"AAA")</f>
        <v>0</v>
      </c>
      <c r="H451" s="25">
        <f t="shared" si="1"/>
        <v>0.21</v>
      </c>
      <c r="I451" s="30">
        <f>IF('Global Precios'!H452="","",'Global Precios'!H452)</f>
        <v>16719.00826</v>
      </c>
      <c r="J451" s="82">
        <f>IF('Global Precios'!K452="","",'Global Precios'!K452)</f>
        <v>0.45</v>
      </c>
      <c r="K451" s="30">
        <f>IF('Global Precios'!Z452="Desactivado",0,IF('Global Precios'!L452="","",'Global Precios'!L452))</f>
        <v>0</v>
      </c>
      <c r="L451" s="18"/>
      <c r="M451" s="18"/>
      <c r="N451" s="18"/>
      <c r="O451" s="18"/>
      <c r="P451" s="18"/>
      <c r="Q451" s="18"/>
      <c r="R451" s="18" t="str">
        <f>IF('Global Precios'!F452="","",'Global Precios'!F452)</f>
        <v>Alimentos</v>
      </c>
      <c r="S451" s="18"/>
      <c r="T451" s="18" t="str">
        <f>IF('Global Precios'!E452="","",'Global Precios'!E452)</f>
        <v>Royal canin</v>
      </c>
      <c r="U451" s="18"/>
      <c r="V451" s="18">
        <f t="shared" si="2"/>
        <v>0</v>
      </c>
      <c r="W451" s="18"/>
      <c r="X451" s="18"/>
      <c r="Y451" s="18"/>
      <c r="Z451" s="18"/>
      <c r="AA451" s="18"/>
      <c r="AB451" s="18">
        <f t="shared" si="3"/>
        <v>1</v>
      </c>
      <c r="AC451" s="18">
        <f t="shared" si="4"/>
        <v>1</v>
      </c>
      <c r="AD451" s="18">
        <f t="shared" si="5"/>
        <v>1</v>
      </c>
      <c r="AE451" s="18">
        <f t="shared" si="6"/>
        <v>1</v>
      </c>
    </row>
    <row r="452">
      <c r="A452" s="9">
        <f>IF(E452="","", IF('Global Precios'!B453="",0,'Global Precios'!B453))</f>
        <v>0</v>
      </c>
      <c r="B452" s="14" t="str">
        <f>IF('Global Precios'!B453="","",'Global Precios'!B453)</f>
        <v/>
      </c>
      <c r="C452" s="18">
        <f>IF('Global Precios'!A453="","",'Global Precios'!A453)</f>
        <v>481</v>
      </c>
      <c r="D452" s="18"/>
      <c r="E452" s="25" t="str">
        <f>IF('Global Precios'!D453="","",'Global Precios'!D453)</f>
        <v>PETS PROTECTOR MAX 5 A 10 KG</v>
      </c>
      <c r="F452" s="18"/>
      <c r="G452" s="25">
        <f>IFERROR(VLOOKUP(C452,'BuscarV Stock'!$A$2:$C$478,3,0),"AAA")</f>
        <v>5</v>
      </c>
      <c r="H452" s="25">
        <f t="shared" si="1"/>
        <v>0.21</v>
      </c>
      <c r="I452" s="30">
        <f>IF('Global Precios'!H453="","",'Global Precios'!H453)</f>
        <v>2479.338843</v>
      </c>
      <c r="J452" s="82">
        <f>IF('Global Precios'!K453="","",'Global Precios'!K453)</f>
        <v>0.8</v>
      </c>
      <c r="K452" s="30">
        <f>IF('Global Precios'!Z453="Desactivado",0,IF('Global Precios'!L453="","",'Global Precios'!L453))</f>
        <v>0</v>
      </c>
      <c r="L452" s="18"/>
      <c r="M452" s="18"/>
      <c r="N452" s="18"/>
      <c r="O452" s="18"/>
      <c r="P452" s="18"/>
      <c r="Q452" s="18"/>
      <c r="R452" s="18" t="str">
        <f>IF('Global Precios'!F453="","",'Global Precios'!F453)</f>
        <v>Medicamentos</v>
      </c>
      <c r="S452" s="18"/>
      <c r="T452" s="18" t="str">
        <f>IF('Global Precios'!E453="","",'Global Precios'!E453)</f>
        <v>Zoovet</v>
      </c>
      <c r="U452" s="18"/>
      <c r="V452" s="18">
        <f t="shared" si="2"/>
        <v>0</v>
      </c>
      <c r="W452" s="18"/>
      <c r="X452" s="18"/>
      <c r="Y452" s="18"/>
      <c r="Z452" s="18"/>
      <c r="AA452" s="18"/>
      <c r="AB452" s="18">
        <f t="shared" si="3"/>
        <v>1</v>
      </c>
      <c r="AC452" s="18">
        <f t="shared" si="4"/>
        <v>1</v>
      </c>
      <c r="AD452" s="18">
        <f t="shared" si="5"/>
        <v>1</v>
      </c>
      <c r="AE452" s="18">
        <f t="shared" si="6"/>
        <v>1</v>
      </c>
    </row>
    <row r="453">
      <c r="A453" s="9">
        <f>IF(E453="","", IF('Global Precios'!B454="",0,'Global Precios'!B454))</f>
        <v>0</v>
      </c>
      <c r="B453" s="14" t="str">
        <f>IF('Global Precios'!B454="","",'Global Precios'!B454)</f>
        <v/>
      </c>
      <c r="C453" s="18">
        <f>IF('Global Precios'!A454="","",'Global Precios'!A454)</f>
        <v>482</v>
      </c>
      <c r="D453" s="18"/>
      <c r="E453" s="25" t="str">
        <f>IF('Global Precios'!D454="","",'Global Precios'!D454)</f>
        <v>PETS PROPECTOR MAX 2 A 5 KG</v>
      </c>
      <c r="F453" s="18"/>
      <c r="G453" s="25">
        <f>IFERROR(VLOOKUP(C453,'BuscarV Stock'!$A$2:$C$478,3,0),"AAA")</f>
        <v>2</v>
      </c>
      <c r="H453" s="25">
        <f t="shared" si="1"/>
        <v>0.21</v>
      </c>
      <c r="I453" s="30">
        <f>IF('Global Precios'!H454="","",'Global Precios'!H454)</f>
        <v>2045.454545</v>
      </c>
      <c r="J453" s="82">
        <f>IF('Global Precios'!K454="","",'Global Precios'!K454)</f>
        <v>0.8</v>
      </c>
      <c r="K453" s="30">
        <f>IF('Global Precios'!Z454="Desactivado",0,IF('Global Precios'!L454="","",'Global Precios'!L454))</f>
        <v>0</v>
      </c>
      <c r="L453" s="18"/>
      <c r="M453" s="18"/>
      <c r="N453" s="18"/>
      <c r="O453" s="18"/>
      <c r="P453" s="18"/>
      <c r="Q453" s="18"/>
      <c r="R453" s="18" t="str">
        <f>IF('Global Precios'!F454="","",'Global Precios'!F454)</f>
        <v>Medicamentos</v>
      </c>
      <c r="S453" s="18"/>
      <c r="T453" s="18" t="str">
        <f>IF('Global Precios'!E454="","",'Global Precios'!E454)</f>
        <v>Zoovet</v>
      </c>
      <c r="U453" s="18"/>
      <c r="V453" s="18">
        <f t="shared" si="2"/>
        <v>0</v>
      </c>
      <c r="W453" s="18"/>
      <c r="X453" s="18"/>
      <c r="Y453" s="18"/>
      <c r="Z453" s="18"/>
      <c r="AA453" s="18"/>
      <c r="AB453" s="18">
        <f t="shared" si="3"/>
        <v>1</v>
      </c>
      <c r="AC453" s="18">
        <f t="shared" si="4"/>
        <v>1</v>
      </c>
      <c r="AD453" s="18">
        <f t="shared" si="5"/>
        <v>1</v>
      </c>
      <c r="AE453" s="18">
        <f t="shared" si="6"/>
        <v>1</v>
      </c>
    </row>
    <row r="454">
      <c r="A454" s="9">
        <f>IF(E454="","", IF('Global Precios'!B455="",0,'Global Precios'!B455))</f>
        <v>0</v>
      </c>
      <c r="B454" s="14" t="str">
        <f>IF('Global Precios'!B455="","",'Global Precios'!B455)</f>
        <v/>
      </c>
      <c r="C454" s="18">
        <f>IF('Global Precios'!A455="","",'Global Precios'!A455)</f>
        <v>483</v>
      </c>
      <c r="D454" s="18"/>
      <c r="E454" s="25" t="str">
        <f>IF('Global Precios'!D455="","",'Global Precios'!D455)</f>
        <v>PETS PROTECTOR MAX 10 A 20 KG</v>
      </c>
      <c r="F454" s="18"/>
      <c r="G454" s="25">
        <f>IFERROR(VLOOKUP(C454,'BuscarV Stock'!$A$2:$C$478,3,0),"AAA")</f>
        <v>3</v>
      </c>
      <c r="H454" s="25">
        <f t="shared" si="1"/>
        <v>0.21</v>
      </c>
      <c r="I454" s="30">
        <f>IF('Global Precios'!H455="","",'Global Precios'!H455)</f>
        <v>2644.628099</v>
      </c>
      <c r="J454" s="82">
        <f>IF('Global Precios'!K455="","",'Global Precios'!K455)</f>
        <v>0.8</v>
      </c>
      <c r="K454" s="30">
        <f>IF('Global Precios'!Z455="Desactivado",0,IF('Global Precios'!L455="","",'Global Precios'!L455))</f>
        <v>0</v>
      </c>
      <c r="L454" s="18"/>
      <c r="M454" s="18"/>
      <c r="N454" s="18"/>
      <c r="O454" s="18"/>
      <c r="P454" s="18"/>
      <c r="Q454" s="18"/>
      <c r="R454" s="18" t="str">
        <f>IF('Global Precios'!F455="","",'Global Precios'!F455)</f>
        <v>Medicamentos</v>
      </c>
      <c r="S454" s="18"/>
      <c r="T454" s="18" t="str">
        <f>IF('Global Precios'!E455="","",'Global Precios'!E455)</f>
        <v>Zoovet</v>
      </c>
      <c r="U454" s="18"/>
      <c r="V454" s="18">
        <f t="shared" si="2"/>
        <v>0</v>
      </c>
      <c r="W454" s="18"/>
      <c r="X454" s="18"/>
      <c r="Y454" s="18"/>
      <c r="Z454" s="18"/>
      <c r="AA454" s="18"/>
      <c r="AB454" s="18">
        <f t="shared" si="3"/>
        <v>1</v>
      </c>
      <c r="AC454" s="18">
        <f t="shared" si="4"/>
        <v>1</v>
      </c>
      <c r="AD454" s="18">
        <f t="shared" si="5"/>
        <v>1</v>
      </c>
      <c r="AE454" s="18">
        <f t="shared" si="6"/>
        <v>1</v>
      </c>
    </row>
    <row r="455">
      <c r="A455" s="9">
        <f>IF(E455="","", IF('Global Precios'!B456="",0,'Global Precios'!B456))</f>
        <v>0</v>
      </c>
      <c r="B455" s="14" t="str">
        <f>IF('Global Precios'!B456="","",'Global Precios'!B456)</f>
        <v/>
      </c>
      <c r="C455" s="18">
        <f>IF('Global Precios'!A456="","",'Global Precios'!A456)</f>
        <v>484</v>
      </c>
      <c r="D455" s="18"/>
      <c r="E455" s="25" t="str">
        <f>IF('Global Precios'!D456="","",'Global Precios'!D456)</f>
        <v>OSTEOCARD PLUS X 10 COMPIRMIDOS</v>
      </c>
      <c r="F455" s="18"/>
      <c r="G455" s="25">
        <f>IFERROR(VLOOKUP(C455,'BuscarV Stock'!$A$2:$C$478,3,0),"AAA")</f>
        <v>2</v>
      </c>
      <c r="H455" s="25">
        <f t="shared" si="1"/>
        <v>0.21</v>
      </c>
      <c r="I455" s="30">
        <f>IF('Global Precios'!H456="","",'Global Precios'!H456)</f>
        <v>2707.438017</v>
      </c>
      <c r="J455" s="82">
        <f>IF('Global Precios'!K456="","",'Global Precios'!K456)</f>
        <v>0.8</v>
      </c>
      <c r="K455" s="30">
        <f>IF('Global Precios'!Z456="Desactivado",0,IF('Global Precios'!L456="","",'Global Precios'!L456))</f>
        <v>0</v>
      </c>
      <c r="L455" s="18"/>
      <c r="M455" s="18"/>
      <c r="N455" s="18"/>
      <c r="O455" s="18"/>
      <c r="P455" s="18"/>
      <c r="Q455" s="18"/>
      <c r="R455" s="18" t="str">
        <f>IF('Global Precios'!F456="","",'Global Precios'!F456)</f>
        <v>Medicamentos</v>
      </c>
      <c r="S455" s="18"/>
      <c r="T455" s="18" t="str">
        <f>IF('Global Precios'!E456="","",'Global Precios'!E456)</f>
        <v>Labyes</v>
      </c>
      <c r="U455" s="18"/>
      <c r="V455" s="18">
        <f t="shared" si="2"/>
        <v>0</v>
      </c>
      <c r="W455" s="18"/>
      <c r="X455" s="18"/>
      <c r="Y455" s="18"/>
      <c r="Z455" s="18"/>
      <c r="AA455" s="18"/>
      <c r="AB455" s="18">
        <f t="shared" si="3"/>
        <v>1</v>
      </c>
      <c r="AC455" s="18">
        <f t="shared" si="4"/>
        <v>1</v>
      </c>
      <c r="AD455" s="18">
        <f t="shared" si="5"/>
        <v>1</v>
      </c>
      <c r="AE455" s="18">
        <f t="shared" si="6"/>
        <v>1</v>
      </c>
    </row>
    <row r="456">
      <c r="A456" s="9">
        <f>IF(E456="","", IF('Global Precios'!B457="",0,'Global Precios'!B457))</f>
        <v>0</v>
      </c>
      <c r="B456" s="14" t="str">
        <f>IF('Global Precios'!B457="","",'Global Precios'!B457)</f>
        <v/>
      </c>
      <c r="C456" s="18">
        <f>IF('Global Precios'!A457="","",'Global Precios'!A457)</f>
        <v>485</v>
      </c>
      <c r="D456" s="18"/>
      <c r="E456" s="25" t="str">
        <f>IF('Global Precios'!D457="","",'Global Precios'!D457)</f>
        <v>HUESO 8/9</v>
      </c>
      <c r="F456" s="18"/>
      <c r="G456" s="25">
        <f>IFERROR(VLOOKUP(C456,'BuscarV Stock'!$A$2:$C$478,3,0),"AAA")</f>
        <v>0</v>
      </c>
      <c r="H456" s="25">
        <f t="shared" si="1"/>
        <v>0.21</v>
      </c>
      <c r="I456" s="30">
        <f>IF('Global Precios'!H457="","",'Global Precios'!H457)</f>
        <v>1809.917355</v>
      </c>
      <c r="J456" s="82">
        <f>IF('Global Precios'!K457="","",'Global Precios'!K457)</f>
        <v>1</v>
      </c>
      <c r="K456" s="30">
        <f>IF('Global Precios'!Z457="Desactivado",0,IF('Global Precios'!L457="","",'Global Precios'!L457))</f>
        <v>4400</v>
      </c>
      <c r="L456" s="18"/>
      <c r="M456" s="18"/>
      <c r="N456" s="18"/>
      <c r="O456" s="18"/>
      <c r="P456" s="18"/>
      <c r="Q456" s="18"/>
      <c r="R456" s="18" t="str">
        <f>IF('Global Precios'!F457="","",'Global Precios'!F457)</f>
        <v>Pet-shop</v>
      </c>
      <c r="S456" s="18"/>
      <c r="T456" s="18" t="str">
        <f>IF('Global Precios'!E457="","",'Global Precios'!E457)</f>
        <v/>
      </c>
      <c r="U456" s="18"/>
      <c r="V456" s="18">
        <f t="shared" si="2"/>
        <v>0</v>
      </c>
      <c r="W456" s="18"/>
      <c r="X456" s="18"/>
      <c r="Y456" s="18"/>
      <c r="Z456" s="18"/>
      <c r="AA456" s="18"/>
      <c r="AB456" s="18">
        <f t="shared" si="3"/>
        <v>1</v>
      </c>
      <c r="AC456" s="18">
        <f t="shared" si="4"/>
        <v>1</v>
      </c>
      <c r="AD456" s="18">
        <f t="shared" si="5"/>
        <v>1</v>
      </c>
      <c r="AE456" s="18">
        <f t="shared" si="6"/>
        <v>1</v>
      </c>
    </row>
    <row r="457">
      <c r="A457" s="9">
        <f>IF(E457="","", IF('Global Precios'!B458="",0,'Global Precios'!B458))</f>
        <v>0</v>
      </c>
      <c r="B457" s="14" t="str">
        <f>IF('Global Precios'!B458="","",'Global Precios'!B458)</f>
        <v/>
      </c>
      <c r="C457" s="18">
        <f>IF('Global Precios'!A458="","",'Global Precios'!A458)</f>
        <v>486</v>
      </c>
      <c r="D457" s="18"/>
      <c r="E457" s="25" t="str">
        <f>IF('Global Precios'!D458="","",'Global Precios'!D458)</f>
        <v>OP. PUPPIES SMALL BREED X 3 KG</v>
      </c>
      <c r="F457" s="18"/>
      <c r="G457" s="25">
        <f>IFERROR(VLOOKUP(C457,'BuscarV Stock'!$A$2:$C$478,3,0),"AAA")</f>
        <v>1</v>
      </c>
      <c r="H457" s="25">
        <f t="shared" si="1"/>
        <v>0.21</v>
      </c>
      <c r="I457" s="30">
        <f>IF('Global Precios'!H458="","",'Global Precios'!H458)</f>
        <v>8892.561983</v>
      </c>
      <c r="J457" s="82">
        <f>IF('Global Precios'!K458="","",'Global Precios'!K458)</f>
        <v>0.3</v>
      </c>
      <c r="K457" s="30">
        <f>IF('Global Precios'!Z458="Desactivado",0,IF('Global Precios'!L458="","",'Global Precios'!L458))</f>
        <v>14000</v>
      </c>
      <c r="L457" s="18"/>
      <c r="M457" s="18"/>
      <c r="N457" s="18"/>
      <c r="O457" s="18"/>
      <c r="P457" s="18"/>
      <c r="Q457" s="18"/>
      <c r="R457" s="18" t="str">
        <f>IF('Global Precios'!F458="","",'Global Precios'!F458)</f>
        <v>Alimentos</v>
      </c>
      <c r="S457" s="18"/>
      <c r="T457" s="18" t="str">
        <f>IF('Global Precios'!E458="","",'Global Precios'!E458)</f>
        <v>Old prince</v>
      </c>
      <c r="U457" s="18"/>
      <c r="V457" s="18">
        <f t="shared" si="2"/>
        <v>0</v>
      </c>
      <c r="W457" s="18"/>
      <c r="X457" s="18"/>
      <c r="Y457" s="18"/>
      <c r="Z457" s="18"/>
      <c r="AA457" s="18"/>
      <c r="AB457" s="18">
        <f t="shared" si="3"/>
        <v>1</v>
      </c>
      <c r="AC457" s="18">
        <f t="shared" si="4"/>
        <v>1</v>
      </c>
      <c r="AD457" s="18">
        <f t="shared" si="5"/>
        <v>1</v>
      </c>
      <c r="AE457" s="18">
        <f t="shared" si="6"/>
        <v>1</v>
      </c>
    </row>
    <row r="458">
      <c r="A458" s="9">
        <f>IF(E458="","", IF('Global Precios'!B459="",0,'Global Precios'!B459))</f>
        <v>0</v>
      </c>
      <c r="B458" s="14" t="str">
        <f>IF('Global Precios'!B459="","",'Global Precios'!B459)</f>
        <v/>
      </c>
      <c r="C458" s="18">
        <f>IF('Global Precios'!A459="","",'Global Precios'!A459)</f>
        <v>487</v>
      </c>
      <c r="D458" s="18"/>
      <c r="E458" s="25" t="str">
        <f>IF('Global Precios'!D459="","",'Global Precios'!D459)</f>
        <v>PIPETA DEFENDER 20 A 40 KG</v>
      </c>
      <c r="F458" s="18"/>
      <c r="G458" s="25">
        <f>IFERROR(VLOOKUP(C458,'BuscarV Stock'!$A$2:$C$478,3,0),"AAA")</f>
        <v>0</v>
      </c>
      <c r="H458" s="25">
        <f t="shared" si="1"/>
        <v>0.21</v>
      </c>
      <c r="I458" s="30">
        <f>IF('Global Precios'!H459="","",'Global Precios'!H459)</f>
        <v>1499.173554</v>
      </c>
      <c r="J458" s="82">
        <f>IF('Global Precios'!K459="","",'Global Precios'!K459)</f>
        <v>0.8</v>
      </c>
      <c r="K458" s="30">
        <f>IF('Global Precios'!Z459="Desactivado",0,IF('Global Precios'!L459="","",'Global Precios'!L459))</f>
        <v>0</v>
      </c>
      <c r="L458" s="18"/>
      <c r="M458" s="18"/>
      <c r="N458" s="18"/>
      <c r="O458" s="18"/>
      <c r="P458" s="18"/>
      <c r="Q458" s="18"/>
      <c r="R458" s="18" t="str">
        <f>IF('Global Precios'!F459="","",'Global Precios'!F459)</f>
        <v>Medicamentos</v>
      </c>
      <c r="S458" s="18"/>
      <c r="T458" s="18" t="str">
        <f>IF('Global Precios'!E459="","",'Global Precios'!E459)</f>
        <v>León Pharma</v>
      </c>
      <c r="U458" s="18"/>
      <c r="V458" s="18">
        <f t="shared" si="2"/>
        <v>0</v>
      </c>
      <c r="W458" s="18"/>
      <c r="X458" s="18"/>
      <c r="Y458" s="18"/>
      <c r="Z458" s="18"/>
      <c r="AA458" s="18"/>
      <c r="AB458" s="18">
        <f t="shared" si="3"/>
        <v>1</v>
      </c>
      <c r="AC458" s="18">
        <f t="shared" si="4"/>
        <v>1</v>
      </c>
      <c r="AD458" s="18">
        <f t="shared" si="5"/>
        <v>1</v>
      </c>
      <c r="AE458" s="18">
        <f t="shared" si="6"/>
        <v>1</v>
      </c>
    </row>
    <row r="459">
      <c r="A459" s="9">
        <f>IF(E459="","", IF('Global Precios'!B460="",0,'Global Precios'!B460))</f>
        <v>0</v>
      </c>
      <c r="B459" s="14" t="str">
        <f>IF('Global Precios'!B460="","",'Global Precios'!B460)</f>
        <v/>
      </c>
      <c r="C459" s="18">
        <f>IF('Global Precios'!A460="","",'Global Precios'!A460)</f>
        <v>488</v>
      </c>
      <c r="D459" s="18"/>
      <c r="E459" s="25" t="str">
        <f>IF('Global Precios'!D460="","",'Global Precios'!D460)</f>
        <v>CYTOPOINT 20 MG X 2 VIALES</v>
      </c>
      <c r="F459" s="18"/>
      <c r="G459" s="25">
        <f>IFERROR(VLOOKUP(C459,'BuscarV Stock'!$A$2:$C$478,3,0),"AAA")</f>
        <v>0</v>
      </c>
      <c r="H459" s="25">
        <f t="shared" si="1"/>
        <v>0.21</v>
      </c>
      <c r="I459" s="30">
        <f>IF('Global Precios'!H460="","",'Global Precios'!H460)</f>
        <v>31611.57025</v>
      </c>
      <c r="J459" s="82">
        <f>IF('Global Precios'!K460="","",'Global Precios'!K460)</f>
        <v>0.45</v>
      </c>
      <c r="K459" s="30">
        <f>IF('Global Precios'!Z460="Desactivado",0,IF('Global Precios'!L460="","",'Global Precios'!L460))</f>
        <v>55000</v>
      </c>
      <c r="L459" s="18"/>
      <c r="M459" s="18"/>
      <c r="N459" s="18"/>
      <c r="O459" s="18"/>
      <c r="P459" s="18"/>
      <c r="Q459" s="18"/>
      <c r="R459" s="18" t="str">
        <f>IF('Global Precios'!F460="","",'Global Precios'!F460)</f>
        <v>Medicamentos</v>
      </c>
      <c r="S459" s="18"/>
      <c r="T459" s="18" t="str">
        <f>IF('Global Precios'!E460="","",'Global Precios'!E460)</f>
        <v>Zoetis</v>
      </c>
      <c r="U459" s="18"/>
      <c r="V459" s="18">
        <f t="shared" si="2"/>
        <v>0</v>
      </c>
      <c r="W459" s="18"/>
      <c r="X459" s="18"/>
      <c r="Y459" s="18"/>
      <c r="Z459" s="18"/>
      <c r="AA459" s="18"/>
      <c r="AB459" s="18">
        <f t="shared" si="3"/>
        <v>1</v>
      </c>
      <c r="AC459" s="18">
        <f t="shared" si="4"/>
        <v>1</v>
      </c>
      <c r="AD459" s="18">
        <f t="shared" si="5"/>
        <v>1</v>
      </c>
      <c r="AE459" s="18">
        <f t="shared" si="6"/>
        <v>1</v>
      </c>
    </row>
    <row r="460">
      <c r="A460" s="9">
        <f>IF(E460="","", IF('Global Precios'!B461="",0,'Global Precios'!B461))</f>
        <v>0</v>
      </c>
      <c r="B460" s="14" t="str">
        <f>IF('Global Precios'!B461="","",'Global Precios'!B461)</f>
        <v/>
      </c>
      <c r="C460" s="18">
        <f>IF('Global Precios'!A461="","",'Global Precios'!A461)</f>
        <v>489</v>
      </c>
      <c r="D460" s="18"/>
      <c r="E460" s="25" t="str">
        <f>IF('Global Precios'!D461="","",'Global Precios'!D461)</f>
        <v>SPEED EHRLI KIT X 1 TEST</v>
      </c>
      <c r="F460" s="18"/>
      <c r="G460" s="25">
        <f>IFERROR(VLOOKUP(C460,'BuscarV Stock'!$A$2:$C$478,3,0),"AAA")</f>
        <v>0</v>
      </c>
      <c r="H460" s="25">
        <f t="shared" si="1"/>
        <v>0.21</v>
      </c>
      <c r="I460" s="30">
        <f>IF('Global Precios'!H461="","",'Global Precios'!H461)</f>
        <v>15847.10744</v>
      </c>
      <c r="J460" s="82">
        <f>IF('Global Precios'!K461="","",'Global Precios'!K461)</f>
        <v>0.6</v>
      </c>
      <c r="K460" s="30">
        <f>IF('Global Precios'!Z461="Desactivado",0,IF('Global Precios'!L461="","",'Global Precios'!L461))</f>
        <v>0</v>
      </c>
      <c r="L460" s="18"/>
      <c r="M460" s="18"/>
      <c r="N460" s="18"/>
      <c r="O460" s="18"/>
      <c r="P460" s="18"/>
      <c r="Q460" s="18"/>
      <c r="R460" s="18" t="str">
        <f>IF('Global Precios'!F461="","",'Global Precios'!F461)</f>
        <v>Medicamentos</v>
      </c>
      <c r="S460" s="18"/>
      <c r="T460" s="18" t="str">
        <f>IF('Global Precios'!E461="","",'Global Precios'!E461)</f>
        <v>Virbac</v>
      </c>
      <c r="U460" s="18"/>
      <c r="V460" s="18">
        <f t="shared" si="2"/>
        <v>0</v>
      </c>
      <c r="W460" s="18"/>
      <c r="X460" s="18"/>
      <c r="Y460" s="18"/>
      <c r="Z460" s="18"/>
      <c r="AA460" s="18"/>
      <c r="AB460" s="18">
        <f t="shared" si="3"/>
        <v>1</v>
      </c>
      <c r="AC460" s="18">
        <f t="shared" si="4"/>
        <v>1</v>
      </c>
      <c r="AD460" s="18">
        <f t="shared" si="5"/>
        <v>1</v>
      </c>
      <c r="AE460" s="18">
        <f t="shared" si="6"/>
        <v>1</v>
      </c>
    </row>
    <row r="461">
      <c r="A461" s="9">
        <f>IF(E461="","", IF('Global Precios'!B462="",0,'Global Precios'!B462))</f>
        <v>0</v>
      </c>
      <c r="B461" s="14" t="str">
        <f>IF('Global Precios'!B462="","",'Global Precios'!B462)</f>
        <v/>
      </c>
      <c r="C461" s="18">
        <f>IF('Global Precios'!A462="","",'Global Precios'!A462)</f>
        <v>490</v>
      </c>
      <c r="D461" s="18"/>
      <c r="E461" s="25" t="str">
        <f>IF('Global Precios'!D462="","",'Global Precios'!D462)</f>
        <v>GERIOOX x 10 Comprimidos</v>
      </c>
      <c r="F461" s="18"/>
      <c r="G461" s="25">
        <f>IFERROR(VLOOKUP(C461,'BuscarV Stock'!$A$2:$C$478,3,0),"AAA")</f>
        <v>3</v>
      </c>
      <c r="H461" s="25">
        <f t="shared" si="1"/>
        <v>0.21</v>
      </c>
      <c r="I461" s="30">
        <f>IF('Global Precios'!H462="","",'Global Precios'!H462)</f>
        <v>8264.46281</v>
      </c>
      <c r="J461" s="82">
        <f>IF('Global Precios'!K462="","",'Global Precios'!K462)</f>
        <v>0.7</v>
      </c>
      <c r="K461" s="30">
        <f>IF('Global Precios'!Z462="Desactivado",0,IF('Global Precios'!L462="","",'Global Precios'!L462))</f>
        <v>17000</v>
      </c>
      <c r="L461" s="18"/>
      <c r="M461" s="18"/>
      <c r="N461" s="18"/>
      <c r="O461" s="18"/>
      <c r="P461" s="18"/>
      <c r="Q461" s="18"/>
      <c r="R461" s="18" t="str">
        <f>IF('Global Precios'!F462="","",'Global Precios'!F462)</f>
        <v>Medicamentos</v>
      </c>
      <c r="S461" s="18"/>
      <c r="T461" s="18" t="str">
        <f>IF('Global Precios'!E462="","",'Global Precios'!E462)</f>
        <v>Labyes</v>
      </c>
      <c r="U461" s="18"/>
      <c r="V461" s="18">
        <f t="shared" si="2"/>
        <v>0</v>
      </c>
      <c r="W461" s="18"/>
      <c r="X461" s="18"/>
      <c r="Y461" s="18"/>
      <c r="Z461" s="18"/>
      <c r="AA461" s="18"/>
      <c r="AB461" s="18">
        <f t="shared" si="3"/>
        <v>1</v>
      </c>
      <c r="AC461" s="18">
        <f t="shared" si="4"/>
        <v>1</v>
      </c>
      <c r="AD461" s="18">
        <f t="shared" si="5"/>
        <v>1</v>
      </c>
      <c r="AE461" s="18">
        <f t="shared" si="6"/>
        <v>1</v>
      </c>
    </row>
    <row r="462">
      <c r="A462" s="9">
        <f>IF(E462="","", IF('Global Precios'!B463="",0,'Global Precios'!B463))</f>
        <v>0</v>
      </c>
      <c r="B462" s="14" t="str">
        <f>IF('Global Precios'!B463="","",'Global Precios'!B463)</f>
        <v/>
      </c>
      <c r="C462" s="18">
        <f>IF('Global Precios'!A463="","",'Global Precios'!A463)</f>
        <v>491</v>
      </c>
      <c r="D462" s="18"/>
      <c r="E462" s="25" t="str">
        <f>IF('Global Precios'!D463="","",'Global Precios'!D463)</f>
        <v>PROPLAN HA HIDROLIZADO GATOS X 1,5 KG</v>
      </c>
      <c r="F462" s="18"/>
      <c r="G462" s="25">
        <f>IFERROR(VLOOKUP(C462,'BuscarV Stock'!$A$2:$C$478,3,0),"AAA")</f>
        <v>0</v>
      </c>
      <c r="H462" s="25">
        <f t="shared" si="1"/>
        <v>0.21</v>
      </c>
      <c r="I462" s="30">
        <f>IF('Global Precios'!H463="","",'Global Precios'!H463)</f>
        <v>2795.041322</v>
      </c>
      <c r="J462" s="82">
        <f>IF('Global Precios'!K463="","",'Global Precios'!K463)</f>
        <v>0.4</v>
      </c>
      <c r="K462" s="30">
        <f>IF('Global Precios'!Z463="Desactivado",0,IF('Global Precios'!L463="","",'Global Precios'!L463))</f>
        <v>0</v>
      </c>
      <c r="L462" s="18"/>
      <c r="M462" s="18"/>
      <c r="N462" s="18"/>
      <c r="O462" s="18"/>
      <c r="P462" s="18"/>
      <c r="Q462" s="18"/>
      <c r="R462" s="18" t="str">
        <f>IF('Global Precios'!F463="","",'Global Precios'!F463)</f>
        <v>Alimentos</v>
      </c>
      <c r="S462" s="18"/>
      <c r="T462" s="18" t="str">
        <f>IF('Global Precios'!E463="","",'Global Precios'!E463)</f>
        <v>Pro plan</v>
      </c>
      <c r="U462" s="18"/>
      <c r="V462" s="18">
        <f t="shared" si="2"/>
        <v>0</v>
      </c>
      <c r="W462" s="18"/>
      <c r="X462" s="18"/>
      <c r="Y462" s="18"/>
      <c r="Z462" s="18"/>
      <c r="AA462" s="18"/>
      <c r="AB462" s="18">
        <f t="shared" si="3"/>
        <v>1</v>
      </c>
      <c r="AC462" s="18">
        <f t="shared" si="4"/>
        <v>1</v>
      </c>
      <c r="AD462" s="18">
        <f t="shared" si="5"/>
        <v>1</v>
      </c>
      <c r="AE462" s="18">
        <f t="shared" si="6"/>
        <v>1</v>
      </c>
    </row>
    <row r="463">
      <c r="A463" s="9">
        <f>IF(E463="","", IF('Global Precios'!B464="",0,'Global Precios'!B464))</f>
        <v>0</v>
      </c>
      <c r="B463" s="14" t="str">
        <f>IF('Global Precios'!B464="","",'Global Precios'!B464)</f>
        <v/>
      </c>
      <c r="C463" s="18">
        <f>IF('Global Precios'!A464="","",'Global Precios'!A464)</f>
        <v>492</v>
      </c>
      <c r="D463" s="18"/>
      <c r="E463" s="25" t="str">
        <f>IF('Global Precios'!D464="","",'Global Precios'!D464)</f>
        <v>OHM PASTA GATOS X 7 GRS</v>
      </c>
      <c r="F463" s="18"/>
      <c r="G463" s="25">
        <f>IFERROR(VLOOKUP(C463,'BuscarV Stock'!$A$2:$C$478,3,0),"AAA")</f>
        <v>1</v>
      </c>
      <c r="H463" s="25">
        <f t="shared" si="1"/>
        <v>0.21</v>
      </c>
      <c r="I463" s="30">
        <f>IF('Global Precios'!H464="","",'Global Precios'!H464)</f>
        <v>5479.338843</v>
      </c>
      <c r="J463" s="82">
        <f>IF('Global Precios'!K464="","",'Global Precios'!K464)</f>
        <v>0.7</v>
      </c>
      <c r="K463" s="30">
        <f>IF('Global Precios'!Z464="Desactivado",0,IF('Global Precios'!L464="","",'Global Precios'!L464))</f>
        <v>11000</v>
      </c>
      <c r="L463" s="18"/>
      <c r="M463" s="18"/>
      <c r="N463" s="18"/>
      <c r="O463" s="18"/>
      <c r="P463" s="18"/>
      <c r="Q463" s="18"/>
      <c r="R463" s="18" t="str">
        <f>IF('Global Precios'!F464="","",'Global Precios'!F464)</f>
        <v>Medicamentos</v>
      </c>
      <c r="S463" s="18"/>
      <c r="T463" s="18" t="str">
        <f>IF('Global Precios'!E464="","",'Global Precios'!E464)</f>
        <v>Holliday</v>
      </c>
      <c r="U463" s="18"/>
      <c r="V463" s="18">
        <f t="shared" si="2"/>
        <v>0</v>
      </c>
      <c r="W463" s="18"/>
      <c r="X463" s="18"/>
      <c r="Y463" s="18"/>
      <c r="Z463" s="18"/>
      <c r="AA463" s="18"/>
      <c r="AB463" s="18">
        <f t="shared" si="3"/>
        <v>1</v>
      </c>
      <c r="AC463" s="18">
        <f t="shared" si="4"/>
        <v>1</v>
      </c>
      <c r="AD463" s="18">
        <f t="shared" si="5"/>
        <v>1</v>
      </c>
      <c r="AE463" s="18">
        <f t="shared" si="6"/>
        <v>1</v>
      </c>
    </row>
    <row r="464">
      <c r="A464" s="9">
        <f>IF(E464="","", IF('Global Precios'!B465="",0,'Global Precios'!B465))</f>
        <v>0</v>
      </c>
      <c r="B464" s="14" t="str">
        <f>IF('Global Precios'!B465="","",'Global Precios'!B465)</f>
        <v/>
      </c>
      <c r="C464" s="18">
        <f>IF('Global Precios'!A465="","",'Global Precios'!A465)</f>
        <v>493</v>
      </c>
      <c r="D464" s="18"/>
      <c r="E464" s="25" t="str">
        <f>IF('Global Precios'!D465="","",'Global Precios'!D465)</f>
        <v>LIMPIEZA DE DIENTES</v>
      </c>
      <c r="F464" s="18"/>
      <c r="G464" s="25">
        <f>IFERROR(VLOOKUP(C464,'BuscarV Stock'!$A$2:$C$478,3,0),"AAA")</f>
        <v>0</v>
      </c>
      <c r="H464" s="25">
        <f t="shared" si="1"/>
        <v>0.21</v>
      </c>
      <c r="I464" s="30">
        <f>IF('Global Precios'!H465="","",'Global Precios'!H465)</f>
        <v>62549.58678</v>
      </c>
      <c r="J464" s="18">
        <f>IF('Global Precios'!K465="","",'Global Precios'!K465)</f>
        <v>0</v>
      </c>
      <c r="K464" s="30">
        <f>IF('Global Precios'!Z465="Desactivado",0,IF('Global Precios'!L465="","",'Global Precios'!L465))</f>
        <v>76000</v>
      </c>
      <c r="L464" s="18"/>
      <c r="M464" s="18"/>
      <c r="N464" s="18"/>
      <c r="O464" s="18"/>
      <c r="P464" s="18"/>
      <c r="Q464" s="18"/>
      <c r="R464" s="18" t="str">
        <f>IF('Global Precios'!F465="","",'Global Precios'!F465)</f>
        <v>Clinica</v>
      </c>
      <c r="S464" s="18"/>
      <c r="T464" s="18" t="str">
        <f>IF('Global Precios'!E465="","",'Global Precios'!E465)</f>
        <v/>
      </c>
      <c r="U464" s="18"/>
      <c r="V464" s="18">
        <f t="shared" si="2"/>
        <v>0</v>
      </c>
      <c r="W464" s="18"/>
      <c r="X464" s="18"/>
      <c r="Y464" s="18"/>
      <c r="Z464" s="18"/>
      <c r="AA464" s="18"/>
      <c r="AB464" s="18">
        <f t="shared" si="3"/>
        <v>1</v>
      </c>
      <c r="AC464" s="18">
        <f t="shared" si="4"/>
        <v>1</v>
      </c>
      <c r="AD464" s="18">
        <f t="shared" si="5"/>
        <v>1</v>
      </c>
      <c r="AE464" s="18">
        <f t="shared" si="6"/>
        <v>1</v>
      </c>
    </row>
    <row r="465">
      <c r="A465" s="9">
        <f>IF(E465="","", IF('Global Precios'!B466="",0,'Global Precios'!B466))</f>
        <v>0</v>
      </c>
      <c r="B465" s="14" t="str">
        <f>IF('Global Precios'!B466="","",'Global Precios'!B466)</f>
        <v/>
      </c>
      <c r="C465" s="18">
        <f>IF('Global Precios'!A466="","",'Global Precios'!A466)</f>
        <v>494</v>
      </c>
      <c r="D465" s="18"/>
      <c r="E465" s="25" t="str">
        <f>IF('Global Precios'!D466="","",'Global Precios'!D466)</f>
        <v>SIEGER PUPPY X 1 KG MINI SMALL</v>
      </c>
      <c r="F465" s="18"/>
      <c r="G465" s="25">
        <f>IFERROR(VLOOKUP(C465,'BuscarV Stock'!$A$2:$C$478,3,0),"AAA")</f>
        <v>1</v>
      </c>
      <c r="H465" s="25">
        <f t="shared" si="1"/>
        <v>0.21</v>
      </c>
      <c r="I465" s="30">
        <f>IF('Global Precios'!H466="","",'Global Precios'!H466)</f>
        <v>3470.247934</v>
      </c>
      <c r="J465" s="82">
        <f>IF('Global Precios'!K466="","",'Global Precios'!K466)</f>
        <v>0.3</v>
      </c>
      <c r="K465" s="30">
        <f>IF('Global Precios'!Z466="Desactivado",0,IF('Global Precios'!L466="","",'Global Precios'!L466))</f>
        <v>0</v>
      </c>
      <c r="L465" s="18"/>
      <c r="M465" s="18"/>
      <c r="N465" s="18"/>
      <c r="O465" s="18"/>
      <c r="P465" s="18"/>
      <c r="Q465" s="18"/>
      <c r="R465" s="18" t="str">
        <f>IF('Global Precios'!F466="","",'Global Precios'!F466)</f>
        <v>Alimentos</v>
      </c>
      <c r="S465" s="18"/>
      <c r="T465" s="18" t="str">
        <f>IF('Global Precios'!E466="","",'Global Precios'!E466)</f>
        <v>Sieger</v>
      </c>
      <c r="U465" s="18"/>
      <c r="V465" s="18">
        <f t="shared" si="2"/>
        <v>0</v>
      </c>
      <c r="W465" s="18"/>
      <c r="X465" s="18"/>
      <c r="Y465" s="18"/>
      <c r="Z465" s="18"/>
      <c r="AA465" s="18"/>
      <c r="AB465" s="18">
        <f t="shared" si="3"/>
        <v>1</v>
      </c>
      <c r="AC465" s="18">
        <f t="shared" si="4"/>
        <v>1</v>
      </c>
      <c r="AD465" s="18">
        <f t="shared" si="5"/>
        <v>1</v>
      </c>
      <c r="AE465" s="18">
        <f t="shared" si="6"/>
        <v>1</v>
      </c>
    </row>
    <row r="466">
      <c r="A466" s="9">
        <f>IF(E466="","", IF('Global Precios'!B467="",0,'Global Precios'!B467))</f>
        <v>0</v>
      </c>
      <c r="B466" s="14" t="str">
        <f>IF('Global Precios'!B467="","",'Global Precios'!B467)</f>
        <v/>
      </c>
      <c r="C466" s="18">
        <f>IF('Global Precios'!A467="","",'Global Precios'!A467)</f>
        <v>495</v>
      </c>
      <c r="D466" s="18"/>
      <c r="E466" s="25" t="str">
        <f>IF('Global Precios'!D467="","",'Global Precios'!D467)</f>
        <v>CLORHEXIDINA GEL ANTIPLACA X 20 ML</v>
      </c>
      <c r="F466" s="18"/>
      <c r="G466" s="25">
        <f>IFERROR(VLOOKUP(C466,'BuscarV Stock'!$A$2:$C$478,3,0),"AAA")</f>
        <v>1</v>
      </c>
      <c r="H466" s="25">
        <f t="shared" si="1"/>
        <v>0.21</v>
      </c>
      <c r="I466" s="30">
        <f>IF('Global Precios'!H467="","",'Global Precios'!H467)</f>
        <v>4552.066116</v>
      </c>
      <c r="J466" s="82">
        <f>IF('Global Precios'!K467="","",'Global Precios'!K467)</f>
        <v>0.8</v>
      </c>
      <c r="K466" s="30">
        <f>IF('Global Precios'!Z467="Desactivado",0,IF('Global Precios'!L467="","",'Global Precios'!L467))</f>
        <v>10000</v>
      </c>
      <c r="L466" s="18"/>
      <c r="M466" s="18"/>
      <c r="N466" s="18"/>
      <c r="O466" s="18"/>
      <c r="P466" s="18"/>
      <c r="Q466" s="18"/>
      <c r="R466" s="18" t="str">
        <f>IF('Global Precios'!F467="","",'Global Precios'!F467)</f>
        <v>Medicamentos</v>
      </c>
      <c r="S466" s="18"/>
      <c r="T466" s="18" t="str">
        <f>IF('Global Precios'!E467="","",'Global Precios'!E467)</f>
        <v>Holliday</v>
      </c>
      <c r="U466" s="18"/>
      <c r="V466" s="18">
        <f t="shared" si="2"/>
        <v>0</v>
      </c>
      <c r="W466" s="18"/>
      <c r="X466" s="18"/>
      <c r="Y466" s="18"/>
      <c r="Z466" s="18"/>
      <c r="AA466" s="18"/>
      <c r="AB466" s="18">
        <f t="shared" si="3"/>
        <v>1</v>
      </c>
      <c r="AC466" s="18">
        <f t="shared" si="4"/>
        <v>1</v>
      </c>
      <c r="AD466" s="18">
        <f t="shared" si="5"/>
        <v>1</v>
      </c>
      <c r="AE466" s="18">
        <f t="shared" si="6"/>
        <v>1</v>
      </c>
    </row>
    <row r="467">
      <c r="A467" s="9">
        <f>IF(E467="","", IF('Global Precios'!B468="",0,'Global Precios'!B468))</f>
        <v>0</v>
      </c>
      <c r="B467" s="14" t="str">
        <f>IF('Global Precios'!B468="","",'Global Precios'!B468)</f>
        <v/>
      </c>
      <c r="C467" s="18">
        <f>IF('Global Precios'!A468="","",'Global Precios'!A468)</f>
        <v>496</v>
      </c>
      <c r="D467" s="18"/>
      <c r="E467" s="25" t="str">
        <f>IF('Global Precios'!D468="","",'Global Precios'!D468)</f>
        <v>DERMOMAX X 15 GRS</v>
      </c>
      <c r="F467" s="18"/>
      <c r="G467" s="25">
        <f>IFERROR(VLOOKUP(C467,'BuscarV Stock'!$A$2:$C$478,3,0),"AAA")</f>
        <v>0</v>
      </c>
      <c r="H467" s="25">
        <f t="shared" si="1"/>
        <v>0.21</v>
      </c>
      <c r="I467" s="30">
        <f>IF('Global Precios'!H468="","",'Global Precios'!H468)</f>
        <v>724.7933884</v>
      </c>
      <c r="J467" s="82">
        <f>IF('Global Precios'!K468="","",'Global Precios'!K468)</f>
        <v>0.8</v>
      </c>
      <c r="K467" s="30">
        <f>IF('Global Precios'!Z468="Desactivado",0,IF('Global Precios'!L468="","",'Global Precios'!L468))</f>
        <v>0</v>
      </c>
      <c r="L467" s="18"/>
      <c r="M467" s="18"/>
      <c r="N467" s="18"/>
      <c r="O467" s="18"/>
      <c r="P467" s="18"/>
      <c r="Q467" s="18"/>
      <c r="R467" s="18" t="str">
        <f>IF('Global Precios'!F468="","",'Global Precios'!F468)</f>
        <v>Medicamentos</v>
      </c>
      <c r="S467" s="18"/>
      <c r="T467" s="18" t="str">
        <f>IF('Global Precios'!E468="","",'Global Precios'!E468)</f>
        <v>Brouwer</v>
      </c>
      <c r="U467" s="18"/>
      <c r="V467" s="18">
        <f t="shared" si="2"/>
        <v>0</v>
      </c>
      <c r="W467" s="18"/>
      <c r="X467" s="18"/>
      <c r="Y467" s="18"/>
      <c r="Z467" s="18"/>
      <c r="AA467" s="18"/>
      <c r="AB467" s="18">
        <f t="shared" si="3"/>
        <v>1</v>
      </c>
      <c r="AC467" s="18">
        <f t="shared" si="4"/>
        <v>1</v>
      </c>
      <c r="AD467" s="18">
        <f t="shared" si="5"/>
        <v>1</v>
      </c>
      <c r="AE467" s="18">
        <f t="shared" si="6"/>
        <v>1</v>
      </c>
    </row>
    <row r="468">
      <c r="A468" s="9">
        <f>IF(E468="","", IF('Global Precios'!B469="",0,'Global Precios'!B469))</f>
        <v>0</v>
      </c>
      <c r="B468" s="14" t="str">
        <f>IF('Global Precios'!B469="","",'Global Precios'!B469)</f>
        <v/>
      </c>
      <c r="C468" s="18">
        <f>IF('Global Precios'!A469="","",'Global Precios'!A469)</f>
        <v>497</v>
      </c>
      <c r="D468" s="18"/>
      <c r="E468" s="25" t="str">
        <f>IF('Global Precios'!D469="","",'Global Precios'!D469)</f>
        <v>AMOXICILINA 500 MG+AC. CLAVULÁNICO 125 MG X 10 COMPRIMIDOS</v>
      </c>
      <c r="F468" s="18"/>
      <c r="G468" s="25">
        <f>IFERROR(VLOOKUP(C468,'BuscarV Stock'!$A$2:$C$478,3,0),"AAA")</f>
        <v>16</v>
      </c>
      <c r="H468" s="25">
        <f t="shared" si="1"/>
        <v>0.21</v>
      </c>
      <c r="I468" s="30">
        <f>IF('Global Precios'!H469="","",'Global Precios'!H469)</f>
        <v>693.3884298</v>
      </c>
      <c r="J468" s="82">
        <f>IF('Global Precios'!K469="","",'Global Precios'!K469)</f>
        <v>1</v>
      </c>
      <c r="K468" s="30">
        <f>IF('Global Precios'!Z469="Desactivado",0,IF('Global Precios'!L469="","",'Global Precios'!L469))</f>
        <v>0</v>
      </c>
      <c r="L468" s="18"/>
      <c r="M468" s="18"/>
      <c r="N468" s="18"/>
      <c r="O468" s="18"/>
      <c r="P468" s="18"/>
      <c r="Q468" s="18"/>
      <c r="R468" s="18" t="str">
        <f>IF('Global Precios'!F469="","",'Global Precios'!F469)</f>
        <v>Medicamentos</v>
      </c>
      <c r="S468" s="18"/>
      <c r="T468" s="18" t="str">
        <f>IF('Global Precios'!E469="","",'Global Precios'!E469)</f>
        <v/>
      </c>
      <c r="U468" s="18"/>
      <c r="V468" s="18">
        <f t="shared" si="2"/>
        <v>0</v>
      </c>
      <c r="W468" s="18"/>
      <c r="X468" s="18"/>
      <c r="Y468" s="18"/>
      <c r="Z468" s="18"/>
      <c r="AA468" s="18"/>
      <c r="AB468" s="18">
        <f t="shared" si="3"/>
        <v>1</v>
      </c>
      <c r="AC468" s="18">
        <f t="shared" si="4"/>
        <v>1</v>
      </c>
      <c r="AD468" s="18">
        <f t="shared" si="5"/>
        <v>1</v>
      </c>
      <c r="AE468" s="18">
        <f t="shared" si="6"/>
        <v>1</v>
      </c>
    </row>
    <row r="469">
      <c r="A469" s="9">
        <f>IF(E469="","", IF('Global Precios'!B470="",0,'Global Precios'!B470))</f>
        <v>0</v>
      </c>
      <c r="B469" s="14" t="str">
        <f>IF('Global Precios'!B470="","",'Global Precios'!B470)</f>
        <v/>
      </c>
      <c r="C469" s="18">
        <f>IF('Global Precios'!A470="","",'Global Precios'!A470)</f>
        <v>498</v>
      </c>
      <c r="D469" s="18"/>
      <c r="E469" s="25" t="str">
        <f>IF('Global Precios'!D470="","",'Global Precios'!D470)</f>
        <v>RANITIDINA GOTAS JM X 30 ML</v>
      </c>
      <c r="F469" s="18"/>
      <c r="G469" s="25">
        <f>IFERROR(VLOOKUP(C469,'BuscarV Stock'!$A$2:$C$478,3,0),"AAA")</f>
        <v>2</v>
      </c>
      <c r="H469" s="25">
        <f t="shared" si="1"/>
        <v>0.21</v>
      </c>
      <c r="I469" s="30">
        <f>IF('Global Precios'!H470="","",'Global Precios'!H470)</f>
        <v>3733.057851</v>
      </c>
      <c r="J469" s="82">
        <f>IF('Global Precios'!K470="","",'Global Precios'!K470)</f>
        <v>0.8</v>
      </c>
      <c r="K469" s="30">
        <f>IF('Global Precios'!Z470="Desactivado",0,IF('Global Precios'!L470="","",'Global Precios'!L470))</f>
        <v>8000</v>
      </c>
      <c r="L469" s="18"/>
      <c r="M469" s="18"/>
      <c r="N469" s="18"/>
      <c r="O469" s="18"/>
      <c r="P469" s="18"/>
      <c r="Q469" s="18"/>
      <c r="R469" s="18" t="str">
        <f>IF('Global Precios'!F470="","",'Global Precios'!F470)</f>
        <v>Medicamentos</v>
      </c>
      <c r="S469" s="18"/>
      <c r="T469" s="18" t="str">
        <f>IF('Global Precios'!E470="","",'Global Precios'!E470)</f>
        <v>John martin</v>
      </c>
      <c r="U469" s="18"/>
      <c r="V469" s="18">
        <f t="shared" si="2"/>
        <v>0</v>
      </c>
      <c r="W469" s="18"/>
      <c r="X469" s="18"/>
      <c r="Y469" s="18"/>
      <c r="Z469" s="18"/>
      <c r="AA469" s="18"/>
      <c r="AB469" s="18">
        <f t="shared" si="3"/>
        <v>1</v>
      </c>
      <c r="AC469" s="18">
        <f t="shared" si="4"/>
        <v>1</v>
      </c>
      <c r="AD469" s="18">
        <f t="shared" si="5"/>
        <v>1</v>
      </c>
      <c r="AE469" s="18">
        <f t="shared" si="6"/>
        <v>1</v>
      </c>
    </row>
    <row r="470">
      <c r="A470" s="9">
        <f>IF(E470="","", IF('Global Precios'!B471="",0,'Global Precios'!B471))</f>
        <v>0</v>
      </c>
      <c r="B470" s="14" t="str">
        <f>IF('Global Precios'!B471="","",'Global Precios'!B471)</f>
        <v/>
      </c>
      <c r="C470" s="18">
        <f>IF('Global Precios'!A471="","",'Global Precios'!A471)</f>
        <v>499</v>
      </c>
      <c r="D470" s="18"/>
      <c r="E470" s="25" t="str">
        <f>IF('Global Precios'!D471="","",'Global Precios'!D471)</f>
        <v>NEXGARD S (2 A 4 KG)</v>
      </c>
      <c r="F470" s="18"/>
      <c r="G470" s="25">
        <f>IFERROR(VLOOKUP(C470,'BuscarV Stock'!$A$2:$C$478,3,0),"AAA")</f>
        <v>2</v>
      </c>
      <c r="H470" s="25">
        <f t="shared" si="1"/>
        <v>0.21</v>
      </c>
      <c r="I470" s="30">
        <f>IF('Global Precios'!H471="","",'Global Precios'!H471)</f>
        <v>9611.570248</v>
      </c>
      <c r="J470" s="82">
        <f>IF('Global Precios'!K471="","",'Global Precios'!K471)</f>
        <v>0.8</v>
      </c>
      <c r="K470" s="30">
        <f>IF('Global Precios'!Z471="Desactivado",0,IF('Global Precios'!L471="","",'Global Precios'!L471))</f>
        <v>21000</v>
      </c>
      <c r="L470" s="18"/>
      <c r="M470" s="18"/>
      <c r="N470" s="18"/>
      <c r="O470" s="18"/>
      <c r="P470" s="18"/>
      <c r="Q470" s="18"/>
      <c r="R470" s="18" t="str">
        <f>IF('Global Precios'!F471="","",'Global Precios'!F471)</f>
        <v>Medicamentos</v>
      </c>
      <c r="S470" s="18"/>
      <c r="T470" s="18" t="str">
        <f>IF('Global Precios'!E471="","",'Global Precios'!E471)</f>
        <v>Boehringer pequeños</v>
      </c>
      <c r="U470" s="18"/>
      <c r="V470" s="18">
        <f t="shared" si="2"/>
        <v>0</v>
      </c>
      <c r="W470" s="18"/>
      <c r="X470" s="18"/>
      <c r="Y470" s="18"/>
      <c r="Z470" s="18"/>
      <c r="AA470" s="18"/>
      <c r="AB470" s="18">
        <f t="shared" si="3"/>
        <v>1</v>
      </c>
      <c r="AC470" s="18">
        <f t="shared" si="4"/>
        <v>1</v>
      </c>
      <c r="AD470" s="18">
        <f t="shared" si="5"/>
        <v>1</v>
      </c>
      <c r="AE470" s="18">
        <f t="shared" si="6"/>
        <v>1</v>
      </c>
    </row>
    <row r="471">
      <c r="A471" s="9">
        <f>IF(E471="","", IF('Global Precios'!B472="",0,'Global Precios'!B472))</f>
        <v>0</v>
      </c>
      <c r="B471" s="14" t="str">
        <f>IF('Global Precios'!B472="","",'Global Precios'!B472)</f>
        <v/>
      </c>
      <c r="C471" s="18">
        <f>IF('Global Precios'!A472="","",'Global Precios'!A472)</f>
        <v>500</v>
      </c>
      <c r="D471" s="18"/>
      <c r="E471" s="25" t="str">
        <f>IF('Global Precios'!D472="","",'Global Precios'!D472)</f>
        <v>DERMOSEDAN CHAMPU AVENA + ALOE X 200 GRS</v>
      </c>
      <c r="F471" s="18"/>
      <c r="G471" s="25">
        <f>IFERROR(VLOOKUP(C471,'BuscarV Stock'!$A$2:$C$478,3,0),"AAA")</f>
        <v>4</v>
      </c>
      <c r="H471" s="25">
        <f t="shared" si="1"/>
        <v>0.21</v>
      </c>
      <c r="I471" s="30">
        <f>IF('Global Precios'!H472="","",'Global Precios'!H472)</f>
        <v>3675.206612</v>
      </c>
      <c r="J471" s="82">
        <f>IF('Global Precios'!K472="","",'Global Precios'!K472)</f>
        <v>1</v>
      </c>
      <c r="K471" s="30">
        <f>IF('Global Precios'!Z472="Desactivado",0,IF('Global Precios'!L472="","",'Global Precios'!L472))</f>
        <v>9000</v>
      </c>
      <c r="L471" s="18"/>
      <c r="M471" s="18"/>
      <c r="N471" s="18"/>
      <c r="O471" s="18"/>
      <c r="P471" s="18"/>
      <c r="Q471" s="18"/>
      <c r="R471" s="18" t="str">
        <f>IF('Global Precios'!F472="","",'Global Precios'!F472)</f>
        <v>Medicamentos</v>
      </c>
      <c r="S471" s="18"/>
      <c r="T471" s="18" t="str">
        <f>IF('Global Precios'!E472="","",'Global Precios'!E472)</f>
        <v>Dermosedan</v>
      </c>
      <c r="U471" s="18"/>
      <c r="V471" s="18">
        <f t="shared" si="2"/>
        <v>0</v>
      </c>
      <c r="W471" s="18"/>
      <c r="X471" s="18"/>
      <c r="Y471" s="18"/>
      <c r="Z471" s="18"/>
      <c r="AA471" s="18"/>
      <c r="AB471" s="18">
        <f t="shared" si="3"/>
        <v>1</v>
      </c>
      <c r="AC471" s="18">
        <f t="shared" si="4"/>
        <v>1</v>
      </c>
      <c r="AD471" s="18">
        <f t="shared" si="5"/>
        <v>1</v>
      </c>
      <c r="AE471" s="18">
        <f t="shared" si="6"/>
        <v>1</v>
      </c>
    </row>
    <row r="472">
      <c r="A472" s="9">
        <f>IF(E472="","", IF('Global Precios'!B473="",0,'Global Precios'!B473))</f>
        <v>0</v>
      </c>
      <c r="B472" s="14" t="str">
        <f>IF('Global Precios'!B473="","",'Global Precios'!B473)</f>
        <v/>
      </c>
      <c r="C472" s="18">
        <f>IF('Global Precios'!A473="","",'Global Precios'!A473)</f>
        <v>501</v>
      </c>
      <c r="D472" s="18"/>
      <c r="E472" s="25" t="str">
        <f>IF('Global Precios'!D473="","",'Global Precios'!D473)</f>
        <v>SIEGER PUPPY MEDIUM Y LARGE BREED X 3 KG</v>
      </c>
      <c r="F472" s="18"/>
      <c r="G472" s="25">
        <f>IFERROR(VLOOKUP(C472,'BuscarV Stock'!$A$2:$C$478,3,0),"AAA")</f>
        <v>3</v>
      </c>
      <c r="H472" s="25">
        <f t="shared" si="1"/>
        <v>0.21</v>
      </c>
      <c r="I472" s="30">
        <f>IF('Global Precios'!H473="","",'Global Precios'!H473)</f>
        <v>5315.702479</v>
      </c>
      <c r="J472" s="82">
        <f>IF('Global Precios'!K473="","",'Global Precios'!K473)</f>
        <v>0.3</v>
      </c>
      <c r="K472" s="30">
        <f>IF('Global Precios'!Z473="Desactivado",0,IF('Global Precios'!L473="","",'Global Precios'!L473))</f>
        <v>0</v>
      </c>
      <c r="L472" s="18"/>
      <c r="M472" s="18"/>
      <c r="N472" s="18"/>
      <c r="O472" s="18"/>
      <c r="P472" s="18"/>
      <c r="Q472" s="18"/>
      <c r="R472" s="18" t="str">
        <f>IF('Global Precios'!F473="","",'Global Precios'!F473)</f>
        <v>Alimentos</v>
      </c>
      <c r="S472" s="18"/>
      <c r="T472" s="18" t="str">
        <f>IF('Global Precios'!E473="","",'Global Precios'!E473)</f>
        <v>Sieger</v>
      </c>
      <c r="U472" s="18"/>
      <c r="V472" s="18">
        <f t="shared" si="2"/>
        <v>0</v>
      </c>
      <c r="W472" s="18"/>
      <c r="X472" s="18"/>
      <c r="Y472" s="18"/>
      <c r="Z472" s="18"/>
      <c r="AA472" s="18"/>
      <c r="AB472" s="18">
        <f t="shared" si="3"/>
        <v>1</v>
      </c>
      <c r="AC472" s="18">
        <f t="shared" si="4"/>
        <v>1</v>
      </c>
      <c r="AD472" s="18">
        <f t="shared" si="5"/>
        <v>1</v>
      </c>
      <c r="AE472" s="18">
        <f t="shared" si="6"/>
        <v>1</v>
      </c>
    </row>
    <row r="473">
      <c r="A473" s="9">
        <f>IF(E473="","", IF('Global Precios'!B474="",0,'Global Precios'!B474))</f>
        <v>0</v>
      </c>
      <c r="B473" s="14" t="str">
        <f>IF('Global Precios'!B474="","",'Global Precios'!B474)</f>
        <v/>
      </c>
      <c r="C473" s="18">
        <f>IF('Global Precios'!A474="","",'Global Precios'!A474)</f>
        <v>502</v>
      </c>
      <c r="D473" s="18"/>
      <c r="E473" s="25" t="str">
        <f>IF('Global Precios'!D474="","",'Global Precios'!D474)</f>
        <v>MV PERRO GASTROINTESTINAL X 10 KG</v>
      </c>
      <c r="F473" s="18"/>
      <c r="G473" s="25">
        <f>IFERROR(VLOOKUP(C473,'BuscarV Stock'!$A$2:$C$478,3,0),"AAA")</f>
        <v>0</v>
      </c>
      <c r="H473" s="25">
        <f t="shared" si="1"/>
        <v>0.21</v>
      </c>
      <c r="I473" s="30">
        <f>IF('Global Precios'!H474="","",'Global Precios'!H474)</f>
        <v>60743.80165</v>
      </c>
      <c r="J473" s="82">
        <f>IF('Global Precios'!K474="","",'Global Precios'!K474)</f>
        <v>0.3</v>
      </c>
      <c r="K473" s="30">
        <f>IF('Global Precios'!Z474="Desactivado",0,IF('Global Precios'!L474="","",'Global Precios'!L474))</f>
        <v>96000</v>
      </c>
      <c r="L473" s="18"/>
      <c r="M473" s="18"/>
      <c r="N473" s="18"/>
      <c r="O473" s="18"/>
      <c r="P473" s="18"/>
      <c r="Q473" s="18"/>
      <c r="R473" s="18" t="str">
        <f>IF('Global Precios'!F474="","",'Global Precios'!F474)</f>
        <v>Alimentos</v>
      </c>
      <c r="S473" s="18"/>
      <c r="T473" s="18" t="str">
        <f>IF('Global Precios'!E474="","",'Global Precios'!E474)</f>
        <v>Holliday</v>
      </c>
      <c r="U473" s="18"/>
      <c r="V473" s="18">
        <f t="shared" si="2"/>
        <v>0</v>
      </c>
      <c r="W473" s="18"/>
      <c r="X473" s="18"/>
      <c r="Y473" s="18"/>
      <c r="Z473" s="18"/>
      <c r="AA473" s="18"/>
      <c r="AB473" s="18">
        <f t="shared" si="3"/>
        <v>1</v>
      </c>
      <c r="AC473" s="18">
        <f t="shared" si="4"/>
        <v>1</v>
      </c>
      <c r="AD473" s="18">
        <f t="shared" si="5"/>
        <v>1</v>
      </c>
      <c r="AE473" s="18">
        <f t="shared" si="6"/>
        <v>1</v>
      </c>
    </row>
    <row r="474">
      <c r="A474" s="9">
        <f>IF(E474="","", IF('Global Precios'!B475="",0,'Global Precios'!B475))</f>
        <v>0</v>
      </c>
      <c r="B474" s="14" t="str">
        <f>IF('Global Precios'!B475="","",'Global Precios'!B475)</f>
        <v/>
      </c>
      <c r="C474" s="18">
        <f>IF('Global Precios'!A475="","",'Global Precios'!A475)</f>
        <v>503</v>
      </c>
      <c r="D474" s="18"/>
      <c r="E474" s="25" t="str">
        <f>IF('Global Precios'!D475="","",'Global Precios'!D475)</f>
        <v>AGILITY CATS CARNE X 340 GR</v>
      </c>
      <c r="F474" s="18"/>
      <c r="G474" s="25">
        <f>IFERROR(VLOOKUP(C474,'BuscarV Stock'!$A$2:$C$478,3,0),"AAA")</f>
        <v>0</v>
      </c>
      <c r="H474" s="25">
        <f t="shared" si="1"/>
        <v>0.21</v>
      </c>
      <c r="I474" s="30">
        <f>IF('Global Precios'!H475="","",'Global Precios'!H475)</f>
        <v>1764.46281</v>
      </c>
      <c r="J474" s="82">
        <f>IF('Global Precios'!K475="","",'Global Precios'!K475)</f>
        <v>0.3</v>
      </c>
      <c r="K474" s="30">
        <f>IF('Global Precios'!Z475="Desactivado",0,IF('Global Precios'!L475="","",'Global Precios'!L475))</f>
        <v>0</v>
      </c>
      <c r="L474" s="18"/>
      <c r="M474" s="18"/>
      <c r="N474" s="18"/>
      <c r="O474" s="18"/>
      <c r="P474" s="18"/>
      <c r="Q474" s="18"/>
      <c r="R474" s="18" t="str">
        <f>IF('Global Precios'!F475="","",'Global Precios'!F475)</f>
        <v>Alimentos</v>
      </c>
      <c r="S474" s="18"/>
      <c r="T474" s="18" t="str">
        <f>IF('Global Precios'!E475="","",'Global Precios'!E475)</f>
        <v>Agility</v>
      </c>
      <c r="U474" s="18"/>
      <c r="V474" s="18">
        <f t="shared" si="2"/>
        <v>0</v>
      </c>
      <c r="W474" s="18"/>
      <c r="X474" s="18"/>
      <c r="Y474" s="18"/>
      <c r="Z474" s="18"/>
      <c r="AA474" s="18"/>
      <c r="AB474" s="18">
        <f t="shared" si="3"/>
        <v>1</v>
      </c>
      <c r="AC474" s="18">
        <f t="shared" si="4"/>
        <v>1</v>
      </c>
      <c r="AD474" s="18">
        <f t="shared" si="5"/>
        <v>1</v>
      </c>
      <c r="AE474" s="18">
        <f t="shared" si="6"/>
        <v>1</v>
      </c>
    </row>
    <row r="475">
      <c r="A475" s="9">
        <f>IF(E475="","", IF('Global Precios'!B476="",0,'Global Precios'!B476))</f>
        <v>0</v>
      </c>
      <c r="B475" s="14" t="str">
        <f>IF('Global Precios'!B476="","",'Global Precios'!B476)</f>
        <v/>
      </c>
      <c r="C475" s="18">
        <f>IF('Global Precios'!A476="","",'Global Precios'!A476)</f>
        <v>504</v>
      </c>
      <c r="D475" s="18"/>
      <c r="E475" s="25" t="str">
        <f>IF('Global Precios'!D476="","",'Global Precios'!D476)</f>
        <v>7 VIDAS GATOS ADULTOS CARNE Y POLLO X 1 KG</v>
      </c>
      <c r="F475" s="18"/>
      <c r="G475" s="25">
        <f>IFERROR(VLOOKUP(C475,'BuscarV Stock'!$A$2:$C$478,3,0),"AAA")</f>
        <v>0</v>
      </c>
      <c r="H475" s="25">
        <f t="shared" si="1"/>
        <v>0.21</v>
      </c>
      <c r="I475" s="30">
        <f>IF('Global Precios'!H476="","",'Global Precios'!H476)</f>
        <v>848.7603306</v>
      </c>
      <c r="J475" s="82">
        <f>IF('Global Precios'!K476="","",'Global Precios'!K476)</f>
        <v>0.33</v>
      </c>
      <c r="K475" s="30">
        <f>IF('Global Precios'!Z476="Desactivado",0,IF('Global Precios'!L476="","",'Global Precios'!L476))</f>
        <v>0</v>
      </c>
      <c r="L475" s="18"/>
      <c r="M475" s="18"/>
      <c r="N475" s="18"/>
      <c r="O475" s="18"/>
      <c r="P475" s="18"/>
      <c r="Q475" s="18"/>
      <c r="R475" s="18" t="str">
        <f>IF('Global Precios'!F476="","",'Global Precios'!F476)</f>
        <v>Alimentos</v>
      </c>
      <c r="S475" s="18"/>
      <c r="T475" s="18" t="str">
        <f>IF('Global Precios'!E476="","",'Global Precios'!E476)</f>
        <v>7 vidas</v>
      </c>
      <c r="U475" s="18"/>
      <c r="V475" s="18">
        <f t="shared" si="2"/>
        <v>0</v>
      </c>
      <c r="W475" s="18"/>
      <c r="X475" s="18"/>
      <c r="Y475" s="18"/>
      <c r="Z475" s="18"/>
      <c r="AA475" s="18"/>
      <c r="AB475" s="18">
        <f t="shared" si="3"/>
        <v>1</v>
      </c>
      <c r="AC475" s="18">
        <f t="shared" si="4"/>
        <v>1</v>
      </c>
      <c r="AD475" s="18">
        <f t="shared" si="5"/>
        <v>1</v>
      </c>
      <c r="AE475" s="18">
        <f t="shared" si="6"/>
        <v>1</v>
      </c>
    </row>
    <row r="476">
      <c r="A476" s="9">
        <f>IF(E476="","", IF('Global Precios'!B477="",0,'Global Precios'!B477))</f>
        <v>0</v>
      </c>
      <c r="B476" s="14" t="str">
        <f>IF('Global Precios'!B477="","",'Global Precios'!B477)</f>
        <v/>
      </c>
      <c r="C476" s="18">
        <f>IF('Global Precios'!A477="","",'Global Precios'!A477)</f>
        <v>505</v>
      </c>
      <c r="D476" s="18"/>
      <c r="E476" s="25" t="str">
        <f>IF('Global Precios'!D477="","",'Global Precios'!D477)</f>
        <v>7 VIDAD GATOS ADULTOS SALMON X 1 KG</v>
      </c>
      <c r="F476" s="18"/>
      <c r="G476" s="25">
        <f>IFERROR(VLOOKUP(C476,'BuscarV Stock'!$A$2:$C$478,3,0),"AAA")</f>
        <v>0</v>
      </c>
      <c r="H476" s="25">
        <f t="shared" si="1"/>
        <v>0.21</v>
      </c>
      <c r="I476" s="30">
        <f>IF('Global Precios'!H477="","",'Global Precios'!H477)</f>
        <v>848.7603306</v>
      </c>
      <c r="J476" s="82">
        <f>IF('Global Precios'!K477="","",'Global Precios'!K477)</f>
        <v>0.33</v>
      </c>
      <c r="K476" s="30">
        <f>IF('Global Precios'!Z477="Desactivado",0,IF('Global Precios'!L477="","",'Global Precios'!L477))</f>
        <v>0</v>
      </c>
      <c r="L476" s="18"/>
      <c r="M476" s="18"/>
      <c r="N476" s="18"/>
      <c r="O476" s="18"/>
      <c r="P476" s="18"/>
      <c r="Q476" s="18"/>
      <c r="R476" s="18" t="str">
        <f>IF('Global Precios'!F477="","",'Global Precios'!F477)</f>
        <v>Alimentos</v>
      </c>
      <c r="S476" s="18"/>
      <c r="T476" s="18" t="str">
        <f>IF('Global Precios'!E477="","",'Global Precios'!E477)</f>
        <v>7 vidas</v>
      </c>
      <c r="U476" s="18"/>
      <c r="V476" s="18">
        <f t="shared" si="2"/>
        <v>0</v>
      </c>
      <c r="W476" s="18"/>
      <c r="X476" s="18"/>
      <c r="Y476" s="18"/>
      <c r="Z476" s="18"/>
      <c r="AA476" s="18"/>
      <c r="AB476" s="18">
        <f t="shared" si="3"/>
        <v>1</v>
      </c>
      <c r="AC476" s="18">
        <f t="shared" si="4"/>
        <v>1</v>
      </c>
      <c r="AD476" s="18">
        <f t="shared" si="5"/>
        <v>1</v>
      </c>
      <c r="AE476" s="18">
        <f t="shared" si="6"/>
        <v>1</v>
      </c>
    </row>
    <row r="477">
      <c r="A477" s="9">
        <f>IF(E477="","", IF('Global Precios'!B478="",0,'Global Precios'!B478))</f>
        <v>0</v>
      </c>
      <c r="B477" s="14" t="str">
        <f>IF('Global Precios'!B478="","",'Global Precios'!B478)</f>
        <v/>
      </c>
      <c r="C477" s="18">
        <f>IF('Global Precios'!A478="","",'Global Precios'!A478)</f>
        <v>506</v>
      </c>
      <c r="D477" s="18"/>
      <c r="E477" s="25" t="str">
        <f>IF('Global Precios'!D478="","",'Global Precios'!D478)</f>
        <v>LEPTO NOVIBAC X DOSIS</v>
      </c>
      <c r="F477" s="18"/>
      <c r="G477" s="25">
        <f>IFERROR(VLOOKUP(C477,'BuscarV Stock'!$A$2:$C$478,3,0),"AAA")</f>
        <v>0</v>
      </c>
      <c r="H477" s="25">
        <f t="shared" si="1"/>
        <v>0.21</v>
      </c>
      <c r="I477" s="30">
        <f>IF('Global Precios'!H478="","",'Global Precios'!H478)</f>
        <v>3277.68595</v>
      </c>
      <c r="J477" s="82">
        <f>IF('Global Precios'!K478="","",'Global Precios'!K478)</f>
        <v>1.45</v>
      </c>
      <c r="K477" s="30">
        <f>IF('Global Precios'!Z478="Desactivado",0,IF('Global Precios'!L478="","",'Global Precios'!L478))</f>
        <v>9500</v>
      </c>
      <c r="L477" s="18"/>
      <c r="M477" s="18"/>
      <c r="N477" s="18"/>
      <c r="O477" s="18"/>
      <c r="P477" s="18"/>
      <c r="Q477" s="18"/>
      <c r="R477" s="18" t="str">
        <f>IF('Global Precios'!F478="","",'Global Precios'!F478)</f>
        <v>Medicamentos</v>
      </c>
      <c r="S477" s="18"/>
      <c r="T477" s="18" t="str">
        <f>IF('Global Precios'!E478="","",'Global Precios'!E478)</f>
        <v>Msd</v>
      </c>
      <c r="U477" s="18"/>
      <c r="V477" s="18">
        <f t="shared" si="2"/>
        <v>0</v>
      </c>
      <c r="W477" s="18"/>
      <c r="X477" s="18"/>
      <c r="Y477" s="18"/>
      <c r="Z477" s="18"/>
      <c r="AA477" s="18"/>
      <c r="AB477" s="18">
        <f t="shared" si="3"/>
        <v>1</v>
      </c>
      <c r="AC477" s="18">
        <f t="shared" si="4"/>
        <v>1</v>
      </c>
      <c r="AD477" s="18">
        <f t="shared" si="5"/>
        <v>1</v>
      </c>
      <c r="AE477" s="18">
        <f t="shared" si="6"/>
        <v>1</v>
      </c>
    </row>
    <row r="478">
      <c r="A478" s="9">
        <f>IF(E478="","", IF('Global Precios'!B479="",0,'Global Precios'!B479))</f>
        <v>0</v>
      </c>
      <c r="B478" s="14" t="str">
        <f>IF('Global Precios'!B479="","",'Global Precios'!B479)</f>
        <v/>
      </c>
      <c r="C478" s="18">
        <f>IF('Global Precios'!A479="","",'Global Precios'!A479)</f>
        <v>507</v>
      </c>
      <c r="D478" s="18"/>
      <c r="E478" s="25" t="str">
        <f>IF('Global Precios'!D479="","",'Global Precios'!D479)</f>
        <v>JUGUETE SURTIDO X 3</v>
      </c>
      <c r="F478" s="18"/>
      <c r="G478" s="25" t="str">
        <f>IFERROR(VLOOKUP(C478,'BuscarV Stock'!$A$2:$C$478,3,0),"AAA")</f>
        <v>AAA</v>
      </c>
      <c r="H478" s="25">
        <f t="shared" si="1"/>
        <v>0.21</v>
      </c>
      <c r="I478" s="30">
        <f>IF('Global Precios'!H479="","",'Global Precios'!H479)</f>
        <v>2523.140496</v>
      </c>
      <c r="J478" s="82">
        <f>IF('Global Precios'!K479="","",'Global Precios'!K479)</f>
        <v>0.8</v>
      </c>
      <c r="K478" s="30">
        <f>IF('Global Precios'!Z479="Desactivado",0,IF('Global Precios'!L479="","",'Global Precios'!L479))</f>
        <v>5500</v>
      </c>
      <c r="L478" s="18"/>
      <c r="M478" s="18"/>
      <c r="N478" s="18"/>
      <c r="O478" s="18"/>
      <c r="P478" s="18"/>
      <c r="Q478" s="18"/>
      <c r="R478" s="18" t="str">
        <f>IF('Global Precios'!F479="","",'Global Precios'!F479)</f>
        <v>Pet-shop</v>
      </c>
      <c r="S478" s="18"/>
      <c r="T478" s="18" t="str">
        <f>IF('Global Precios'!E479="","",'Global Precios'!E479)</f>
        <v/>
      </c>
      <c r="U478" s="18"/>
      <c r="V478" s="18">
        <f t="shared" si="2"/>
        <v>0</v>
      </c>
      <c r="W478" s="18"/>
      <c r="X478" s="18"/>
      <c r="Y478" s="18"/>
      <c r="Z478" s="18"/>
      <c r="AA478" s="18"/>
      <c r="AB478" s="18">
        <f t="shared" si="3"/>
        <v>1</v>
      </c>
      <c r="AC478" s="18">
        <f t="shared" si="4"/>
        <v>1</v>
      </c>
      <c r="AD478" s="18">
        <f t="shared" si="5"/>
        <v>1</v>
      </c>
      <c r="AE478" s="18">
        <f t="shared" si="6"/>
        <v>1</v>
      </c>
    </row>
    <row r="479">
      <c r="A479" s="9">
        <f>IF(E479="","", IF('Global Precios'!B480="",0,'Global Precios'!B480))</f>
        <v>0</v>
      </c>
      <c r="B479" s="14" t="str">
        <f>IF('Global Precios'!B480="","",'Global Precios'!B480)</f>
        <v/>
      </c>
      <c r="C479" s="18">
        <f>IF('Global Precios'!A480="","",'Global Precios'!A480)</f>
        <v>508</v>
      </c>
      <c r="D479" s="18"/>
      <c r="E479" s="25" t="str">
        <f>IF('Global Precios'!D480="","",'Global Precios'!D480)</f>
        <v>JUGUETE SURTIDO X 2</v>
      </c>
      <c r="F479" s="18"/>
      <c r="G479" s="25" t="str">
        <f>IFERROR(VLOOKUP(C479,'BuscarV Stock'!$A$2:$C$478,3,0),"AAA")</f>
        <v>AAA</v>
      </c>
      <c r="H479" s="25">
        <f t="shared" si="1"/>
        <v>0.21</v>
      </c>
      <c r="I479" s="30">
        <f>IF('Global Precios'!H480="","",'Global Precios'!H480)</f>
        <v>2342.975207</v>
      </c>
      <c r="J479" s="82">
        <f>IF('Global Precios'!K480="","",'Global Precios'!K480)</f>
        <v>0.8</v>
      </c>
      <c r="K479" s="30">
        <f>IF('Global Precios'!Z480="Desactivado",0,IF('Global Precios'!L480="","",'Global Precios'!L480))</f>
        <v>5000</v>
      </c>
      <c r="L479" s="18"/>
      <c r="M479" s="18"/>
      <c r="N479" s="18"/>
      <c r="O479" s="18"/>
      <c r="P479" s="18"/>
      <c r="Q479" s="18"/>
      <c r="R479" s="18" t="str">
        <f>IF('Global Precios'!F480="","",'Global Precios'!F480)</f>
        <v>Pet-shop</v>
      </c>
      <c r="S479" s="18"/>
      <c r="T479" s="18" t="str">
        <f>IF('Global Precios'!E480="","",'Global Precios'!E480)</f>
        <v/>
      </c>
      <c r="U479" s="18"/>
      <c r="V479" s="18">
        <f t="shared" si="2"/>
        <v>0</v>
      </c>
      <c r="W479" s="18"/>
      <c r="X479" s="18"/>
      <c r="Y479" s="18"/>
      <c r="Z479" s="18"/>
      <c r="AA479" s="18"/>
      <c r="AB479" s="18">
        <f t="shared" si="3"/>
        <v>1</v>
      </c>
      <c r="AC479" s="18">
        <f t="shared" si="4"/>
        <v>1</v>
      </c>
      <c r="AD479" s="18">
        <f t="shared" si="5"/>
        <v>1</v>
      </c>
      <c r="AE479" s="18">
        <f t="shared" si="6"/>
        <v>1</v>
      </c>
    </row>
    <row r="480">
      <c r="A480" s="9">
        <f>IF(E480="","", IF('Global Precios'!B481="",0,'Global Precios'!B481))</f>
        <v>0</v>
      </c>
      <c r="B480" s="14" t="str">
        <f>IF('Global Precios'!B481="","",'Global Precios'!B481)</f>
        <v/>
      </c>
      <c r="C480" s="18">
        <f>IF('Global Precios'!A481="","",'Global Precios'!A481)</f>
        <v>509</v>
      </c>
      <c r="D480" s="18"/>
      <c r="E480" s="25" t="str">
        <f>IF('Global Precios'!D481="","",'Global Precios'!D481)</f>
        <v>HUESO GRANDE CON PINCHES</v>
      </c>
      <c r="F480" s="18"/>
      <c r="G480" s="25" t="str">
        <f>IFERROR(VLOOKUP(C480,'BuscarV Stock'!$A$2:$C$478,3,0),"AAA")</f>
        <v>AAA</v>
      </c>
      <c r="H480" s="25">
        <f t="shared" si="1"/>
        <v>0.21</v>
      </c>
      <c r="I480" s="30">
        <f>IF('Global Precios'!H481="","",'Global Precios'!H481)</f>
        <v>1476.859504</v>
      </c>
      <c r="J480" s="82">
        <f>IF('Global Precios'!K481="","",'Global Precios'!K481)</f>
        <v>0.8</v>
      </c>
      <c r="K480" s="30">
        <f>IF('Global Precios'!Z481="Desactivado",0,IF('Global Precios'!L481="","",'Global Precios'!L481))</f>
        <v>3000</v>
      </c>
      <c r="L480" s="18"/>
      <c r="M480" s="18"/>
      <c r="N480" s="18"/>
      <c r="O480" s="18"/>
      <c r="P480" s="18"/>
      <c r="Q480" s="18"/>
      <c r="R480" s="18" t="str">
        <f>IF('Global Precios'!F481="","",'Global Precios'!F481)</f>
        <v>Pet-shop</v>
      </c>
      <c r="S480" s="18"/>
      <c r="T480" s="18" t="str">
        <f>IF('Global Precios'!E481="","",'Global Precios'!E481)</f>
        <v/>
      </c>
      <c r="U480" s="18"/>
      <c r="V480" s="18">
        <f t="shared" si="2"/>
        <v>0</v>
      </c>
      <c r="W480" s="18"/>
      <c r="X480" s="18"/>
      <c r="Y480" s="18"/>
      <c r="Z480" s="18"/>
      <c r="AA480" s="18"/>
      <c r="AB480" s="18">
        <f t="shared" si="3"/>
        <v>1</v>
      </c>
      <c r="AC480" s="18">
        <f t="shared" si="4"/>
        <v>1</v>
      </c>
      <c r="AD480" s="18">
        <f t="shared" si="5"/>
        <v>1</v>
      </c>
      <c r="AE480" s="18">
        <f t="shared" si="6"/>
        <v>1</v>
      </c>
    </row>
    <row r="481">
      <c r="A481" s="9">
        <f>IF(E481="","", IF('Global Precios'!B482="",0,'Global Precios'!B482))</f>
        <v>0</v>
      </c>
      <c r="B481" s="14" t="str">
        <f>IF('Global Precios'!B482="","",'Global Precios'!B482)</f>
        <v/>
      </c>
      <c r="C481" s="18">
        <f>IF('Global Precios'!A482="","",'Global Precios'!A482)</f>
        <v>510</v>
      </c>
      <c r="D481" s="18"/>
      <c r="E481" s="25" t="str">
        <f>IF('Global Precios'!D482="","",'Global Precios'!D482)</f>
        <v>POLLO PARLANTE MEDIANO</v>
      </c>
      <c r="F481" s="18"/>
      <c r="G481" s="25" t="str">
        <f>IFERROR(VLOOKUP(C481,'BuscarV Stock'!$A$2:$C$478,3,0),"AAA")</f>
        <v>AAA</v>
      </c>
      <c r="H481" s="25">
        <f t="shared" si="1"/>
        <v>0.21</v>
      </c>
      <c r="I481" s="30">
        <f>IF('Global Precios'!H482="","",'Global Precios'!H482)</f>
        <v>1857.85124</v>
      </c>
      <c r="J481" s="82">
        <f>IF('Global Precios'!K482="","",'Global Precios'!K482)</f>
        <v>0.8</v>
      </c>
      <c r="K481" s="30">
        <f>IF('Global Precios'!Z482="Desactivado",0,IF('Global Precios'!L482="","",'Global Precios'!L482))</f>
        <v>0</v>
      </c>
      <c r="L481" s="18"/>
      <c r="M481" s="18"/>
      <c r="N481" s="18"/>
      <c r="O481" s="18"/>
      <c r="P481" s="18"/>
      <c r="Q481" s="18"/>
      <c r="R481" s="18" t="str">
        <f>IF('Global Precios'!F482="","",'Global Precios'!F482)</f>
        <v>Pet-shop</v>
      </c>
      <c r="S481" s="18"/>
      <c r="T481" s="18" t="str">
        <f>IF('Global Precios'!E482="","",'Global Precios'!E482)</f>
        <v/>
      </c>
      <c r="U481" s="18"/>
      <c r="V481" s="18">
        <f t="shared" si="2"/>
        <v>0</v>
      </c>
      <c r="W481" s="18"/>
      <c r="X481" s="18"/>
      <c r="Y481" s="18"/>
      <c r="Z481" s="18"/>
      <c r="AA481" s="18"/>
      <c r="AB481" s="18">
        <f t="shared" si="3"/>
        <v>1</v>
      </c>
      <c r="AC481" s="18">
        <f t="shared" si="4"/>
        <v>1</v>
      </c>
      <c r="AD481" s="18">
        <f t="shared" si="5"/>
        <v>1</v>
      </c>
      <c r="AE481" s="18">
        <f t="shared" si="6"/>
        <v>1</v>
      </c>
    </row>
    <row r="482">
      <c r="A482" s="9">
        <f>IF(E482="","", IF('Global Precios'!B483="",0,'Global Precios'!B483))</f>
        <v>0</v>
      </c>
      <c r="B482" s="14" t="str">
        <f>IF('Global Precios'!B483="","",'Global Precios'!B483)</f>
        <v/>
      </c>
      <c r="C482" s="18">
        <f>IF('Global Precios'!A483="","",'Global Precios'!A483)</f>
        <v>512</v>
      </c>
      <c r="D482" s="18"/>
      <c r="E482" s="25" t="str">
        <f>IF('Global Precios'!D483="","",'Global Precios'!D483)</f>
        <v>PLUMAS/RATA MÓVIL CON RESORTE Y VARITA</v>
      </c>
      <c r="F482" s="18"/>
      <c r="G482" s="25" t="str">
        <f>IFERROR(VLOOKUP(C482,'BuscarV Stock'!$A$2:$C$478,3,0),"AAA")</f>
        <v>AAA</v>
      </c>
      <c r="H482" s="25">
        <f t="shared" si="1"/>
        <v>0.21</v>
      </c>
      <c r="I482" s="30">
        <f>IF('Global Precios'!H483="","",'Global Precios'!H483)</f>
        <v>1510.743802</v>
      </c>
      <c r="J482" s="82">
        <f>IF('Global Precios'!K483="","",'Global Precios'!K483)</f>
        <v>0.8</v>
      </c>
      <c r="K482" s="30">
        <f>IF('Global Precios'!Z483="Desactivado",0,IF('Global Precios'!L483="","",'Global Precios'!L483))</f>
        <v>0</v>
      </c>
      <c r="L482" s="18"/>
      <c r="M482" s="18"/>
      <c r="N482" s="18"/>
      <c r="O482" s="18"/>
      <c r="P482" s="18"/>
      <c r="Q482" s="18"/>
      <c r="R482" s="18" t="str">
        <f>IF('Global Precios'!F483="","",'Global Precios'!F483)</f>
        <v>Pet-shop</v>
      </c>
      <c r="S482" s="18"/>
      <c r="T482" s="18" t="str">
        <f>IF('Global Precios'!E483="","",'Global Precios'!E483)</f>
        <v/>
      </c>
      <c r="U482" s="18"/>
      <c r="V482" s="18">
        <f t="shared" si="2"/>
        <v>0</v>
      </c>
      <c r="W482" s="18"/>
      <c r="X482" s="18"/>
      <c r="Y482" s="18"/>
      <c r="Z482" s="18"/>
      <c r="AA482" s="18"/>
      <c r="AB482" s="18">
        <f t="shared" si="3"/>
        <v>1</v>
      </c>
      <c r="AC482" s="18">
        <f t="shared" si="4"/>
        <v>1</v>
      </c>
      <c r="AD482" s="18">
        <f t="shared" si="5"/>
        <v>1</v>
      </c>
      <c r="AE482" s="18">
        <f t="shared" si="6"/>
        <v>1</v>
      </c>
    </row>
    <row r="483">
      <c r="A483" s="9">
        <f>IF(E483="","", IF('Global Precios'!B484="",0,'Global Precios'!B484))</f>
        <v>0</v>
      </c>
      <c r="B483" s="14" t="str">
        <f>IF('Global Precios'!B484="","",'Global Precios'!B484)</f>
        <v/>
      </c>
      <c r="C483" s="18">
        <f>IF('Global Precios'!A484="","",'Global Precios'!A484)</f>
        <v>513</v>
      </c>
      <c r="D483" s="18"/>
      <c r="E483" s="25" t="str">
        <f>IF('Global Precios'!D484="","",'Global Precios'!D484)</f>
        <v>HUESO CAUCHO GRANDE</v>
      </c>
      <c r="F483" s="18"/>
      <c r="G483" s="25" t="str">
        <f>IFERROR(VLOOKUP(C483,'BuscarV Stock'!$A$2:$C$478,3,0),"AAA")</f>
        <v>AAA</v>
      </c>
      <c r="H483" s="25">
        <f t="shared" si="1"/>
        <v>0.21</v>
      </c>
      <c r="I483" s="30">
        <f>IF('Global Precios'!H484="","",'Global Precios'!H484)</f>
        <v>2275.206612</v>
      </c>
      <c r="J483" s="82">
        <f>IF('Global Precios'!K484="","",'Global Precios'!K484)</f>
        <v>0.8</v>
      </c>
      <c r="K483" s="30">
        <f>IF('Global Precios'!Z484="Desactivado",0,IF('Global Precios'!L484="","",'Global Precios'!L484))</f>
        <v>0</v>
      </c>
      <c r="L483" s="18"/>
      <c r="M483" s="18"/>
      <c r="N483" s="18"/>
      <c r="O483" s="18"/>
      <c r="P483" s="18"/>
      <c r="Q483" s="18"/>
      <c r="R483" s="18" t="str">
        <f>IF('Global Precios'!F484="","",'Global Precios'!F484)</f>
        <v>Pet-shop</v>
      </c>
      <c r="S483" s="18"/>
      <c r="T483" s="18" t="str">
        <f>IF('Global Precios'!E484="","",'Global Precios'!E484)</f>
        <v/>
      </c>
      <c r="U483" s="18"/>
      <c r="V483" s="18">
        <f t="shared" si="2"/>
        <v>0</v>
      </c>
      <c r="W483" s="18"/>
      <c r="X483" s="18"/>
      <c r="Y483" s="18"/>
      <c r="Z483" s="18"/>
      <c r="AA483" s="18"/>
      <c r="AB483" s="18">
        <f t="shared" si="3"/>
        <v>1</v>
      </c>
      <c r="AC483" s="18">
        <f t="shared" si="4"/>
        <v>1</v>
      </c>
      <c r="AD483" s="18">
        <f t="shared" si="5"/>
        <v>1</v>
      </c>
      <c r="AE483" s="18">
        <f t="shared" si="6"/>
        <v>1</v>
      </c>
    </row>
    <row r="484">
      <c r="A484" s="9">
        <f>IF(E484="","", IF('Global Precios'!B485="",0,'Global Precios'!B485))</f>
        <v>0</v>
      </c>
      <c r="B484" s="14" t="str">
        <f>IF('Global Precios'!B485="","",'Global Precios'!B485)</f>
        <v/>
      </c>
      <c r="C484" s="18">
        <f>IF('Global Precios'!A485="","",'Global Precios'!A485)</f>
        <v>514</v>
      </c>
      <c r="D484" s="18"/>
      <c r="E484" s="25" t="str">
        <f>IF('Global Precios'!D485="","",'Global Precios'!D485)</f>
        <v>RATA PLUMA CATNIP</v>
      </c>
      <c r="F484" s="18"/>
      <c r="G484" s="25" t="str">
        <f>IFERROR(VLOOKUP(C484,'BuscarV Stock'!$A$2:$C$478,3,0),"AAA")</f>
        <v>AAA</v>
      </c>
      <c r="H484" s="25">
        <f t="shared" si="1"/>
        <v>0.21</v>
      </c>
      <c r="I484" s="30">
        <f>IF('Global Precios'!H485="","",'Global Precios'!H485)</f>
        <v>1606.61157</v>
      </c>
      <c r="J484" s="82">
        <f>IF('Global Precios'!K485="","",'Global Precios'!K485)</f>
        <v>0.8</v>
      </c>
      <c r="K484" s="30">
        <f>IF('Global Precios'!Z485="Desactivado",0,IF('Global Precios'!L485="","",'Global Precios'!L485))</f>
        <v>0</v>
      </c>
      <c r="L484" s="18"/>
      <c r="M484" s="18"/>
      <c r="N484" s="18"/>
      <c r="O484" s="18"/>
      <c r="P484" s="18"/>
      <c r="Q484" s="18"/>
      <c r="R484" s="18" t="str">
        <f>IF('Global Precios'!F485="","",'Global Precios'!F485)</f>
        <v>Pet-shop</v>
      </c>
      <c r="S484" s="18"/>
      <c r="T484" s="18" t="str">
        <f>IF('Global Precios'!E485="","",'Global Precios'!E485)</f>
        <v/>
      </c>
      <c r="U484" s="18"/>
      <c r="V484" s="18">
        <f t="shared" si="2"/>
        <v>0</v>
      </c>
      <c r="W484" s="18"/>
      <c r="X484" s="18"/>
      <c r="Y484" s="18"/>
      <c r="Z484" s="18"/>
      <c r="AA484" s="18"/>
      <c r="AB484" s="18">
        <f t="shared" si="3"/>
        <v>1</v>
      </c>
      <c r="AC484" s="18">
        <f t="shared" si="4"/>
        <v>1</v>
      </c>
      <c r="AD484" s="18">
        <f t="shared" si="5"/>
        <v>1</v>
      </c>
      <c r="AE484" s="18">
        <f t="shared" si="6"/>
        <v>1</v>
      </c>
    </row>
    <row r="485">
      <c r="A485" s="9">
        <f>IF(E485="","", IF('Global Precios'!B486="",0,'Global Precios'!B486))</f>
        <v>0</v>
      </c>
      <c r="B485" s="14" t="str">
        <f>IF('Global Precios'!B486="","",'Global Precios'!B486)</f>
        <v/>
      </c>
      <c r="C485" s="18">
        <f>IF('Global Precios'!A486="","",'Global Precios'!A486)</f>
        <v>515</v>
      </c>
      <c r="D485" s="18"/>
      <c r="E485" s="25" t="str">
        <f>IF('Global Precios'!D486="","",'Global Precios'!D486)</f>
        <v>CONJUNTO PRETAL Y CORREA OSITO</v>
      </c>
      <c r="F485" s="18"/>
      <c r="G485" s="25" t="str">
        <f>IFERROR(VLOOKUP(C485,'BuscarV Stock'!$A$2:$C$478,3,0),"AAA")</f>
        <v>AAA</v>
      </c>
      <c r="H485" s="25">
        <f t="shared" si="1"/>
        <v>0.21</v>
      </c>
      <c r="I485" s="30">
        <f>IF('Global Precios'!H486="","",'Global Precios'!H486)</f>
        <v>4033.057851</v>
      </c>
      <c r="J485" s="82">
        <f>IF('Global Precios'!K486="","",'Global Precios'!K486)</f>
        <v>0.8</v>
      </c>
      <c r="K485" s="30">
        <f>IF('Global Precios'!Z486="Desactivado",0,IF('Global Precios'!L486="","",'Global Precios'!L486))</f>
        <v>0</v>
      </c>
      <c r="L485" s="18"/>
      <c r="M485" s="18"/>
      <c r="N485" s="18"/>
      <c r="O485" s="18"/>
      <c r="P485" s="18"/>
      <c r="Q485" s="18"/>
      <c r="R485" s="18" t="str">
        <f>IF('Global Precios'!F486="","",'Global Precios'!F486)</f>
        <v>Pet-shop</v>
      </c>
      <c r="S485" s="18"/>
      <c r="T485" s="18" t="str">
        <f>IF('Global Precios'!E486="","",'Global Precios'!E486)</f>
        <v/>
      </c>
      <c r="U485" s="18"/>
      <c r="V485" s="18">
        <f t="shared" si="2"/>
        <v>0</v>
      </c>
      <c r="W485" s="18"/>
      <c r="X485" s="18"/>
      <c r="Y485" s="18"/>
      <c r="Z485" s="18"/>
      <c r="AA485" s="18"/>
      <c r="AB485" s="18">
        <f t="shared" si="3"/>
        <v>1</v>
      </c>
      <c r="AC485" s="18">
        <f t="shared" si="4"/>
        <v>1</v>
      </c>
      <c r="AD485" s="18">
        <f t="shared" si="5"/>
        <v>1</v>
      </c>
      <c r="AE485" s="18">
        <f t="shared" si="6"/>
        <v>1</v>
      </c>
    </row>
    <row r="486">
      <c r="A486" s="9">
        <f>IF(E486="","", IF('Global Precios'!B487="",0,'Global Precios'!B487))</f>
        <v>0</v>
      </c>
      <c r="B486" s="14" t="str">
        <f>IF('Global Precios'!B487="","",'Global Precios'!B487)</f>
        <v/>
      </c>
      <c r="C486" s="18">
        <f>IF('Global Precios'!A487="","",'Global Precios'!A487)</f>
        <v>516</v>
      </c>
      <c r="D486" s="18"/>
      <c r="E486" s="25" t="str">
        <f>IF('Global Precios'!D487="","",'Global Precios'!D487)</f>
        <v>ARO CAUCHO MEDIANO</v>
      </c>
      <c r="F486" s="18"/>
      <c r="G486" s="25" t="str">
        <f>IFERROR(VLOOKUP(C486,'BuscarV Stock'!$A$2:$C$478,3,0),"AAA")</f>
        <v>AAA</v>
      </c>
      <c r="H486" s="25">
        <f t="shared" si="1"/>
        <v>0.21</v>
      </c>
      <c r="I486" s="30">
        <f>IF('Global Precios'!H487="","",'Global Precios'!H487)</f>
        <v>1480.165289</v>
      </c>
      <c r="J486" s="82">
        <f>IF('Global Precios'!K487="","",'Global Precios'!K487)</f>
        <v>0.8</v>
      </c>
      <c r="K486" s="30">
        <f>IF('Global Precios'!Z487="Desactivado",0,IF('Global Precios'!L487="","",'Global Precios'!L487))</f>
        <v>0</v>
      </c>
      <c r="L486" s="18"/>
      <c r="M486" s="18"/>
      <c r="N486" s="18"/>
      <c r="O486" s="18"/>
      <c r="P486" s="18"/>
      <c r="Q486" s="18"/>
      <c r="R486" s="18" t="str">
        <f>IF('Global Precios'!F487="","",'Global Precios'!F487)</f>
        <v>Pet-shop</v>
      </c>
      <c r="S486" s="18"/>
      <c r="T486" s="18" t="str">
        <f>IF('Global Precios'!E487="","",'Global Precios'!E487)</f>
        <v/>
      </c>
      <c r="U486" s="18"/>
      <c r="V486" s="18">
        <f t="shared" si="2"/>
        <v>0</v>
      </c>
      <c r="W486" s="18"/>
      <c r="X486" s="18"/>
      <c r="Y486" s="18"/>
      <c r="Z486" s="18"/>
      <c r="AA486" s="18"/>
      <c r="AB486" s="18">
        <f t="shared" si="3"/>
        <v>1</v>
      </c>
      <c r="AC486" s="18">
        <f t="shared" si="4"/>
        <v>1</v>
      </c>
      <c r="AD486" s="18">
        <f t="shared" si="5"/>
        <v>1</v>
      </c>
      <c r="AE486" s="18">
        <f t="shared" si="6"/>
        <v>1</v>
      </c>
    </row>
    <row r="487">
      <c r="A487" s="9">
        <f>IF(E487="","", IF('Global Precios'!B488="",0,'Global Precios'!B488))</f>
        <v>0</v>
      </c>
      <c r="B487" s="14" t="str">
        <f>IF('Global Precios'!B488="","",'Global Precios'!B488)</f>
        <v/>
      </c>
      <c r="C487" s="18">
        <f>IF('Global Precios'!A488="","",'Global Precios'!A488)</f>
        <v>517</v>
      </c>
      <c r="D487" s="18"/>
      <c r="E487" s="25" t="str">
        <f>IF('Global Precios'!D488="","",'Global Precios'!D488)</f>
        <v>PRETAL NYLON TALLE 4</v>
      </c>
      <c r="F487" s="18"/>
      <c r="G487" s="25" t="str">
        <f>IFERROR(VLOOKUP(C487,'BuscarV Stock'!$A$2:$C$478,3,0),"AAA")</f>
        <v>AAA</v>
      </c>
      <c r="H487" s="25">
        <f t="shared" si="1"/>
        <v>0.21</v>
      </c>
      <c r="I487" s="30">
        <f>IF('Global Precios'!H488="","",'Global Precios'!H488)</f>
        <v>1682.644628</v>
      </c>
      <c r="J487" s="82">
        <f>IF('Global Precios'!K488="","",'Global Precios'!K488)</f>
        <v>1</v>
      </c>
      <c r="K487" s="30">
        <f>IF('Global Precios'!Z488="Desactivado",0,IF('Global Precios'!L488="","",'Global Precios'!L488))</f>
        <v>4000</v>
      </c>
      <c r="L487" s="18"/>
      <c r="M487" s="18"/>
      <c r="N487" s="18"/>
      <c r="O487" s="18"/>
      <c r="P487" s="18"/>
      <c r="Q487" s="18"/>
      <c r="R487" s="18" t="str">
        <f>IF('Global Precios'!F488="","",'Global Precios'!F488)</f>
        <v>Pet-shop</v>
      </c>
      <c r="S487" s="18"/>
      <c r="T487" s="18" t="str">
        <f>IF('Global Precios'!E488="","",'Global Precios'!E488)</f>
        <v/>
      </c>
      <c r="U487" s="18"/>
      <c r="V487" s="18">
        <f t="shared" si="2"/>
        <v>0</v>
      </c>
      <c r="W487" s="18"/>
      <c r="X487" s="18"/>
      <c r="Y487" s="18"/>
      <c r="Z487" s="18"/>
      <c r="AA487" s="18"/>
      <c r="AB487" s="18">
        <f t="shared" si="3"/>
        <v>1</v>
      </c>
      <c r="AC487" s="18">
        <f t="shared" si="4"/>
        <v>1</v>
      </c>
      <c r="AD487" s="18">
        <f t="shared" si="5"/>
        <v>1</v>
      </c>
      <c r="AE487" s="18">
        <f t="shared" si="6"/>
        <v>1</v>
      </c>
    </row>
    <row r="488">
      <c r="A488" s="9">
        <f>IF(E488="","", IF('Global Precios'!B489="",0,'Global Precios'!B489))</f>
        <v>0</v>
      </c>
      <c r="B488" s="14" t="str">
        <f>IF('Global Precios'!B489="","",'Global Precios'!B489)</f>
        <v/>
      </c>
      <c r="C488" s="18">
        <f>IF('Global Precios'!A489="","",'Global Precios'!A489)</f>
        <v>518</v>
      </c>
      <c r="D488" s="18"/>
      <c r="E488" s="25" t="str">
        <f>IF('Global Precios'!D489="","",'Global Precios'!D489)</f>
        <v>CONJUNTO NEOPRENO CAMUFLADO XL</v>
      </c>
      <c r="F488" s="18"/>
      <c r="G488" s="25" t="str">
        <f>IFERROR(VLOOKUP(C488,'BuscarV Stock'!$A$2:$C$478,3,0),"AAA")</f>
        <v>AAA</v>
      </c>
      <c r="H488" s="25">
        <f t="shared" si="1"/>
        <v>0.21</v>
      </c>
      <c r="I488" s="30">
        <f>IF('Global Precios'!H489="","",'Global Precios'!H489)</f>
        <v>3779.338843</v>
      </c>
      <c r="J488" s="82">
        <f>IF('Global Precios'!K489="","",'Global Precios'!K489)</f>
        <v>0.8</v>
      </c>
      <c r="K488" s="30">
        <f>IF('Global Precios'!Z489="Desactivado",0,IF('Global Precios'!L489="","",'Global Precios'!L489))</f>
        <v>0</v>
      </c>
      <c r="L488" s="18"/>
      <c r="M488" s="18"/>
      <c r="N488" s="18"/>
      <c r="O488" s="18"/>
      <c r="P488" s="18"/>
      <c r="Q488" s="18"/>
      <c r="R488" s="18" t="str">
        <f>IF('Global Precios'!F489="","",'Global Precios'!F489)</f>
        <v>Pet-shop</v>
      </c>
      <c r="S488" s="18"/>
      <c r="T488" s="18" t="str">
        <f>IF('Global Precios'!E489="","",'Global Precios'!E489)</f>
        <v/>
      </c>
      <c r="U488" s="18"/>
      <c r="V488" s="18">
        <f t="shared" si="2"/>
        <v>0</v>
      </c>
      <c r="W488" s="18"/>
      <c r="X488" s="18"/>
      <c r="Y488" s="18"/>
      <c r="Z488" s="18"/>
      <c r="AA488" s="18"/>
      <c r="AB488" s="18">
        <f t="shared" si="3"/>
        <v>1</v>
      </c>
      <c r="AC488" s="18">
        <f t="shared" si="4"/>
        <v>1</v>
      </c>
      <c r="AD488" s="18">
        <f t="shared" si="5"/>
        <v>1</v>
      </c>
      <c r="AE488" s="18">
        <f t="shared" si="6"/>
        <v>1</v>
      </c>
    </row>
    <row r="489">
      <c r="A489" s="9">
        <f>IF(E489="","", IF('Global Precios'!B490="",0,'Global Precios'!B490))</f>
        <v>0</v>
      </c>
      <c r="B489" s="14" t="str">
        <f>IF('Global Precios'!B490="","",'Global Precios'!B490)</f>
        <v/>
      </c>
      <c r="C489" s="18">
        <f>IF('Global Precios'!A490="","",'Global Precios'!A490)</f>
        <v>519</v>
      </c>
      <c r="D489" s="18"/>
      <c r="E489" s="25" t="str">
        <f>IF('Global Precios'!D490="","",'Global Precios'!D490)</f>
        <v>CAMISETA ARGENTINA TALLE 3</v>
      </c>
      <c r="F489" s="18"/>
      <c r="G489" s="25" t="str">
        <f>IFERROR(VLOOKUP(C489,'BuscarV Stock'!$A$2:$C$478,3,0),"AAA")</f>
        <v>AAA</v>
      </c>
      <c r="H489" s="25">
        <f t="shared" si="1"/>
        <v>0.21</v>
      </c>
      <c r="I489" s="30">
        <f>IF('Global Precios'!H490="","",'Global Precios'!H490)</f>
        <v>1786.77686</v>
      </c>
      <c r="J489" s="82">
        <f>IF('Global Precios'!K490="","",'Global Precios'!K490)</f>
        <v>0.7</v>
      </c>
      <c r="K489" s="30">
        <f>IF('Global Precios'!Z490="Desactivado",0,IF('Global Precios'!L490="","",'Global Precios'!L490))</f>
        <v>0</v>
      </c>
      <c r="L489" s="18"/>
      <c r="M489" s="18"/>
      <c r="N489" s="18"/>
      <c r="O489" s="18"/>
      <c r="P489" s="18"/>
      <c r="Q489" s="18"/>
      <c r="R489" s="18" t="str">
        <f>IF('Global Precios'!F490="","",'Global Precios'!F490)</f>
        <v>Pet-shop</v>
      </c>
      <c r="S489" s="18"/>
      <c r="T489" s="18" t="str">
        <f>IF('Global Precios'!E490="","",'Global Precios'!E490)</f>
        <v/>
      </c>
      <c r="U489" s="18"/>
      <c r="V489" s="18">
        <f t="shared" si="2"/>
        <v>0</v>
      </c>
      <c r="W489" s="18"/>
      <c r="X489" s="18"/>
      <c r="Y489" s="18"/>
      <c r="Z489" s="18"/>
      <c r="AA489" s="18"/>
      <c r="AB489" s="18">
        <f t="shared" si="3"/>
        <v>1</v>
      </c>
      <c r="AC489" s="18">
        <f t="shared" si="4"/>
        <v>1</v>
      </c>
      <c r="AD489" s="18">
        <f t="shared" si="5"/>
        <v>1</v>
      </c>
      <c r="AE489" s="18">
        <f t="shared" si="6"/>
        <v>1</v>
      </c>
    </row>
    <row r="490">
      <c r="A490" s="9">
        <f>IF(E490="","", IF('Global Precios'!B491="",0,'Global Precios'!B491))</f>
        <v>0</v>
      </c>
      <c r="B490" s="14" t="str">
        <f>IF('Global Precios'!B491="","",'Global Precios'!B491)</f>
        <v/>
      </c>
      <c r="C490" s="18">
        <f>IF('Global Precios'!A491="","",'Global Precios'!A491)</f>
        <v>520</v>
      </c>
      <c r="D490" s="18"/>
      <c r="E490" s="25" t="str">
        <f>IF('Global Precios'!D491="","",'Global Precios'!D491)</f>
        <v>COLOTRIN +HA CAT POMO X 80 GRS (PALATABLE)</v>
      </c>
      <c r="F490" s="18"/>
      <c r="G490" s="25" t="str">
        <f>IFERROR(VLOOKUP(C490,'BuscarV Stock'!$A$2:$C$478,3,0),"AAA")</f>
        <v>AAA</v>
      </c>
      <c r="H490" s="25">
        <f t="shared" si="1"/>
        <v>0.21</v>
      </c>
      <c r="I490" s="30">
        <f>IF('Global Precios'!H491="","",'Global Precios'!H491)</f>
        <v>7200</v>
      </c>
      <c r="J490" s="82">
        <f>IF('Global Precios'!K491="","",'Global Precios'!K491)</f>
        <v>0.6</v>
      </c>
      <c r="K490" s="30">
        <f>IF('Global Precios'!Z491="Desactivado",0,IF('Global Precios'!L491="","",'Global Precios'!L491))</f>
        <v>14000</v>
      </c>
      <c r="L490" s="18"/>
      <c r="M490" s="18"/>
      <c r="N490" s="18"/>
      <c r="O490" s="18"/>
      <c r="P490" s="18"/>
      <c r="Q490" s="18"/>
      <c r="R490" s="18" t="str">
        <f>IF('Global Precios'!F491="","",'Global Precios'!F491)</f>
        <v>Medicamentos</v>
      </c>
      <c r="S490" s="18"/>
      <c r="T490" s="18" t="str">
        <f>IF('Global Precios'!E491="","",'Global Precios'!E491)</f>
        <v>John Martin</v>
      </c>
      <c r="U490" s="18"/>
      <c r="V490" s="18">
        <f t="shared" si="2"/>
        <v>0</v>
      </c>
      <c r="W490" s="18"/>
      <c r="X490" s="18"/>
      <c r="Y490" s="18"/>
      <c r="Z490" s="18"/>
      <c r="AA490" s="18"/>
      <c r="AB490" s="18">
        <f t="shared" si="3"/>
        <v>1</v>
      </c>
      <c r="AC490" s="18">
        <f t="shared" si="4"/>
        <v>1</v>
      </c>
      <c r="AD490" s="18">
        <f t="shared" si="5"/>
        <v>1</v>
      </c>
      <c r="AE490" s="18">
        <f t="shared" si="6"/>
        <v>1</v>
      </c>
    </row>
    <row r="491">
      <c r="A491" s="9">
        <f>IF(E491="","", IF('Global Precios'!B492="",0,'Global Precios'!B492))</f>
        <v>0</v>
      </c>
      <c r="B491" s="14" t="str">
        <f>IF('Global Precios'!B492="","",'Global Precios'!B492)</f>
        <v/>
      </c>
      <c r="C491" s="18">
        <f>IF('Global Precios'!A492="","",'Global Precios'!A492)</f>
        <v>521</v>
      </c>
      <c r="D491" s="18"/>
      <c r="E491" s="25" t="str">
        <f>IF('Global Precios'!D492="","",'Global Precios'!D492)</f>
        <v>LONA REPUESTO CATRE GRANDE</v>
      </c>
      <c r="F491" s="18"/>
      <c r="G491" s="25" t="str">
        <f>IFERROR(VLOOKUP(C491,'BuscarV Stock'!$A$2:$C$478,3,0),"AAA")</f>
        <v>AAA</v>
      </c>
      <c r="H491" s="25">
        <f t="shared" si="1"/>
        <v>0.21</v>
      </c>
      <c r="I491" s="30">
        <f>IF('Global Precios'!H492="","",'Global Precios'!H492)</f>
        <v>3055.371901</v>
      </c>
      <c r="J491" s="82">
        <f>IF('Global Precios'!K492="","",'Global Precios'!K492)</f>
        <v>0.7</v>
      </c>
      <c r="K491" s="30">
        <f>IF('Global Precios'!Z492="Desactivado",0,IF('Global Precios'!L492="","",'Global Precios'!L492))</f>
        <v>0</v>
      </c>
      <c r="L491" s="18"/>
      <c r="M491" s="18"/>
      <c r="N491" s="18"/>
      <c r="O491" s="18"/>
      <c r="P491" s="18"/>
      <c r="Q491" s="18"/>
      <c r="R491" s="18" t="str">
        <f>IF('Global Precios'!F492="","",'Global Precios'!F492)</f>
        <v>Pet-shop</v>
      </c>
      <c r="S491" s="18"/>
      <c r="T491" s="18" t="str">
        <f>IF('Global Precios'!E492="","",'Global Precios'!E492)</f>
        <v/>
      </c>
      <c r="U491" s="18"/>
      <c r="V491" s="18">
        <f t="shared" si="2"/>
        <v>0</v>
      </c>
      <c r="W491" s="18"/>
      <c r="X491" s="18"/>
      <c r="Y491" s="18"/>
      <c r="Z491" s="18"/>
      <c r="AA491" s="18"/>
      <c r="AB491" s="18">
        <f t="shared" si="3"/>
        <v>1</v>
      </c>
      <c r="AC491" s="18">
        <f t="shared" si="4"/>
        <v>1</v>
      </c>
      <c r="AD491" s="18">
        <f t="shared" si="5"/>
        <v>1</v>
      </c>
      <c r="AE491" s="18">
        <f t="shared" si="6"/>
        <v>1</v>
      </c>
    </row>
    <row r="492">
      <c r="A492" s="9">
        <f>IF(E492="","", IF('Global Precios'!B493="",0,'Global Precios'!B493))</f>
        <v>0</v>
      </c>
      <c r="B492" s="14" t="str">
        <f>IF('Global Precios'!B493="","",'Global Precios'!B493)</f>
        <v/>
      </c>
      <c r="C492" s="18">
        <f>IF('Global Precios'!A493="","",'Global Precios'!A493)</f>
        <v>522</v>
      </c>
      <c r="D492" s="18"/>
      <c r="E492" s="25" t="str">
        <f>IF('Global Precios'!D493="","",'Global Precios'!D493)</f>
        <v>FRONTLINE SPOT ON GATOS</v>
      </c>
      <c r="F492" s="18"/>
      <c r="G492" s="25" t="str">
        <f>IFERROR(VLOOKUP(C492,'BuscarV Stock'!$A$2:$C$478,3,0),"AAA")</f>
        <v>AAA</v>
      </c>
      <c r="H492" s="25">
        <f t="shared" si="1"/>
        <v>0.21</v>
      </c>
      <c r="I492" s="30">
        <f>IF('Global Precios'!H493="","",'Global Precios'!H493)</f>
        <v>2975.206612</v>
      </c>
      <c r="J492" s="82">
        <f>IF('Global Precios'!K493="","",'Global Precios'!K493)</f>
        <v>0.8</v>
      </c>
      <c r="K492" s="30">
        <f>IF('Global Precios'!Z493="Desactivado",0,IF('Global Precios'!L493="","",'Global Precios'!L493))</f>
        <v>6500</v>
      </c>
      <c r="L492" s="18"/>
      <c r="M492" s="18"/>
      <c r="N492" s="18"/>
      <c r="O492" s="18"/>
      <c r="P492" s="18"/>
      <c r="Q492" s="18"/>
      <c r="R492" s="18" t="str">
        <f>IF('Global Precios'!F493="","",'Global Precios'!F493)</f>
        <v>Medicamentos</v>
      </c>
      <c r="S492" s="18"/>
      <c r="T492" s="18" t="str">
        <f>IF('Global Precios'!E493="","",'Global Precios'!E493)</f>
        <v>Boehringer pequeños</v>
      </c>
      <c r="U492" s="18"/>
      <c r="V492" s="18">
        <f t="shared" si="2"/>
        <v>0</v>
      </c>
      <c r="W492" s="18"/>
      <c r="X492" s="18"/>
      <c r="Y492" s="18"/>
      <c r="Z492" s="18"/>
      <c r="AA492" s="18"/>
      <c r="AB492" s="18">
        <f t="shared" si="3"/>
        <v>1</v>
      </c>
      <c r="AC492" s="18">
        <f t="shared" si="4"/>
        <v>1</v>
      </c>
      <c r="AD492" s="18">
        <f t="shared" si="5"/>
        <v>1</v>
      </c>
      <c r="AE492" s="18">
        <f t="shared" si="6"/>
        <v>1</v>
      </c>
    </row>
    <row r="493">
      <c r="A493" s="9">
        <f>IF(E493="","", IF('Global Precios'!B494="",0,'Global Precios'!B494))</f>
        <v>0</v>
      </c>
      <c r="B493" s="14" t="str">
        <f>IF('Global Precios'!B494="","",'Global Precios'!B494)</f>
        <v/>
      </c>
      <c r="C493" s="18" t="str">
        <f>IF('Global Precios'!A494="","",'Global Precios'!A494)</f>
        <v>523</v>
      </c>
      <c r="D493" s="18"/>
      <c r="E493" s="25" t="str">
        <f>IF('Global Precios'!D494="","",'Global Precios'!D494)</f>
        <v>RP ALIMENTO MEDICADO GATO X 2 KG</v>
      </c>
      <c r="F493" s="18"/>
      <c r="G493" s="25" t="str">
        <f>IFERROR(VLOOKUP(C493,'BuscarV Stock'!$A$2:$C$478,3,0),"AAA")</f>
        <v>AAA</v>
      </c>
      <c r="H493" s="25">
        <f t="shared" si="1"/>
        <v>0.21</v>
      </c>
      <c r="I493" s="30">
        <f>IF('Global Precios'!H494="","",'Global Precios'!H494)</f>
        <v>9421.487603</v>
      </c>
      <c r="J493" s="82">
        <f>IF('Global Precios'!K494="","",'Global Precios'!K494)</f>
        <v>0.37</v>
      </c>
      <c r="K493" s="30">
        <f>IF('Global Precios'!Z494="Desactivado",0,IF('Global Precios'!L494="","",'Global Precios'!L494))</f>
        <v>16000</v>
      </c>
      <c r="L493" s="18"/>
      <c r="M493" s="18"/>
      <c r="N493" s="18"/>
      <c r="O493" s="18"/>
      <c r="P493" s="18"/>
      <c r="Q493" s="18"/>
      <c r="R493" s="18" t="str">
        <f>IF('Global Precios'!F494="","",'Global Precios'!F494)</f>
        <v>Alimentos</v>
      </c>
      <c r="S493" s="18"/>
      <c r="T493" s="18" t="str">
        <f>IF('Global Precios'!E494="","",'Global Precios'!E494)</f>
        <v>Janvier</v>
      </c>
      <c r="U493" s="18"/>
      <c r="V493" s="18">
        <f t="shared" si="2"/>
        <v>0</v>
      </c>
      <c r="W493" s="18"/>
      <c r="X493" s="18"/>
      <c r="Y493" s="18"/>
      <c r="Z493" s="18"/>
      <c r="AA493" s="18"/>
      <c r="AB493" s="18">
        <f t="shared" si="3"/>
        <v>1</v>
      </c>
      <c r="AC493" s="18">
        <f t="shared" si="4"/>
        <v>1</v>
      </c>
      <c r="AD493" s="18">
        <f t="shared" si="5"/>
        <v>1</v>
      </c>
      <c r="AE493" s="18">
        <f t="shared" si="6"/>
        <v>1</v>
      </c>
    </row>
    <row r="494">
      <c r="A494" s="9">
        <f>IF(E494="","", IF('Global Precios'!B495="",0,'Global Precios'!B495))</f>
        <v>0</v>
      </c>
      <c r="B494" s="14" t="str">
        <f>IF('Global Precios'!B495="","",'Global Precios'!B495)</f>
        <v/>
      </c>
      <c r="C494" s="18" t="str">
        <f>IF('Global Precios'!A495="","",'Global Precios'!A495)</f>
        <v>524</v>
      </c>
      <c r="D494" s="18"/>
      <c r="E494" s="25" t="str">
        <f>IF('Global Precios'!D495="","",'Global Precios'!D495)</f>
        <v>RP ALIMENTO MEDICADO PERRO X 2 KG</v>
      </c>
      <c r="F494" s="18"/>
      <c r="G494" s="25" t="str">
        <f>IFERROR(VLOOKUP(C494,'BuscarV Stock'!$A$2:$C$478,3,0),"AAA")</f>
        <v>AAA</v>
      </c>
      <c r="H494" s="25">
        <f t="shared" si="1"/>
        <v>0.21</v>
      </c>
      <c r="I494" s="30">
        <f>IF('Global Precios'!H495="","",'Global Precios'!H495)</f>
        <v>8842.975207</v>
      </c>
      <c r="J494" s="82">
        <f>IF('Global Precios'!K495="","",'Global Precios'!K495)</f>
        <v>0.37</v>
      </c>
      <c r="K494" s="30">
        <f>IF('Global Precios'!Z495="Desactivado",0,IF('Global Precios'!L495="","",'Global Precios'!L495))</f>
        <v>15000</v>
      </c>
      <c r="L494" s="18"/>
      <c r="M494" s="18"/>
      <c r="N494" s="18"/>
      <c r="O494" s="18"/>
      <c r="P494" s="18"/>
      <c r="Q494" s="18"/>
      <c r="R494" s="18" t="str">
        <f>IF('Global Precios'!F495="","",'Global Precios'!F495)</f>
        <v>Alimentos</v>
      </c>
      <c r="S494" s="18"/>
      <c r="T494" s="18" t="str">
        <f>IF('Global Precios'!E495="","",'Global Precios'!E495)</f>
        <v>Janvier</v>
      </c>
      <c r="U494" s="18"/>
      <c r="V494" s="18">
        <f t="shared" si="2"/>
        <v>0</v>
      </c>
      <c r="W494" s="18"/>
      <c r="X494" s="18"/>
      <c r="Y494" s="18"/>
      <c r="Z494" s="18"/>
      <c r="AA494" s="18"/>
      <c r="AB494" s="18">
        <f t="shared" si="3"/>
        <v>1</v>
      </c>
      <c r="AC494" s="18">
        <f t="shared" si="4"/>
        <v>1</v>
      </c>
      <c r="AD494" s="18">
        <f t="shared" si="5"/>
        <v>1</v>
      </c>
      <c r="AE494" s="18">
        <f t="shared" si="6"/>
        <v>1</v>
      </c>
    </row>
    <row r="495">
      <c r="A495" s="9">
        <f>IF(E495="","", IF('Global Precios'!B496="",0,'Global Precios'!B496))</f>
        <v>0</v>
      </c>
      <c r="B495" s="14" t="str">
        <f>IF('Global Precios'!B496="","",'Global Precios'!B496)</f>
        <v/>
      </c>
      <c r="C495" s="18" t="str">
        <f>IF('Global Precios'!A496="","",'Global Precios'!A496)</f>
        <v>525</v>
      </c>
      <c r="D495" s="18"/>
      <c r="E495" s="25" t="str">
        <f>IF('Global Precios'!D496="","",'Global Precios'!D496)</f>
        <v>CREDELIO 225 MG(5,5-11KG) X 1 COMPRIMIDO</v>
      </c>
      <c r="F495" s="18"/>
      <c r="G495" s="25" t="str">
        <f>IFERROR(VLOOKUP(C495,'BuscarV Stock'!$A$2:$C$478,3,0),"AAA")</f>
        <v>AAA</v>
      </c>
      <c r="H495" s="25">
        <f t="shared" si="1"/>
        <v>0.21</v>
      </c>
      <c r="I495" s="30">
        <f>IF('Global Precios'!H496="","",'Global Precios'!H496)</f>
        <v>7438.016529</v>
      </c>
      <c r="J495" s="82">
        <f>IF('Global Precios'!K496="","",'Global Precios'!K496)</f>
        <v>0.8</v>
      </c>
      <c r="K495" s="30">
        <f>IF('Global Precios'!Z496="Desactivado",0,IF('Global Precios'!L496="","",'Global Precios'!L496))</f>
        <v>16200</v>
      </c>
      <c r="L495" s="18"/>
      <c r="M495" s="18"/>
      <c r="N495" s="18"/>
      <c r="O495" s="18"/>
      <c r="P495" s="18"/>
      <c r="Q495" s="18"/>
      <c r="R495" s="18" t="str">
        <f>IF('Global Precios'!F496="","",'Global Precios'!F496)</f>
        <v>Medicamentos</v>
      </c>
      <c r="S495" s="18"/>
      <c r="T495" s="18" t="str">
        <f>IF('Global Precios'!E496="","",'Global Precios'!E496)</f>
        <v>Elanco-Bayer</v>
      </c>
      <c r="U495" s="18"/>
      <c r="V495" s="18">
        <f t="shared" si="2"/>
        <v>0</v>
      </c>
      <c r="W495" s="18"/>
      <c r="X495" s="18"/>
      <c r="Y495" s="18"/>
      <c r="Z495" s="18"/>
      <c r="AA495" s="18"/>
      <c r="AB495" s="18">
        <f t="shared" si="3"/>
        <v>1</v>
      </c>
      <c r="AC495" s="18">
        <f t="shared" si="4"/>
        <v>1</v>
      </c>
      <c r="AD495" s="18">
        <f t="shared" si="5"/>
        <v>1</v>
      </c>
      <c r="AE495" s="18">
        <f t="shared" si="6"/>
        <v>1</v>
      </c>
    </row>
    <row r="496">
      <c r="A496" s="9">
        <f>IF(E496="","", IF('Global Precios'!B497="",0,'Global Precios'!B497))</f>
        <v>0</v>
      </c>
      <c r="B496" s="14" t="str">
        <f>IF('Global Precios'!B497="","",'Global Precios'!B497)</f>
        <v/>
      </c>
      <c r="C496" s="18" t="str">
        <f>IF('Global Precios'!A497="","",'Global Precios'!A497)</f>
        <v>526</v>
      </c>
      <c r="D496" s="18"/>
      <c r="E496" s="25" t="str">
        <f>IF('Global Precios'!D497="","",'Global Precios'!D497)</f>
        <v>CREDELIO 450 MG(11-22KG) X 1 COMPRIMIDO</v>
      </c>
      <c r="F496" s="18"/>
      <c r="G496" s="25" t="str">
        <f>IFERROR(VLOOKUP(C496,'BuscarV Stock'!$A$2:$C$478,3,0),"AAA")</f>
        <v>AAA</v>
      </c>
      <c r="H496" s="25">
        <f t="shared" si="1"/>
        <v>0.21</v>
      </c>
      <c r="I496" s="30">
        <f>IF('Global Precios'!H497="","",'Global Precios'!H497)</f>
        <v>10743.80165</v>
      </c>
      <c r="J496" s="82">
        <f>IF('Global Precios'!K497="","",'Global Precios'!K497)</f>
        <v>0.8</v>
      </c>
      <c r="K496" s="30">
        <f>IF('Global Precios'!Z497="Desactivado",0,IF('Global Precios'!L497="","",'Global Precios'!L497))</f>
        <v>23400</v>
      </c>
      <c r="L496" s="18"/>
      <c r="M496" s="18"/>
      <c r="N496" s="18"/>
      <c r="O496" s="18"/>
      <c r="P496" s="18"/>
      <c r="Q496" s="18"/>
      <c r="R496" s="18" t="str">
        <f>IF('Global Precios'!F497="","",'Global Precios'!F497)</f>
        <v>Medicamentos</v>
      </c>
      <c r="S496" s="18"/>
      <c r="T496" s="18" t="str">
        <f>IF('Global Precios'!E497="","",'Global Precios'!E497)</f>
        <v>Elanco-Bayer</v>
      </c>
      <c r="U496" s="18"/>
      <c r="V496" s="18">
        <f t="shared" si="2"/>
        <v>0</v>
      </c>
      <c r="W496" s="18"/>
      <c r="X496" s="18"/>
      <c r="Y496" s="18"/>
      <c r="Z496" s="18"/>
      <c r="AA496" s="18"/>
      <c r="AB496" s="18">
        <f t="shared" si="3"/>
        <v>1</v>
      </c>
      <c r="AC496" s="18">
        <f t="shared" si="4"/>
        <v>1</v>
      </c>
      <c r="AD496" s="18">
        <f t="shared" si="5"/>
        <v>1</v>
      </c>
      <c r="AE496" s="18">
        <f t="shared" si="6"/>
        <v>1</v>
      </c>
    </row>
    <row r="497">
      <c r="A497" s="9">
        <f>IF(E497="","", IF('Global Precios'!B498="",0,'Global Precios'!B498))</f>
        <v>0</v>
      </c>
      <c r="B497" s="14" t="str">
        <f>IF('Global Precios'!B498="","",'Global Precios'!B498)</f>
        <v/>
      </c>
      <c r="C497" s="18" t="str">
        <f>IF('Global Precios'!A498="","",'Global Precios'!A498)</f>
        <v>527</v>
      </c>
      <c r="D497" s="18"/>
      <c r="E497" s="25" t="str">
        <f>IF('Global Precios'!D498="","",'Global Precios'!D498)</f>
        <v>CREDELIO 900 MG(22-45KG) X 1 COMPRIMIDO</v>
      </c>
      <c r="F497" s="18"/>
      <c r="G497" s="25" t="str">
        <f>IFERROR(VLOOKUP(C497,'BuscarV Stock'!$A$2:$C$478,3,0),"AAA")</f>
        <v>AAA</v>
      </c>
      <c r="H497" s="25">
        <f t="shared" si="1"/>
        <v>0.21</v>
      </c>
      <c r="I497" s="30">
        <f>IF('Global Precios'!H498="","",'Global Precios'!H498)</f>
        <v>12396.69421</v>
      </c>
      <c r="J497" s="82">
        <f>IF('Global Precios'!K498="","",'Global Precios'!K498)</f>
        <v>0.8</v>
      </c>
      <c r="K497" s="30">
        <f>IF('Global Precios'!Z498="Desactivado",0,IF('Global Precios'!L498="","",'Global Precios'!L498))</f>
        <v>27000</v>
      </c>
      <c r="L497" s="18"/>
      <c r="M497" s="18"/>
      <c r="N497" s="18"/>
      <c r="O497" s="18"/>
      <c r="P497" s="18"/>
      <c r="Q497" s="18"/>
      <c r="R497" s="18" t="str">
        <f>IF('Global Precios'!F498="","",'Global Precios'!F498)</f>
        <v>Medicamentos</v>
      </c>
      <c r="S497" s="18"/>
      <c r="T497" s="18" t="str">
        <f>IF('Global Precios'!E498="","",'Global Precios'!E498)</f>
        <v>Elanco-Bayer</v>
      </c>
      <c r="U497" s="18"/>
      <c r="V497" s="18">
        <f t="shared" si="2"/>
        <v>0</v>
      </c>
      <c r="W497" s="18"/>
      <c r="X497" s="18"/>
      <c r="Y497" s="18"/>
      <c r="Z497" s="18"/>
      <c r="AA497" s="18"/>
      <c r="AB497" s="18">
        <f t="shared" si="3"/>
        <v>1</v>
      </c>
      <c r="AC497" s="18">
        <f t="shared" si="4"/>
        <v>1</v>
      </c>
      <c r="AD497" s="18">
        <f t="shared" si="5"/>
        <v>1</v>
      </c>
      <c r="AE497" s="18">
        <f t="shared" si="6"/>
        <v>1</v>
      </c>
    </row>
    <row r="498">
      <c r="A498" s="9">
        <f>IF(E498="","", IF('Global Precios'!B499="",0,'Global Precios'!B499))</f>
        <v>0</v>
      </c>
      <c r="B498" s="14" t="str">
        <f>IF('Global Precios'!B499="","",'Global Precios'!B499)</f>
        <v/>
      </c>
      <c r="C498" s="18" t="str">
        <f>IF('Global Precios'!A499="","",'Global Precios'!A499)</f>
        <v>528</v>
      </c>
      <c r="D498" s="18"/>
      <c r="E498" s="25" t="str">
        <f>IF('Global Precios'!D499="","",'Global Precios'!D499)</f>
        <v>CREDELIO 112 MG(2,5-5,5KG) X 1 COMPRIMIDO</v>
      </c>
      <c r="F498" s="18"/>
      <c r="G498" s="25" t="str">
        <f>IFERROR(VLOOKUP(C498,'BuscarV Stock'!$A$2:$C$478,3,0),"AAA")</f>
        <v>AAA</v>
      </c>
      <c r="H498" s="25">
        <f t="shared" si="1"/>
        <v>0.21</v>
      </c>
      <c r="I498" s="30">
        <f>IF('Global Precios'!H499="","",'Global Precios'!H499)</f>
        <v>6859.504132</v>
      </c>
      <c r="J498" s="82">
        <f>IF('Global Precios'!K499="","",'Global Precios'!K499)</f>
        <v>0.8</v>
      </c>
      <c r="K498" s="30">
        <f>IF('Global Precios'!Z499="Desactivado",0,IF('Global Precios'!L499="","",'Global Precios'!L499))</f>
        <v>14900</v>
      </c>
      <c r="L498" s="18"/>
      <c r="M498" s="18"/>
      <c r="N498" s="18"/>
      <c r="O498" s="18"/>
      <c r="P498" s="18"/>
      <c r="Q498" s="18"/>
      <c r="R498" s="18" t="str">
        <f>IF('Global Precios'!F499="","",'Global Precios'!F499)</f>
        <v>Medicamentos</v>
      </c>
      <c r="S498" s="18"/>
      <c r="T498" s="18" t="str">
        <f>IF('Global Precios'!E499="","",'Global Precios'!E499)</f>
        <v>Elanco-Bayer</v>
      </c>
      <c r="U498" s="18"/>
      <c r="V498" s="18">
        <f t="shared" si="2"/>
        <v>0</v>
      </c>
      <c r="W498" s="18"/>
      <c r="X498" s="18"/>
      <c r="Y498" s="18"/>
      <c r="Z498" s="18"/>
      <c r="AA498" s="18"/>
      <c r="AB498" s="18">
        <f t="shared" si="3"/>
        <v>1</v>
      </c>
      <c r="AC498" s="18">
        <f t="shared" si="4"/>
        <v>1</v>
      </c>
      <c r="AD498" s="18">
        <f t="shared" si="5"/>
        <v>1</v>
      </c>
      <c r="AE498" s="18">
        <f t="shared" si="6"/>
        <v>1</v>
      </c>
    </row>
    <row r="499">
      <c r="A499" s="9">
        <f>IF(E499="","", IF('Global Precios'!B500="",0,'Global Precios'!B500))</f>
        <v>0</v>
      </c>
      <c r="B499" s="14" t="str">
        <f>IF('Global Precios'!B500="","",'Global Precios'!B500)</f>
        <v/>
      </c>
      <c r="C499" s="18" t="str">
        <f>IF('Global Precios'!A500="","",'Global Precios'!A500)</f>
        <v>529</v>
      </c>
      <c r="D499" s="18"/>
      <c r="E499" s="25" t="str">
        <f>IF('Global Precios'!D500="","",'Global Precios'!D500)</f>
        <v>COLCHONETA CUERINA DOBLE 60X80</v>
      </c>
      <c r="F499" s="18"/>
      <c r="G499" s="25" t="str">
        <f>IFERROR(VLOOKUP(C499,'BuscarV Stock'!$A$2:$C$478,3,0),"AAA")</f>
        <v>AAA</v>
      </c>
      <c r="H499" s="25">
        <f t="shared" si="1"/>
        <v>0.21</v>
      </c>
      <c r="I499" s="30">
        <f>IF('Global Precios'!H500="","",'Global Precios'!H500)</f>
        <v>11949.58678</v>
      </c>
      <c r="J499" s="82">
        <f>IF('Global Precios'!K500="","",'Global Precios'!K500)</f>
        <v>0.6</v>
      </c>
      <c r="K499" s="30">
        <f>IF('Global Precios'!Z500="Desactivado",0,IF('Global Precios'!L500="","",'Global Precios'!L500))</f>
        <v>23000</v>
      </c>
      <c r="L499" s="18"/>
      <c r="M499" s="18"/>
      <c r="N499" s="18"/>
      <c r="O499" s="18"/>
      <c r="P499" s="18"/>
      <c r="Q499" s="18"/>
      <c r="R499" s="18" t="str">
        <f>IF('Global Precios'!F500="","",'Global Precios'!F500)</f>
        <v>Pet-shop</v>
      </c>
      <c r="S499" s="18"/>
      <c r="T499" s="18" t="str">
        <f>IF('Global Precios'!E500="","",'Global Precios'!E500)</f>
        <v/>
      </c>
      <c r="U499" s="18"/>
      <c r="V499" s="18">
        <f t="shared" si="2"/>
        <v>0</v>
      </c>
      <c r="W499" s="18"/>
      <c r="X499" s="18"/>
      <c r="Y499" s="18"/>
      <c r="Z499" s="18"/>
      <c r="AA499" s="18"/>
      <c r="AB499" s="18">
        <f t="shared" si="3"/>
        <v>1</v>
      </c>
      <c r="AC499" s="18">
        <f t="shared" si="4"/>
        <v>1</v>
      </c>
      <c r="AD499" s="18">
        <f t="shared" si="5"/>
        <v>1</v>
      </c>
      <c r="AE499" s="18">
        <f t="shared" si="6"/>
        <v>1</v>
      </c>
    </row>
    <row r="500">
      <c r="A500" s="9">
        <f>IF(E500="","", IF('Global Precios'!B501="",0,'Global Precios'!B501))</f>
        <v>0</v>
      </c>
      <c r="B500" s="14" t="str">
        <f>IF('Global Precios'!B501="","",'Global Precios'!B501)</f>
        <v/>
      </c>
      <c r="C500" s="18" t="str">
        <f>IF('Global Precios'!A501="","",'Global Precios'!A501)</f>
        <v>530</v>
      </c>
      <c r="D500" s="18"/>
      <c r="E500" s="25" t="str">
        <f>IF('Global Precios'!D501="","",'Global Precios'!D501)</f>
        <v>EXCELLENT ADULT CAT X 15 KG</v>
      </c>
      <c r="F500" s="18"/>
      <c r="G500" s="25" t="str">
        <f>IFERROR(VLOOKUP(C500,'BuscarV Stock'!$A$2:$C$478,3,0),"AAA")</f>
        <v>AAA</v>
      </c>
      <c r="H500" s="25">
        <f t="shared" si="1"/>
        <v>0.21</v>
      </c>
      <c r="I500" s="30">
        <f>IF('Global Precios'!H501="","",'Global Precios'!H501)</f>
        <v>76033.05785</v>
      </c>
      <c r="J500" s="82">
        <f>IF('Global Precios'!K501="","",'Global Precios'!K501)</f>
        <v>0.33</v>
      </c>
      <c r="K500" s="30">
        <f>IF('Global Precios'!Z501="Desactivado",0,IF('Global Precios'!L501="","",'Global Precios'!L501))</f>
        <v>0</v>
      </c>
      <c r="L500" s="18"/>
      <c r="M500" s="18"/>
      <c r="N500" s="18"/>
      <c r="O500" s="18"/>
      <c r="P500" s="18"/>
      <c r="Q500" s="18"/>
      <c r="R500" s="18" t="str">
        <f>IF('Global Precios'!F501="","",'Global Precios'!F501)</f>
        <v>Alimentos</v>
      </c>
      <c r="S500" s="18"/>
      <c r="T500" s="18" t="str">
        <f>IF('Global Precios'!E501="","",'Global Precios'!E501)</f>
        <v>Purina</v>
      </c>
      <c r="U500" s="18"/>
      <c r="V500" s="18">
        <f t="shared" si="2"/>
        <v>0</v>
      </c>
      <c r="W500" s="18"/>
      <c r="X500" s="18"/>
      <c r="Y500" s="18"/>
      <c r="Z500" s="18"/>
      <c r="AA500" s="18"/>
      <c r="AB500" s="18">
        <f t="shared" si="3"/>
        <v>1</v>
      </c>
      <c r="AC500" s="18">
        <f t="shared" si="4"/>
        <v>1</v>
      </c>
      <c r="AD500" s="18">
        <f t="shared" si="5"/>
        <v>1</v>
      </c>
      <c r="AE500" s="18">
        <f t="shared" si="6"/>
        <v>1</v>
      </c>
    </row>
    <row r="501">
      <c r="A501" s="9">
        <f>IF(E501="","", IF('Global Precios'!B502="",0,'Global Precios'!B502))</f>
        <v>0</v>
      </c>
      <c r="B501" s="14" t="str">
        <f>IF('Global Precios'!B502="","",'Global Precios'!B502)</f>
        <v/>
      </c>
      <c r="C501" s="18" t="str">
        <f>IF('Global Precios'!A502="","",'Global Precios'!A502)</f>
        <v>531</v>
      </c>
      <c r="D501" s="18"/>
      <c r="E501" s="25" t="str">
        <f>IF('Global Precios'!D502="","",'Global Precios'!D502)</f>
        <v>EXCELLENT URINARY CAT X 7,5 KG</v>
      </c>
      <c r="F501" s="18"/>
      <c r="G501" s="25" t="str">
        <f>IFERROR(VLOOKUP(C501,'BuscarV Stock'!$A$2:$C$478,3,0),"AAA")</f>
        <v>AAA</v>
      </c>
      <c r="H501" s="25">
        <f t="shared" si="1"/>
        <v>0.21</v>
      </c>
      <c r="I501" s="30">
        <f>IF('Global Precios'!H502="","",'Global Precios'!H502)</f>
        <v>45454.54545</v>
      </c>
      <c r="J501" s="82">
        <f>IF('Global Precios'!K502="","",'Global Precios'!K502)</f>
        <v>0.33</v>
      </c>
      <c r="K501" s="30">
        <f>IF('Global Precios'!Z502="Desactivado",0,IF('Global Precios'!L502="","",'Global Precios'!L502))</f>
        <v>0</v>
      </c>
      <c r="L501" s="18"/>
      <c r="M501" s="18"/>
      <c r="N501" s="18"/>
      <c r="O501" s="18"/>
      <c r="P501" s="18"/>
      <c r="Q501" s="18"/>
      <c r="R501" s="18" t="str">
        <f>IF('Global Precios'!F502="","",'Global Precios'!F502)</f>
        <v>Alimentos</v>
      </c>
      <c r="S501" s="18"/>
      <c r="T501" s="18" t="str">
        <f>IF('Global Precios'!E502="","",'Global Precios'!E502)</f>
        <v>Purina</v>
      </c>
      <c r="U501" s="18"/>
      <c r="V501" s="18">
        <f t="shared" si="2"/>
        <v>0</v>
      </c>
      <c r="W501" s="18"/>
      <c r="X501" s="18"/>
      <c r="Y501" s="18"/>
      <c r="Z501" s="18"/>
      <c r="AA501" s="18"/>
      <c r="AB501" s="18">
        <f t="shared" si="3"/>
        <v>1</v>
      </c>
      <c r="AC501" s="18">
        <f t="shared" si="4"/>
        <v>1</v>
      </c>
      <c r="AD501" s="18">
        <f t="shared" si="5"/>
        <v>1</v>
      </c>
      <c r="AE501" s="18">
        <f t="shared" si="6"/>
        <v>1</v>
      </c>
    </row>
    <row r="502">
      <c r="A502" s="9">
        <f>IF(E502="","", IF('Global Precios'!B503="",0,'Global Precios'!B503))</f>
        <v>0</v>
      </c>
      <c r="B502" s="14" t="str">
        <f>IF('Global Precios'!B503="","",'Global Precios'!B503)</f>
        <v/>
      </c>
      <c r="C502" s="18" t="str">
        <f>IF('Global Precios'!A503="","",'Global Precios'!A503)</f>
        <v>532</v>
      </c>
      <c r="D502" s="18"/>
      <c r="E502" s="25" t="str">
        <f>IF('Global Precios'!D503="","",'Global Precios'!D503)</f>
        <v>SOFTAL "E" X 10 ML</v>
      </c>
      <c r="F502" s="18"/>
      <c r="G502" s="25" t="str">
        <f>IFERROR(VLOOKUP(C502,'BuscarV Stock'!$A$2:$C$478,3,0),"AAA")</f>
        <v>AAA</v>
      </c>
      <c r="H502" s="25">
        <f t="shared" si="1"/>
        <v>0.21</v>
      </c>
      <c r="I502" s="30">
        <f>IF('Global Precios'!H503="","",'Global Precios'!H503)</f>
        <v>3911.570248</v>
      </c>
      <c r="J502" s="82">
        <f>IF('Global Precios'!K503="","",'Global Precios'!K503)</f>
        <v>0.8</v>
      </c>
      <c r="K502" s="30">
        <f>IF('Global Precios'!Z503="Desactivado",0,IF('Global Precios'!L503="","",'Global Precios'!L503))</f>
        <v>8500</v>
      </c>
      <c r="L502" s="18"/>
      <c r="M502" s="18"/>
      <c r="N502" s="18"/>
      <c r="O502" s="18"/>
      <c r="P502" s="18"/>
      <c r="Q502" s="18"/>
      <c r="R502" s="18" t="str">
        <f>IF('Global Precios'!F503="","",'Global Precios'!F503)</f>
        <v>Medicamentos</v>
      </c>
      <c r="S502" s="18"/>
      <c r="T502" s="18" t="str">
        <f>IF('Global Precios'!E503="","",'Global Precios'!E503)</f>
        <v>Kualcos</v>
      </c>
      <c r="U502" s="18"/>
      <c r="V502" s="18">
        <f t="shared" si="2"/>
        <v>0</v>
      </c>
      <c r="W502" s="18"/>
      <c r="X502" s="18"/>
      <c r="Y502" s="18"/>
      <c r="Z502" s="18"/>
      <c r="AA502" s="18"/>
      <c r="AB502" s="18">
        <f t="shared" si="3"/>
        <v>1</v>
      </c>
      <c r="AC502" s="18">
        <f t="shared" si="4"/>
        <v>1</v>
      </c>
      <c r="AD502" s="18">
        <f t="shared" si="5"/>
        <v>1</v>
      </c>
      <c r="AE502" s="18">
        <f t="shared" si="6"/>
        <v>1</v>
      </c>
    </row>
    <row r="503">
      <c r="A503" s="9">
        <f>IF(E503="","", IF('Global Precios'!B504="",0,'Global Precios'!B504))</f>
        <v>0</v>
      </c>
      <c r="B503" s="14" t="str">
        <f>IF('Global Precios'!B504="","",'Global Precios'!B504)</f>
        <v/>
      </c>
      <c r="C503" s="18" t="str">
        <f>IF('Global Precios'!A504="","",'Global Precios'!A504)</f>
        <v>533</v>
      </c>
      <c r="D503" s="18"/>
      <c r="E503" s="25" t="str">
        <f>IF('Global Precios'!D504="","",'Global Precios'!D504)</f>
        <v>RP ALIMENTO MEDICADO PARA PERROS X 10 KG</v>
      </c>
      <c r="F503" s="18"/>
      <c r="G503" s="25" t="str">
        <f>IFERROR(VLOOKUP(C503,'BuscarV Stock'!$A$2:$C$478,3,0),"AAA")</f>
        <v>AAA</v>
      </c>
      <c r="H503" s="25">
        <f t="shared" si="1"/>
        <v>0.21</v>
      </c>
      <c r="I503" s="30">
        <f>IF('Global Precios'!H504="","",'Global Precios'!H504)</f>
        <v>43471.07438</v>
      </c>
      <c r="J503" s="82">
        <f>IF('Global Precios'!K504="","",'Global Precios'!K504)</f>
        <v>0.37</v>
      </c>
      <c r="K503" s="30">
        <f>IF('Global Precios'!Z504="Desactivado",0,IF('Global Precios'!L504="","",'Global Precios'!L504))</f>
        <v>72000</v>
      </c>
      <c r="L503" s="18"/>
      <c r="M503" s="18"/>
      <c r="N503" s="18"/>
      <c r="O503" s="18"/>
      <c r="P503" s="18"/>
      <c r="Q503" s="18"/>
      <c r="R503" s="18" t="str">
        <f>IF('Global Precios'!F504="","",'Global Precios'!F504)</f>
        <v>Alimentos</v>
      </c>
      <c r="S503" s="18"/>
      <c r="T503" s="18" t="str">
        <f>IF('Global Precios'!E504="","",'Global Precios'!E504)</f>
        <v>Janvier</v>
      </c>
      <c r="U503" s="18"/>
      <c r="V503" s="18">
        <f t="shared" si="2"/>
        <v>0</v>
      </c>
      <c r="W503" s="18"/>
      <c r="X503" s="18"/>
      <c r="Y503" s="18"/>
      <c r="Z503" s="18"/>
      <c r="AA503" s="18"/>
      <c r="AB503" s="18">
        <f t="shared" si="3"/>
        <v>1</v>
      </c>
      <c r="AC503" s="18">
        <f t="shared" si="4"/>
        <v>1</v>
      </c>
      <c r="AD503" s="18">
        <f t="shared" si="5"/>
        <v>1</v>
      </c>
      <c r="AE503" s="18">
        <f t="shared" si="6"/>
        <v>1</v>
      </c>
    </row>
    <row r="504">
      <c r="A504" s="9">
        <f>IF(E504="","", IF('Global Precios'!B505="",0,'Global Precios'!B505))</f>
        <v>0</v>
      </c>
      <c r="B504" s="14" t="str">
        <f>IF('Global Precios'!B505="","",'Global Precios'!B505)</f>
        <v/>
      </c>
      <c r="C504" s="18" t="str">
        <f>IF('Global Precios'!A505="","",'Global Precios'!A505)</f>
        <v>535</v>
      </c>
      <c r="D504" s="18"/>
      <c r="E504" s="25" t="str">
        <f>IF('Global Precios'!D505="","",'Global Precios'!D505)</f>
        <v>OL-TRANS FLEX X 7 COMPRIMIDOS</v>
      </c>
      <c r="F504" s="18"/>
      <c r="G504" s="25" t="str">
        <f>IFERROR(VLOOKUP(C504,'BuscarV Stock'!$A$2:$C$478,3,0),"AAA")</f>
        <v>AAA</v>
      </c>
      <c r="H504" s="25">
        <f t="shared" si="1"/>
        <v>0.21</v>
      </c>
      <c r="I504" s="30">
        <f>IF('Global Precios'!H505="","",'Global Precios'!H505)</f>
        <v>2714.876033</v>
      </c>
      <c r="J504" s="82">
        <f>IF('Global Precios'!K505="","",'Global Precios'!K505)</f>
        <v>0.8</v>
      </c>
      <c r="K504" s="30">
        <f>IF('Global Precios'!Z505="Desactivado",0,IF('Global Precios'!L505="","",'Global Precios'!L505))</f>
        <v>6000</v>
      </c>
      <c r="L504" s="18"/>
      <c r="M504" s="18"/>
      <c r="N504" s="18"/>
      <c r="O504" s="18"/>
      <c r="P504" s="18"/>
      <c r="Q504" s="18"/>
      <c r="R504" s="18" t="str">
        <f>IF('Global Precios'!F505="","",'Global Precios'!F505)</f>
        <v>Medicamentos</v>
      </c>
      <c r="S504" s="18"/>
      <c r="T504" s="18" t="str">
        <f>IF('Global Precios'!E505="","",'Global Precios'!E505)</f>
        <v>Holliday</v>
      </c>
      <c r="U504" s="18"/>
      <c r="V504" s="18">
        <f t="shared" si="2"/>
        <v>0</v>
      </c>
      <c r="W504" s="18"/>
      <c r="X504" s="18"/>
      <c r="Y504" s="18"/>
      <c r="Z504" s="18"/>
      <c r="AA504" s="18"/>
      <c r="AB504" s="18">
        <f t="shared" si="3"/>
        <v>1</v>
      </c>
      <c r="AC504" s="18">
        <f t="shared" si="4"/>
        <v>1</v>
      </c>
      <c r="AD504" s="18">
        <f t="shared" si="5"/>
        <v>1</v>
      </c>
      <c r="AE504" s="18">
        <f t="shared" si="6"/>
        <v>1</v>
      </c>
    </row>
    <row r="505">
      <c r="A505" s="9">
        <f>IF(E505="","", IF('Global Precios'!B506="",0,'Global Precios'!B506))</f>
        <v>0</v>
      </c>
      <c r="B505" s="14" t="str">
        <f>IF('Global Precios'!B506="","",'Global Precios'!B506)</f>
        <v/>
      </c>
      <c r="C505" s="18" t="str">
        <f>IF('Global Precios'!A506="","",'Global Precios'!A506)</f>
        <v>534</v>
      </c>
      <c r="D505" s="18"/>
      <c r="E505" s="25" t="str">
        <f>IF('Global Precios'!D506="","",'Global Precios'!D506)</f>
        <v>SIEGER REDUCED CALORIE X 3 KG</v>
      </c>
      <c r="F505" s="18"/>
      <c r="G505" s="25" t="str">
        <f>IFERROR(VLOOKUP(C505,'BuscarV Stock'!$A$2:$C$478,3,0),"AAA")</f>
        <v>AAA</v>
      </c>
      <c r="H505" s="25">
        <f t="shared" si="1"/>
        <v>0.21</v>
      </c>
      <c r="I505" s="30">
        <f>IF('Global Precios'!H506="","",'Global Precios'!H506)</f>
        <v>13101.65289</v>
      </c>
      <c r="J505" s="82">
        <f>IF('Global Precios'!K506="","",'Global Precios'!K506)</f>
        <v>0.3</v>
      </c>
      <c r="K505" s="30">
        <f>IF('Global Precios'!Z506="Desactivado",0,IF('Global Precios'!L506="","",'Global Precios'!L506))</f>
        <v>21000</v>
      </c>
      <c r="L505" s="18"/>
      <c r="M505" s="18"/>
      <c r="N505" s="18"/>
      <c r="O505" s="18"/>
      <c r="P505" s="18"/>
      <c r="Q505" s="18"/>
      <c r="R505" s="18" t="str">
        <f>IF('Global Precios'!F506="","",'Global Precios'!F506)</f>
        <v>Alimentos</v>
      </c>
      <c r="S505" s="18"/>
      <c r="T505" s="18" t="str">
        <f>IF('Global Precios'!E506="","",'Global Precios'!E506)</f>
        <v>SIEGER</v>
      </c>
      <c r="U505" s="18"/>
      <c r="V505" s="18">
        <f t="shared" si="2"/>
        <v>0</v>
      </c>
      <c r="W505" s="18"/>
      <c r="X505" s="18"/>
      <c r="Y505" s="18"/>
      <c r="Z505" s="18"/>
      <c r="AA505" s="18"/>
      <c r="AB505" s="18">
        <f t="shared" si="3"/>
        <v>1</v>
      </c>
      <c r="AC505" s="18">
        <f t="shared" si="4"/>
        <v>1</v>
      </c>
      <c r="AD505" s="18">
        <f t="shared" si="5"/>
        <v>1</v>
      </c>
      <c r="AE505" s="18">
        <f t="shared" si="6"/>
        <v>1</v>
      </c>
    </row>
    <row r="506">
      <c r="A506" s="9">
        <f>IF(E506="","", IF('Global Precios'!B507="",0,'Global Precios'!B507))</f>
        <v>0</v>
      </c>
      <c r="B506" s="14" t="str">
        <f>IF('Global Precios'!B507="","",'Global Precios'!B507)</f>
        <v/>
      </c>
      <c r="C506" s="18" t="str">
        <f>IF('Global Precios'!A507="","",'Global Precios'!A507)</f>
        <v>536</v>
      </c>
      <c r="D506" s="18"/>
      <c r="E506" s="25" t="str">
        <f>IF('Global Precios'!D507="","",'Global Precios'!D507)</f>
        <v>SCALIBOR PROTECTOR BAND X COLLAR</v>
      </c>
      <c r="F506" s="18"/>
      <c r="G506" s="25" t="str">
        <f>IFERROR(VLOOKUP(C506,'BuscarV Stock'!$A$2:$C$478,3,0),"AAA")</f>
        <v>AAA</v>
      </c>
      <c r="H506" s="25">
        <f t="shared" si="1"/>
        <v>0.21</v>
      </c>
      <c r="I506" s="30">
        <f>IF('Global Precios'!H507="","",'Global Precios'!H507)</f>
        <v>25855.3719</v>
      </c>
      <c r="J506" s="82">
        <f>IF('Global Precios'!K507="","",'Global Precios'!K507)</f>
        <v>0.7</v>
      </c>
      <c r="K506" s="30">
        <f>IF('Global Precios'!Z507="Desactivado",0,IF('Global Precios'!L507="","",'Global Precios'!L507))</f>
        <v>53000</v>
      </c>
      <c r="L506" s="18"/>
      <c r="M506" s="18"/>
      <c r="N506" s="18"/>
      <c r="O506" s="18"/>
      <c r="P506" s="18"/>
      <c r="Q506" s="18"/>
      <c r="R506" s="18" t="str">
        <f>IF('Global Precios'!F507="","",'Global Precios'!F507)</f>
        <v>Medicamentos</v>
      </c>
      <c r="S506" s="18"/>
      <c r="T506" s="18" t="str">
        <f>IF('Global Precios'!E507="","",'Global Precios'!E507)</f>
        <v>MSD</v>
      </c>
      <c r="U506" s="18"/>
      <c r="V506" s="18">
        <f t="shared" si="2"/>
        <v>0</v>
      </c>
      <c r="W506" s="18"/>
      <c r="X506" s="18"/>
      <c r="Y506" s="18"/>
      <c r="Z506" s="18"/>
      <c r="AA506" s="18"/>
      <c r="AB506" s="18">
        <f t="shared" si="3"/>
        <v>1</v>
      </c>
      <c r="AC506" s="18">
        <f t="shared" si="4"/>
        <v>1</v>
      </c>
      <c r="AD506" s="18">
        <f t="shared" si="5"/>
        <v>1</v>
      </c>
      <c r="AE506" s="18">
        <f t="shared" si="6"/>
        <v>1</v>
      </c>
    </row>
    <row r="507">
      <c r="A507" s="9">
        <f>IF(E507="","", IF('Global Precios'!B508="",0,'Global Precios'!B508))</f>
        <v>0</v>
      </c>
      <c r="B507" s="14" t="str">
        <f>IF('Global Precios'!B508="","",'Global Precios'!B508)</f>
        <v/>
      </c>
      <c r="C507" s="18" t="str">
        <f>IF('Global Precios'!A508="","",'Global Precios'!A508)</f>
        <v>537</v>
      </c>
      <c r="D507" s="18"/>
      <c r="E507" s="25" t="str">
        <f>IF('Global Precios'!D508="","",'Global Precios'!D508)</f>
        <v>SIEGER PUPPY MINI X 3 KG</v>
      </c>
      <c r="F507" s="18"/>
      <c r="G507" s="25" t="str">
        <f>IFERROR(VLOOKUP(C507,'BuscarV Stock'!$A$2:$C$478,3,0),"AAA")</f>
        <v>AAA</v>
      </c>
      <c r="H507" s="25">
        <f t="shared" si="1"/>
        <v>0.21</v>
      </c>
      <c r="I507" s="30">
        <f>IF('Global Precios'!H508="","",'Global Precios'!H508)</f>
        <v>8184.297521</v>
      </c>
      <c r="J507" s="82">
        <f>IF('Global Precios'!K508="","",'Global Precios'!K508)</f>
        <v>0.3</v>
      </c>
      <c r="K507" s="30">
        <f>IF('Global Precios'!Z508="Desactivado",0,IF('Global Precios'!L508="","",'Global Precios'!L508))</f>
        <v>0</v>
      </c>
      <c r="L507" s="18"/>
      <c r="M507" s="18"/>
      <c r="N507" s="18"/>
      <c r="O507" s="18"/>
      <c r="P507" s="18"/>
      <c r="Q507" s="18"/>
      <c r="R507" s="18" t="str">
        <f>IF('Global Precios'!F508="","",'Global Precios'!F508)</f>
        <v>Alimentos</v>
      </c>
      <c r="S507" s="18"/>
      <c r="T507" s="18" t="str">
        <f>IF('Global Precios'!E508="","",'Global Precios'!E508)</f>
        <v>SIEGER</v>
      </c>
      <c r="U507" s="18"/>
      <c r="V507" s="18">
        <f t="shared" si="2"/>
        <v>0</v>
      </c>
      <c r="W507" s="18"/>
      <c r="X507" s="18"/>
      <c r="Y507" s="18"/>
      <c r="Z507" s="18"/>
      <c r="AA507" s="18"/>
      <c r="AB507" s="18">
        <f t="shared" si="3"/>
        <v>1</v>
      </c>
      <c r="AC507" s="18">
        <f t="shared" si="4"/>
        <v>1</v>
      </c>
      <c r="AD507" s="18">
        <f t="shared" si="5"/>
        <v>1</v>
      </c>
      <c r="AE507" s="18">
        <f t="shared" si="6"/>
        <v>1</v>
      </c>
    </row>
    <row r="508">
      <c r="A508" s="9">
        <f>IF(E508="","", IF('Global Precios'!B509="",0,'Global Precios'!B509))</f>
        <v>0</v>
      </c>
      <c r="B508" s="14" t="str">
        <f>IF('Global Precios'!B509="","",'Global Precios'!B509)</f>
        <v/>
      </c>
      <c r="C508" s="18" t="str">
        <f>IF('Global Precios'!A509="","",'Global Precios'!A509)</f>
        <v>538</v>
      </c>
      <c r="D508" s="18"/>
      <c r="E508" s="25" t="str">
        <f>IF('Global Precios'!D509="","",'Global Precios'!D509)</f>
        <v>VENTILVET-C x 10 COMPRIMIDOS</v>
      </c>
      <c r="F508" s="18"/>
      <c r="G508" s="25" t="str">
        <f>IFERROR(VLOOKUP(C508,'BuscarV Stock'!$A$2:$C$478,3,0),"AAA")</f>
        <v>AAA</v>
      </c>
      <c r="H508" s="25">
        <f t="shared" si="1"/>
        <v>0.21</v>
      </c>
      <c r="I508" s="30">
        <f>IF('Global Precios'!H509="","",'Global Precios'!H509)</f>
        <v>3214.876033</v>
      </c>
      <c r="J508" s="82">
        <f>IF('Global Precios'!K509="","",'Global Precios'!K509)</f>
        <v>0.8</v>
      </c>
      <c r="K508" s="30">
        <f>IF('Global Precios'!Z509="Desactivado",0,IF('Global Precios'!L509="","",'Global Precios'!L509))</f>
        <v>7000</v>
      </c>
      <c r="L508" s="18"/>
      <c r="M508" s="18"/>
      <c r="N508" s="18"/>
      <c r="O508" s="18"/>
      <c r="P508" s="18"/>
      <c r="Q508" s="18"/>
      <c r="R508" s="18" t="str">
        <f>IF('Global Precios'!F509="","",'Global Precios'!F509)</f>
        <v>Medicamentos</v>
      </c>
      <c r="S508" s="18"/>
      <c r="T508" s="18" t="str">
        <f>IF('Global Precios'!E509="","",'Global Precios'!E509)</f>
        <v>ALFA VET</v>
      </c>
      <c r="U508" s="18"/>
      <c r="V508" s="18">
        <f t="shared" si="2"/>
        <v>0</v>
      </c>
      <c r="W508" s="18"/>
      <c r="X508" s="18"/>
      <c r="Y508" s="18"/>
      <c r="Z508" s="18"/>
      <c r="AA508" s="18"/>
      <c r="AB508" s="18">
        <f t="shared" si="3"/>
        <v>1</v>
      </c>
      <c r="AC508" s="18">
        <f t="shared" si="4"/>
        <v>1</v>
      </c>
      <c r="AD508" s="18">
        <f t="shared" si="5"/>
        <v>1</v>
      </c>
      <c r="AE508" s="18">
        <f t="shared" si="6"/>
        <v>1</v>
      </c>
    </row>
    <row r="509">
      <c r="A509" s="9">
        <f>IF(E509="","", IF('Global Precios'!B510="",0,'Global Precios'!B510))</f>
        <v>0</v>
      </c>
      <c r="B509" s="14" t="str">
        <f>IF('Global Precios'!B510="","",'Global Precios'!B510)</f>
        <v/>
      </c>
      <c r="C509" s="18" t="str">
        <f>IF('Global Precios'!A510="","",'Global Precios'!A510)</f>
        <v>539</v>
      </c>
      <c r="D509" s="18"/>
      <c r="E509" s="25" t="str">
        <f>IF('Global Precios'!D510="","",'Global Precios'!D510)</f>
        <v>APOQUEL 16 MG X 10 COMPRIMIDOS</v>
      </c>
      <c r="F509" s="18"/>
      <c r="G509" s="25" t="str">
        <f>IFERROR(VLOOKUP(C509,'BuscarV Stock'!$A$2:$C$478,3,0),"AAA")</f>
        <v>AAA</v>
      </c>
      <c r="H509" s="25">
        <f t="shared" si="1"/>
        <v>0.21</v>
      </c>
      <c r="I509" s="30">
        <f>IF('Global Precios'!H510="","",'Global Precios'!H510)</f>
        <v>13471.07438</v>
      </c>
      <c r="J509" s="82">
        <f>IF('Global Precios'!K510="","",'Global Precios'!K510)</f>
        <v>0.7</v>
      </c>
      <c r="K509" s="30">
        <f>IF('Global Precios'!Z510="Desactivado",0,IF('Global Precios'!L510="","",'Global Precios'!L510))</f>
        <v>28000</v>
      </c>
      <c r="L509" s="18"/>
      <c r="M509" s="18"/>
      <c r="N509" s="18"/>
      <c r="O509" s="18"/>
      <c r="P509" s="18"/>
      <c r="Q509" s="18"/>
      <c r="R509" s="18" t="str">
        <f>IF('Global Precios'!F510="","",'Global Precios'!F510)</f>
        <v>Medicamentos</v>
      </c>
      <c r="S509" s="18"/>
      <c r="T509" s="18" t="str">
        <f>IF('Global Precios'!E510="","",'Global Precios'!E510)</f>
        <v>ZOETIS</v>
      </c>
      <c r="U509" s="18"/>
      <c r="V509" s="18">
        <f t="shared" si="2"/>
        <v>0</v>
      </c>
      <c r="W509" s="18"/>
      <c r="X509" s="18"/>
      <c r="Y509" s="18"/>
      <c r="Z509" s="18"/>
      <c r="AA509" s="18"/>
      <c r="AB509" s="18">
        <f t="shared" si="3"/>
        <v>1</v>
      </c>
      <c r="AC509" s="18">
        <f t="shared" si="4"/>
        <v>1</v>
      </c>
      <c r="AD509" s="18">
        <f t="shared" si="5"/>
        <v>1</v>
      </c>
      <c r="AE509" s="18">
        <f t="shared" si="6"/>
        <v>1</v>
      </c>
    </row>
    <row r="510">
      <c r="A510" s="9">
        <f>IF(E510="","", IF('Global Precios'!B511="",0,'Global Precios'!B511))</f>
        <v>0</v>
      </c>
      <c r="B510" s="14" t="str">
        <f>IF('Global Precios'!B511="","",'Global Precios'!B511)</f>
        <v/>
      </c>
      <c r="C510" s="18" t="str">
        <f>IF('Global Precios'!A511="","",'Global Precios'!A511)</f>
        <v>540</v>
      </c>
      <c r="D510" s="18"/>
      <c r="E510" s="25" t="str">
        <f>IF('Global Precios'!D511="","",'Global Precios'!D511)</f>
        <v>TOTALVET X 30 ML</v>
      </c>
      <c r="F510" s="18"/>
      <c r="G510" s="25" t="str">
        <f>IFERROR(VLOOKUP(C510,'BuscarV Stock'!$A$2:$C$478,3,0),"AAA")</f>
        <v>AAA</v>
      </c>
      <c r="H510" s="25">
        <f t="shared" si="1"/>
        <v>0.21</v>
      </c>
      <c r="I510" s="30">
        <f>IF('Global Precios'!H511="","",'Global Precios'!H511)</f>
        <v>9151.239669</v>
      </c>
      <c r="J510" s="82">
        <f>IF('Global Precios'!K511="","",'Global Precios'!K511)</f>
        <v>0.7</v>
      </c>
      <c r="K510" s="30">
        <f>IF('Global Precios'!Z511="Desactivado",0,IF('Global Precios'!L511="","",'Global Precios'!L511))</f>
        <v>19000</v>
      </c>
      <c r="L510" s="18"/>
      <c r="M510" s="18"/>
      <c r="N510" s="18"/>
      <c r="O510" s="18"/>
      <c r="P510" s="18"/>
      <c r="Q510" s="18"/>
      <c r="R510" s="18" t="str">
        <f>IF('Global Precios'!F511="","",'Global Precios'!F511)</f>
        <v>Medicamentos</v>
      </c>
      <c r="S510" s="18"/>
      <c r="T510" s="18" t="str">
        <f>IF('Global Precios'!E511="","",'Global Precios'!E511)</f>
        <v>ZOOVET</v>
      </c>
      <c r="U510" s="18"/>
      <c r="V510" s="18">
        <f t="shared" si="2"/>
        <v>0</v>
      </c>
      <c r="W510" s="18"/>
      <c r="X510" s="18"/>
      <c r="Y510" s="18"/>
      <c r="Z510" s="18"/>
      <c r="AA510" s="18"/>
      <c r="AB510" s="18">
        <f t="shared" si="3"/>
        <v>1</v>
      </c>
      <c r="AC510" s="18">
        <f t="shared" si="4"/>
        <v>1</v>
      </c>
      <c r="AD510" s="18">
        <f t="shared" si="5"/>
        <v>1</v>
      </c>
      <c r="AE510" s="18">
        <f t="shared" si="6"/>
        <v>1</v>
      </c>
    </row>
    <row r="511">
      <c r="A511" s="9">
        <f>IF(E511="","", IF('Global Precios'!B512="",0,'Global Precios'!B512))</f>
        <v>0</v>
      </c>
      <c r="B511" s="14" t="str">
        <f>IF('Global Precios'!B512="","",'Global Precios'!B512)</f>
        <v/>
      </c>
      <c r="C511" s="18" t="str">
        <f>IF('Global Precios'!A512="","",'Global Precios'!A512)</f>
        <v>541</v>
      </c>
      <c r="D511" s="18"/>
      <c r="E511" s="25" t="str">
        <f>IF('Global Precios'!D512="","",'Global Precios'!D512)</f>
        <v>FULL HEPAT 100 MG X 10 COMPRIMIDOS</v>
      </c>
      <c r="F511" s="18"/>
      <c r="G511" s="25" t="str">
        <f>IFERROR(VLOOKUP(C511,'BuscarV Stock'!$A$2:$C$478,3,0),"AAA")</f>
        <v>AAA</v>
      </c>
      <c r="H511" s="25">
        <f t="shared" si="1"/>
        <v>0.21</v>
      </c>
      <c r="I511" s="30">
        <f>IF('Global Precios'!H512="","",'Global Precios'!H512)</f>
        <v>5057.85124</v>
      </c>
      <c r="J511" s="82">
        <f>IF('Global Precios'!K512="","",'Global Precios'!K512)</f>
        <v>0.8</v>
      </c>
      <c r="K511" s="30">
        <f>IF('Global Precios'!Z512="Desactivado",0,IF('Global Precios'!L512="","",'Global Precios'!L512))</f>
        <v>11000</v>
      </c>
      <c r="L511" s="18"/>
      <c r="M511" s="18"/>
      <c r="N511" s="18"/>
      <c r="O511" s="18"/>
      <c r="P511" s="18"/>
      <c r="Q511" s="18"/>
      <c r="R511" s="18" t="str">
        <f>IF('Global Precios'!F512="","",'Global Precios'!F512)</f>
        <v>Medicamentos</v>
      </c>
      <c r="S511" s="18"/>
      <c r="T511" s="18" t="str">
        <f>IF('Global Precios'!E512="","",'Global Precios'!E512)</f>
        <v>Zoovet</v>
      </c>
      <c r="U511" s="18"/>
      <c r="V511" s="18">
        <f t="shared" si="2"/>
        <v>0</v>
      </c>
      <c r="W511" s="18"/>
      <c r="X511" s="18"/>
      <c r="Y511" s="18"/>
      <c r="Z511" s="18"/>
      <c r="AA511" s="18"/>
      <c r="AB511" s="18">
        <f t="shared" si="3"/>
        <v>1</v>
      </c>
      <c r="AC511" s="18">
        <f t="shared" si="4"/>
        <v>1</v>
      </c>
      <c r="AD511" s="18">
        <f t="shared" si="5"/>
        <v>1</v>
      </c>
      <c r="AE511" s="18">
        <f t="shared" si="6"/>
        <v>1</v>
      </c>
    </row>
    <row r="512">
      <c r="A512" s="9">
        <f>IF(E512="","", IF('Global Precios'!B513="",0,'Global Precios'!B513))</f>
        <v>0</v>
      </c>
      <c r="B512" s="14" t="str">
        <f>IF('Global Precios'!B513="","",'Global Precios'!B513)</f>
        <v/>
      </c>
      <c r="C512" s="18" t="str">
        <f>IF('Global Precios'!A513="","",'Global Precios'!A513)</f>
        <v>542</v>
      </c>
      <c r="D512" s="18"/>
      <c r="E512" s="25" t="str">
        <f>IF('Global Precios'!D513="","",'Global Precios'!D513)</f>
        <v>SULFADIM JARABE X 100 ML</v>
      </c>
      <c r="F512" s="18"/>
      <c r="G512" s="25" t="str">
        <f>IFERROR(VLOOKUP(C512,'BuscarV Stock'!$A$2:$C$478,3,0),"AAA")</f>
        <v>AAA</v>
      </c>
      <c r="H512" s="25">
        <f t="shared" si="1"/>
        <v>0.21</v>
      </c>
      <c r="I512" s="30">
        <f>IF('Global Precios'!H513="","",'Global Precios'!H513)</f>
        <v>6125.619835</v>
      </c>
      <c r="J512" s="82">
        <f>IF('Global Precios'!K513="","",'Global Precios'!K513)</f>
        <v>0.8</v>
      </c>
      <c r="K512" s="30">
        <f>IF('Global Precios'!Z513="Desactivado",0,IF('Global Precios'!L513="","",'Global Precios'!L513))</f>
        <v>13000</v>
      </c>
      <c r="L512" s="18"/>
      <c r="M512" s="18"/>
      <c r="N512" s="18"/>
      <c r="O512" s="18"/>
      <c r="P512" s="18"/>
      <c r="Q512" s="18"/>
      <c r="R512" s="18" t="str">
        <f>IF('Global Precios'!F513="","",'Global Precios'!F513)</f>
        <v>Medicamentos</v>
      </c>
      <c r="S512" s="18"/>
      <c r="T512" s="18" t="str">
        <f>IF('Global Precios'!E513="","",'Global Precios'!E513)</f>
        <v>Kualcos</v>
      </c>
      <c r="U512" s="18"/>
      <c r="V512" s="18">
        <f t="shared" si="2"/>
        <v>0</v>
      </c>
      <c r="W512" s="18"/>
      <c r="X512" s="18"/>
      <c r="Y512" s="18"/>
      <c r="Z512" s="18"/>
      <c r="AA512" s="18"/>
      <c r="AB512" s="18">
        <f t="shared" si="3"/>
        <v>1</v>
      </c>
      <c r="AC512" s="18">
        <f t="shared" si="4"/>
        <v>1</v>
      </c>
      <c r="AD512" s="18">
        <f t="shared" si="5"/>
        <v>1</v>
      </c>
      <c r="AE512" s="18">
        <f t="shared" si="6"/>
        <v>1</v>
      </c>
    </row>
    <row r="513">
      <c r="A513" s="9">
        <f>IF(E513="","", IF('Global Precios'!B514="",0,'Global Precios'!B514))</f>
        <v>0</v>
      </c>
      <c r="B513" s="14" t="str">
        <f>IF('Global Precios'!B514="","",'Global Precios'!B514)</f>
        <v/>
      </c>
      <c r="C513" s="18" t="str">
        <f>IF('Global Precios'!A514="","",'Global Precios'!A514)</f>
        <v>543</v>
      </c>
      <c r="D513" s="18"/>
      <c r="E513" s="25" t="str">
        <f>IF('Global Precios'!D514="","",'Global Precios'!D514)</f>
        <v>JORNADA LIMPIEZA</v>
      </c>
      <c r="F513" s="18"/>
      <c r="G513" s="25" t="str">
        <f>IFERROR(VLOOKUP(C513,'BuscarV Stock'!$A$2:$C$478,3,0),"AAA")</f>
        <v>AAA</v>
      </c>
      <c r="H513" s="25">
        <f t="shared" si="1"/>
        <v>0.21</v>
      </c>
      <c r="I513" s="30">
        <f>IF('Global Precios'!H514="","",'Global Precios'!H514)</f>
        <v>11704.95868</v>
      </c>
      <c r="J513" s="82">
        <f>IF('Global Precios'!K514="","",'Global Precios'!K514)</f>
        <v>0</v>
      </c>
      <c r="K513" s="30">
        <f>IF('Global Precios'!Z514="Desactivado",0,IF('Global Precios'!L514="","",'Global Precios'!L514))</f>
        <v>14000</v>
      </c>
      <c r="L513" s="18"/>
      <c r="M513" s="18"/>
      <c r="N513" s="18"/>
      <c r="O513" s="18"/>
      <c r="P513" s="18"/>
      <c r="Q513" s="18"/>
      <c r="R513" s="18" t="str">
        <f>IF('Global Precios'!F514="","",'Global Precios'!F514)</f>
        <v>Clinica</v>
      </c>
      <c r="S513" s="18"/>
      <c r="T513" s="18" t="str">
        <f>IF('Global Precios'!E514="","",'Global Precios'!E514)</f>
        <v>MILI</v>
      </c>
      <c r="U513" s="18"/>
      <c r="V513" s="18">
        <f t="shared" si="2"/>
        <v>0</v>
      </c>
      <c r="W513" s="18"/>
      <c r="X513" s="18"/>
      <c r="Y513" s="18"/>
      <c r="Z513" s="18"/>
      <c r="AA513" s="18"/>
      <c r="AB513" s="18">
        <f t="shared" si="3"/>
        <v>1</v>
      </c>
      <c r="AC513" s="18">
        <f t="shared" si="4"/>
        <v>1</v>
      </c>
      <c r="AD513" s="18">
        <f t="shared" si="5"/>
        <v>1</v>
      </c>
      <c r="AE513" s="18">
        <f t="shared" si="6"/>
        <v>1</v>
      </c>
    </row>
    <row r="514">
      <c r="A514" s="9">
        <f>IF(E514="","", IF('Global Precios'!B515="",0,'Global Precios'!B515))</f>
        <v>0</v>
      </c>
      <c r="B514" s="14" t="str">
        <f>IF('Global Precios'!B515="","",'Global Precios'!B515)</f>
        <v/>
      </c>
      <c r="C514" s="18" t="str">
        <f>IF('Global Precios'!A515="","",'Global Precios'!A515)</f>
        <v>544</v>
      </c>
      <c r="D514" s="18"/>
      <c r="E514" s="25" t="str">
        <f>IF('Global Precios'!D515="","",'Global Precios'!D515)</f>
        <v>FELIX FANTASTIC DELI ATÚN</v>
      </c>
      <c r="F514" s="18"/>
      <c r="G514" s="25" t="str">
        <f>IFERROR(VLOOKUP(C514,'BuscarV Stock'!$A$2:$C$478,3,0),"AAA")</f>
        <v>AAA</v>
      </c>
      <c r="H514" s="25">
        <f t="shared" si="1"/>
        <v>0.21</v>
      </c>
      <c r="I514" s="30">
        <f>IF('Global Precios'!H515="","",'Global Precios'!H515)</f>
        <v>542.9752066</v>
      </c>
      <c r="J514" s="82">
        <f>IF('Global Precios'!K515="","",'Global Precios'!K515)</f>
        <v>0.3</v>
      </c>
      <c r="K514" s="30">
        <f>IF('Global Precios'!Z515="Desactivado",0,IF('Global Precios'!L515="","",'Global Precios'!L515))</f>
        <v>0</v>
      </c>
      <c r="L514" s="18"/>
      <c r="M514" s="18"/>
      <c r="N514" s="18"/>
      <c r="O514" s="18"/>
      <c r="P514" s="18"/>
      <c r="Q514" s="18"/>
      <c r="R514" s="18" t="str">
        <f>IF('Global Precios'!F515="","",'Global Precios'!F515)</f>
        <v>Alimentos</v>
      </c>
      <c r="S514" s="18"/>
      <c r="T514" s="18" t="str">
        <f>IF('Global Precios'!E515="","",'Global Precios'!E515)</f>
        <v>Felix</v>
      </c>
      <c r="U514" s="18"/>
      <c r="V514" s="18">
        <f t="shared" si="2"/>
        <v>0</v>
      </c>
      <c r="W514" s="18"/>
      <c r="X514" s="18"/>
      <c r="Y514" s="18"/>
      <c r="Z514" s="18"/>
      <c r="AA514" s="18"/>
      <c r="AB514" s="18">
        <f t="shared" si="3"/>
        <v>1</v>
      </c>
      <c r="AC514" s="18">
        <f t="shared" si="4"/>
        <v>1</v>
      </c>
      <c r="AD514" s="18">
        <f t="shared" si="5"/>
        <v>1</v>
      </c>
      <c r="AE514" s="18">
        <f t="shared" si="6"/>
        <v>1</v>
      </c>
    </row>
    <row r="515">
      <c r="A515" s="9">
        <f>IF(E515="","", IF('Global Precios'!B516="",0,'Global Precios'!B516))</f>
        <v>0</v>
      </c>
      <c r="B515" s="14" t="str">
        <f>IF('Global Precios'!B516="","",'Global Precios'!B516)</f>
        <v/>
      </c>
      <c r="C515" s="18" t="str">
        <f>IF('Global Precios'!A516="","",'Global Precios'!A516)</f>
        <v>545</v>
      </c>
      <c r="D515" s="18"/>
      <c r="E515" s="25" t="str">
        <f>IF('Global Precios'!D516="","",'Global Precios'!D516)</f>
        <v>DOG CHOW ADULTO MEDIANO Y GRANDE X 15 KG</v>
      </c>
      <c r="F515" s="18"/>
      <c r="G515" s="25" t="str">
        <f>IFERROR(VLOOKUP(C515,'BuscarV Stock'!$A$2:$C$478,3,0),"AAA")</f>
        <v>AAA</v>
      </c>
      <c r="H515" s="25">
        <f t="shared" si="1"/>
        <v>0.21</v>
      </c>
      <c r="I515" s="30">
        <f>IF('Global Precios'!H516="","",'Global Precios'!H516)</f>
        <v>13473.55372</v>
      </c>
      <c r="J515" s="82">
        <f>IF('Global Precios'!K516="","",'Global Precios'!K516)</f>
        <v>0.3</v>
      </c>
      <c r="K515" s="30">
        <f>IF('Global Precios'!Z516="Desactivado",0,IF('Global Precios'!L516="","",'Global Precios'!L516))</f>
        <v>0</v>
      </c>
      <c r="L515" s="18"/>
      <c r="M515" s="18"/>
      <c r="N515" s="18"/>
      <c r="O515" s="18"/>
      <c r="P515" s="18"/>
      <c r="Q515" s="18"/>
      <c r="R515" s="18" t="str">
        <f>IF('Global Precios'!F516="","",'Global Precios'!F516)</f>
        <v>Alimentos</v>
      </c>
      <c r="S515" s="18"/>
      <c r="T515" s="18" t="str">
        <f>IF('Global Precios'!E516="","",'Global Precios'!E516)</f>
        <v>PURINA</v>
      </c>
      <c r="U515" s="18"/>
      <c r="V515" s="18">
        <f t="shared" si="2"/>
        <v>0</v>
      </c>
      <c r="W515" s="18"/>
      <c r="X515" s="18"/>
      <c r="Y515" s="18"/>
      <c r="Z515" s="18"/>
      <c r="AA515" s="18"/>
      <c r="AB515" s="18">
        <f t="shared" si="3"/>
        <v>1</v>
      </c>
      <c r="AC515" s="18">
        <f t="shared" si="4"/>
        <v>1</v>
      </c>
      <c r="AD515" s="18">
        <f t="shared" si="5"/>
        <v>1</v>
      </c>
      <c r="AE515" s="18">
        <f t="shared" si="6"/>
        <v>1</v>
      </c>
    </row>
    <row r="516">
      <c r="A516" s="9">
        <f>IF(E516="","", IF('Global Precios'!B517="",0,'Global Precios'!B517))</f>
        <v>0</v>
      </c>
      <c r="B516" s="14" t="str">
        <f>IF('Global Precios'!B517="","",'Global Precios'!B517)</f>
        <v/>
      </c>
      <c r="C516" s="18" t="str">
        <f>IF('Global Precios'!A517="","",'Global Precios'!A517)</f>
        <v>546</v>
      </c>
      <c r="D516" s="18"/>
      <c r="E516" s="25" t="str">
        <f>IF('Global Precios'!D517="","",'Global Precios'!D517)</f>
        <v>SESIÓN DE FISIOTERAPIA</v>
      </c>
      <c r="F516" s="18"/>
      <c r="G516" s="25" t="str">
        <f>IFERROR(VLOOKUP(C516,'BuscarV Stock'!$A$2:$C$478,3,0),"AAA")</f>
        <v>AAA</v>
      </c>
      <c r="H516" s="25">
        <f t="shared" si="1"/>
        <v>0.21</v>
      </c>
      <c r="I516" s="30">
        <f>IF('Global Precios'!H517="","",'Global Precios'!H517)</f>
        <v>2649.586777</v>
      </c>
      <c r="J516" s="82">
        <f>IF('Global Precios'!K517="","",'Global Precios'!K517)</f>
        <v>0</v>
      </c>
      <c r="K516" s="30">
        <f>IF('Global Precios'!Z517="Desactivado",0,IF('Global Precios'!L517="","",'Global Precios'!L517))</f>
        <v>0</v>
      </c>
      <c r="L516" s="18"/>
      <c r="M516" s="18"/>
      <c r="N516" s="18"/>
      <c r="O516" s="18"/>
      <c r="P516" s="18"/>
      <c r="Q516" s="18"/>
      <c r="R516" s="18" t="str">
        <f>IF('Global Precios'!F517="","",'Global Precios'!F517)</f>
        <v>Fisioterapia</v>
      </c>
      <c r="S516" s="18"/>
      <c r="T516" s="18" t="str">
        <f>IF('Global Precios'!E517="","",'Global Precios'!E517)</f>
        <v>Arlekyn</v>
      </c>
      <c r="U516" s="18"/>
      <c r="V516" s="18">
        <f t="shared" si="2"/>
        <v>0</v>
      </c>
      <c r="W516" s="18"/>
      <c r="X516" s="18"/>
      <c r="Y516" s="18"/>
      <c r="Z516" s="18"/>
      <c r="AA516" s="18"/>
      <c r="AB516" s="18">
        <f t="shared" si="3"/>
        <v>1</v>
      </c>
      <c r="AC516" s="18">
        <f t="shared" si="4"/>
        <v>1</v>
      </c>
      <c r="AD516" s="18">
        <f t="shared" si="5"/>
        <v>1</v>
      </c>
      <c r="AE516" s="18">
        <f t="shared" si="6"/>
        <v>1</v>
      </c>
    </row>
    <row r="517">
      <c r="A517" s="9" t="str">
        <f>IF(E517="","", IF('Global Precios'!B518="",0,'Global Precios'!B518))</f>
        <v/>
      </c>
      <c r="B517" s="14" t="str">
        <f>IF('Global Precios'!B518="","",'Global Precios'!B518)</f>
        <v/>
      </c>
      <c r="C517" s="18" t="str">
        <f>IF('Global Precios'!A518="","",'Global Precios'!A518)</f>
        <v/>
      </c>
      <c r="D517" s="18"/>
      <c r="E517" s="25" t="str">
        <f>IF('Global Precios'!D518="","",'Global Precios'!D518)</f>
        <v/>
      </c>
      <c r="F517" s="18"/>
      <c r="G517" s="25" t="str">
        <f>IFERROR(VLOOKUP(C517,'BuscarV Stock'!$A$2:$C$478,3,0),"AAA")</f>
        <v>AAA</v>
      </c>
      <c r="H517" s="25" t="str">
        <f t="shared" si="1"/>
        <v/>
      </c>
      <c r="I517" s="30" t="str">
        <f>IF('Global Precios'!H518="","",'Global Precios'!H518)</f>
        <v/>
      </c>
      <c r="J517" s="18" t="str">
        <f>IF('Global Precios'!K518="","",'Global Precios'!K518)</f>
        <v/>
      </c>
      <c r="K517" s="30">
        <f>IF('Global Precios'!Z518="Desactivado",0,IF('Global Precios'!L518="","",'Global Precios'!L518))</f>
        <v>0</v>
      </c>
      <c r="L517" s="18"/>
      <c r="M517" s="18"/>
      <c r="N517" s="18"/>
      <c r="O517" s="18"/>
      <c r="P517" s="18"/>
      <c r="Q517" s="18"/>
      <c r="R517" s="18" t="str">
        <f>IF('Global Precios'!F518="","",'Global Precios'!F518)</f>
        <v/>
      </c>
      <c r="S517" s="18"/>
      <c r="T517" s="18" t="str">
        <f>IF('Global Precios'!E518="","",'Global Precios'!E518)</f>
        <v/>
      </c>
      <c r="U517" s="18"/>
      <c r="V517" s="18">
        <f t="shared" si="2"/>
        <v>0</v>
      </c>
      <c r="W517" s="18"/>
      <c r="X517" s="18"/>
      <c r="Y517" s="18"/>
      <c r="Z517" s="18"/>
      <c r="AA517" s="18"/>
      <c r="AB517" s="18">
        <f t="shared" si="3"/>
        <v>1</v>
      </c>
      <c r="AC517" s="18">
        <f t="shared" si="4"/>
        <v>1</v>
      </c>
      <c r="AD517" s="18">
        <f t="shared" si="5"/>
        <v>1</v>
      </c>
      <c r="AE517" s="18">
        <f t="shared" si="6"/>
        <v>1</v>
      </c>
    </row>
    <row r="518">
      <c r="A518" s="9">
        <f>IF(E518="","", IF('Global Precios'!B519="",0,'Global Precios'!B519))</f>
        <v>0</v>
      </c>
      <c r="B518" s="14" t="str">
        <f>IF('Global Precios'!B519="","",'Global Precios'!B519)</f>
        <v/>
      </c>
      <c r="C518" s="18" t="str">
        <f>IF('Global Precios'!A519="","",'Global Precios'!A519)</f>
        <v>547</v>
      </c>
      <c r="D518" s="18"/>
      <c r="E518" s="25" t="str">
        <f>IF('Global Precios'!D519="","",'Global Precios'!D519)</f>
        <v>SIEGER REDUCED CALORIE X 12 KG</v>
      </c>
      <c r="F518" s="18"/>
      <c r="G518" s="25" t="str">
        <f>IFERROR(VLOOKUP(C518,'BuscarV Stock'!$A$2:$C$478,3,0),"AAA")</f>
        <v>AAA</v>
      </c>
      <c r="H518" s="25">
        <f t="shared" si="1"/>
        <v>0.21</v>
      </c>
      <c r="I518" s="30">
        <f>IF('Global Precios'!H519="","",'Global Precios'!H519)</f>
        <v>42003.30579</v>
      </c>
      <c r="J518" s="82">
        <f>IF('Global Precios'!K519="","",'Global Precios'!K519)</f>
        <v>0.32</v>
      </c>
      <c r="K518" s="30">
        <f>IF('Global Precios'!Z519="Desactivado",0,IF('Global Precios'!L519="","",'Global Precios'!L519))</f>
        <v>67000</v>
      </c>
      <c r="L518" s="18"/>
      <c r="M518" s="18"/>
      <c r="N518" s="18"/>
      <c r="O518" s="18"/>
      <c r="P518" s="18"/>
      <c r="Q518" s="18"/>
      <c r="R518" s="18" t="str">
        <f>IF('Global Precios'!F519="","",'Global Precios'!F519)</f>
        <v>Alimentos</v>
      </c>
      <c r="S518" s="18"/>
      <c r="T518" s="18" t="str">
        <f>IF('Global Precios'!E519="","",'Global Precios'!E519)</f>
        <v>SIEGER</v>
      </c>
      <c r="U518" s="18"/>
      <c r="V518" s="18">
        <f t="shared" si="2"/>
        <v>0</v>
      </c>
      <c r="W518" s="18"/>
      <c r="X518" s="18"/>
      <c r="Y518" s="18"/>
      <c r="Z518" s="18"/>
      <c r="AA518" s="18"/>
      <c r="AB518" s="18">
        <f t="shared" si="3"/>
        <v>1</v>
      </c>
      <c r="AC518" s="18">
        <f t="shared" si="4"/>
        <v>1</v>
      </c>
      <c r="AD518" s="18">
        <f t="shared" si="5"/>
        <v>1</v>
      </c>
      <c r="AE518" s="18">
        <f t="shared" si="6"/>
        <v>1</v>
      </c>
    </row>
    <row r="519">
      <c r="A519" s="9">
        <f>IF(E519="","", IF('Global Precios'!B520="",0,'Global Precios'!B520))</f>
        <v>0</v>
      </c>
      <c r="B519" s="14" t="str">
        <f>IF('Global Precios'!B520="","",'Global Precios'!B520)</f>
        <v/>
      </c>
      <c r="C519" s="18" t="str">
        <f>IF('Global Precios'!A520="","",'Global Precios'!A520)</f>
        <v>548</v>
      </c>
      <c r="D519" s="18"/>
      <c r="E519" s="25" t="str">
        <f>IF('Global Precios'!D520="","",'Global Precios'!D520)</f>
        <v>OCUFLOX X 5 ML</v>
      </c>
      <c r="F519" s="18"/>
      <c r="G519" s="25" t="str">
        <f>IFERROR(VLOOKUP(C519,'BuscarV Stock'!$A$2:$C$478,3,0),"AAA")</f>
        <v>AAA</v>
      </c>
      <c r="H519" s="25">
        <f t="shared" si="1"/>
        <v>0.21</v>
      </c>
      <c r="I519" s="30">
        <f>IF('Global Precios'!H520="","",'Global Precios'!H520)</f>
        <v>9090.909091</v>
      </c>
      <c r="J519" s="82">
        <f>IF('Global Precios'!K520="","",'Global Precios'!K520)</f>
        <v>0.7</v>
      </c>
      <c r="K519" s="30">
        <f>IF('Global Precios'!Z520="Desactivado",0,IF('Global Precios'!L520="","",'Global Precios'!L520))</f>
        <v>19000</v>
      </c>
      <c r="L519" s="18"/>
      <c r="M519" s="18"/>
      <c r="N519" s="18"/>
      <c r="O519" s="18"/>
      <c r="P519" s="18"/>
      <c r="Q519" s="18"/>
      <c r="R519" s="18" t="str">
        <f>IF('Global Precios'!F520="","",'Global Precios'!F520)</f>
        <v>Medicamentos</v>
      </c>
      <c r="S519" s="18"/>
      <c r="T519" s="18" t="str">
        <f>IF('Global Precios'!E520="","",'Global Precios'!E520)</f>
        <v>BROUWER</v>
      </c>
      <c r="U519" s="18"/>
      <c r="V519" s="18">
        <f t="shared" si="2"/>
        <v>0</v>
      </c>
      <c r="W519" s="18"/>
      <c r="X519" s="18"/>
      <c r="Y519" s="18"/>
      <c r="Z519" s="18"/>
      <c r="AA519" s="18"/>
      <c r="AB519" s="18">
        <f t="shared" si="3"/>
        <v>1</v>
      </c>
      <c r="AC519" s="18">
        <f t="shared" si="4"/>
        <v>1</v>
      </c>
      <c r="AD519" s="18">
        <f t="shared" si="5"/>
        <v>1</v>
      </c>
      <c r="AE519" s="18">
        <f t="shared" si="6"/>
        <v>1</v>
      </c>
    </row>
    <row r="520">
      <c r="A520" s="9">
        <f>IF(E520="","", IF('Global Precios'!B521="",0,'Global Precios'!B521))</f>
        <v>0</v>
      </c>
      <c r="B520" s="14" t="str">
        <f>IF('Global Precios'!B521="","",'Global Precios'!B521)</f>
        <v/>
      </c>
      <c r="C520" s="18" t="str">
        <f>IF('Global Precios'!A521="","",'Global Precios'!A521)</f>
        <v>549</v>
      </c>
      <c r="D520" s="18"/>
      <c r="E520" s="25" t="str">
        <f>IF('Global Precios'!D521="","",'Global Precios'!D521)</f>
        <v>PETS PROTECTOR MAX DE 20 A 40 KG</v>
      </c>
      <c r="F520" s="18"/>
      <c r="G520" s="25" t="str">
        <f>IFERROR(VLOOKUP(C520,'BuscarV Stock'!$A$2:$C$478,3,0),"AAA")</f>
        <v>AAA</v>
      </c>
      <c r="H520" s="25">
        <f t="shared" si="1"/>
        <v>0.21</v>
      </c>
      <c r="I520" s="30">
        <f>IF('Global Precios'!H521="","",'Global Precios'!H521)</f>
        <v>3490.082645</v>
      </c>
      <c r="J520" s="82">
        <f>IF('Global Precios'!K521="","",'Global Precios'!K521)</f>
        <v>0.8</v>
      </c>
      <c r="K520" s="30">
        <f>IF('Global Precios'!Z521="Desactivado",0,IF('Global Precios'!L521="","",'Global Precios'!L521))</f>
        <v>7500</v>
      </c>
      <c r="L520" s="18"/>
      <c r="M520" s="18"/>
      <c r="N520" s="18"/>
      <c r="O520" s="18"/>
      <c r="P520" s="18"/>
      <c r="Q520" s="18"/>
      <c r="R520" s="18" t="str">
        <f>IF('Global Precios'!F521="","",'Global Precios'!F521)</f>
        <v>Medicamentos</v>
      </c>
      <c r="S520" s="18"/>
      <c r="T520" s="18" t="str">
        <f>IF('Global Precios'!E521="","",'Global Precios'!E521)</f>
        <v>Zoovet</v>
      </c>
      <c r="U520" s="18"/>
      <c r="V520" s="18">
        <f t="shared" si="2"/>
        <v>0</v>
      </c>
      <c r="W520" s="18"/>
      <c r="X520" s="18"/>
      <c r="Y520" s="18"/>
      <c r="Z520" s="18"/>
      <c r="AA520" s="18"/>
      <c r="AB520" s="18">
        <f t="shared" si="3"/>
        <v>1</v>
      </c>
      <c r="AC520" s="18">
        <f t="shared" si="4"/>
        <v>1</v>
      </c>
      <c r="AD520" s="18">
        <f t="shared" si="5"/>
        <v>1</v>
      </c>
      <c r="AE520" s="18">
        <f t="shared" si="6"/>
        <v>1</v>
      </c>
    </row>
    <row r="521">
      <c r="A521" s="9">
        <f>IF(E521="","", IF('Global Precios'!B522="",0,'Global Precios'!B522))</f>
        <v>0</v>
      </c>
      <c r="B521" s="14" t="str">
        <f>IF('Global Precios'!B522="","",'Global Precios'!B522)</f>
        <v/>
      </c>
      <c r="C521" s="18" t="str">
        <f>IF('Global Precios'!A522="","",'Global Precios'!A522)</f>
        <v>550</v>
      </c>
      <c r="D521" s="18"/>
      <c r="E521" s="25" t="str">
        <f>IF('Global Precios'!D522="","",'Global Precios'!D522)</f>
        <v>CLINDEX 400 MG X 8 COMPRIMIDOS</v>
      </c>
      <c r="F521" s="18"/>
      <c r="G521" s="25" t="str">
        <f>IFERROR(VLOOKUP(C521,'BuscarV Stock'!$A$2:$C$478,3,0),"AAA")</f>
        <v>AAA</v>
      </c>
      <c r="H521" s="25">
        <f t="shared" si="1"/>
        <v>0.21</v>
      </c>
      <c r="I521" s="30">
        <f>IF('Global Precios'!H522="","",'Global Precios'!H522)</f>
        <v>2900.826446</v>
      </c>
      <c r="J521" s="82">
        <f>IF('Global Precios'!K522="","",'Global Precios'!K522)</f>
        <v>0.8</v>
      </c>
      <c r="K521" s="30">
        <f>IF('Global Precios'!Z522="Desactivado",0,IF('Global Precios'!L522="","",'Global Precios'!L522))</f>
        <v>0</v>
      </c>
      <c r="L521" s="18"/>
      <c r="M521" s="18"/>
      <c r="N521" s="18"/>
      <c r="O521" s="18"/>
      <c r="P521" s="18"/>
      <c r="Q521" s="18"/>
      <c r="R521" s="18" t="str">
        <f>IF('Global Precios'!F522="","",'Global Precios'!F522)</f>
        <v>Medicamentos</v>
      </c>
      <c r="S521" s="18"/>
      <c r="T521" s="18" t="str">
        <f>IF('Global Precios'!E522="","",'Global Precios'!E522)</f>
        <v>Richmond</v>
      </c>
      <c r="U521" s="18"/>
      <c r="V521" s="18">
        <f t="shared" si="2"/>
        <v>0</v>
      </c>
      <c r="W521" s="18"/>
      <c r="X521" s="18"/>
      <c r="Y521" s="18"/>
      <c r="Z521" s="18"/>
      <c r="AA521" s="18"/>
      <c r="AB521" s="18">
        <f t="shared" si="3"/>
        <v>1</v>
      </c>
      <c r="AC521" s="18">
        <f t="shared" si="4"/>
        <v>1</v>
      </c>
      <c r="AD521" s="18">
        <f t="shared" si="5"/>
        <v>1</v>
      </c>
      <c r="AE521" s="18">
        <f t="shared" si="6"/>
        <v>1</v>
      </c>
    </row>
    <row r="522">
      <c r="A522" s="9">
        <f>IF(E522="","", IF('Global Precios'!B523="",0,'Global Precios'!B523))</f>
        <v>0</v>
      </c>
      <c r="B522" s="14" t="str">
        <f>IF('Global Precios'!B523="","",'Global Precios'!B523)</f>
        <v/>
      </c>
      <c r="C522" s="18" t="str">
        <f>IF('Global Precios'!A523="","",'Global Precios'!A523)</f>
        <v>551</v>
      </c>
      <c r="D522" s="18"/>
      <c r="E522" s="25" t="str">
        <f>IF('Global Precios'!D523="","",'Global Precios'!D523)</f>
        <v>OP.CATS ADULTS URINARY CARE X 3 KG</v>
      </c>
      <c r="F522" s="18"/>
      <c r="G522" s="25" t="str">
        <f>IFERROR(VLOOKUP(C522,'BuscarV Stock'!$A$2:$C$478,3,0),"AAA")</f>
        <v>AAA</v>
      </c>
      <c r="H522" s="25">
        <f t="shared" si="1"/>
        <v>0.21</v>
      </c>
      <c r="I522" s="30">
        <f>IF('Global Precios'!H523="","",'Global Precios'!H523)</f>
        <v>13636.36364</v>
      </c>
      <c r="J522" s="82">
        <f>IF('Global Precios'!K523="","",'Global Precios'!K523)</f>
        <v>0.3</v>
      </c>
      <c r="K522" s="30">
        <f>IF('Global Precios'!Z523="Desactivado",0,IF('Global Precios'!L523="","",'Global Precios'!L523))</f>
        <v>0</v>
      </c>
      <c r="L522" s="18"/>
      <c r="M522" s="18"/>
      <c r="N522" s="18"/>
      <c r="O522" s="18"/>
      <c r="P522" s="18"/>
      <c r="Q522" s="18"/>
      <c r="R522" s="18" t="str">
        <f>IF('Global Precios'!F523="","",'Global Precios'!F523)</f>
        <v>Alimentos</v>
      </c>
      <c r="S522" s="18"/>
      <c r="T522" s="18" t="str">
        <f>IF('Global Precios'!E523="","",'Global Precios'!E523)</f>
        <v>OLD PRINCE</v>
      </c>
      <c r="U522" s="18"/>
      <c r="V522" s="18">
        <f t="shared" si="2"/>
        <v>0</v>
      </c>
      <c r="W522" s="18"/>
      <c r="X522" s="18"/>
      <c r="Y522" s="18"/>
      <c r="Z522" s="18"/>
      <c r="AA522" s="18"/>
      <c r="AB522" s="18">
        <f t="shared" si="3"/>
        <v>1</v>
      </c>
      <c r="AC522" s="18">
        <f t="shared" si="4"/>
        <v>1</v>
      </c>
      <c r="AD522" s="18">
        <f t="shared" si="5"/>
        <v>1</v>
      </c>
      <c r="AE522" s="18">
        <f t="shared" si="6"/>
        <v>1</v>
      </c>
    </row>
    <row r="523">
      <c r="A523" s="9">
        <f>IF(E523="","", IF('Global Precios'!B524="",0,'Global Precios'!B524))</f>
        <v>0</v>
      </c>
      <c r="B523" s="14" t="str">
        <f>IF('Global Precios'!B524="","",'Global Precios'!B524)</f>
        <v/>
      </c>
      <c r="C523" s="18" t="str">
        <f>IF('Global Precios'!A524="","",'Global Precios'!A524)</f>
        <v>552</v>
      </c>
      <c r="D523" s="18"/>
      <c r="E523" s="25" t="str">
        <f>IF('Global Precios'!D524="","",'Global Precios'!D524)</f>
        <v>CADENA CORREA NYLON 1</v>
      </c>
      <c r="F523" s="18"/>
      <c r="G523" s="25" t="str">
        <f>IFERROR(VLOOKUP(C523,'BuscarV Stock'!$A$2:$C$478,3,0),"AAA")</f>
        <v>AAA</v>
      </c>
      <c r="H523" s="25">
        <f t="shared" si="1"/>
        <v>0.21</v>
      </c>
      <c r="I523" s="30">
        <f>IF('Global Precios'!H524="","",'Global Precios'!H524)</f>
        <v>2067.768595</v>
      </c>
      <c r="J523" s="82">
        <f>IF('Global Precios'!K524="","",'Global Precios'!K524)</f>
        <v>1</v>
      </c>
      <c r="K523" s="30">
        <f>IF('Global Precios'!Z524="Desactivado",0,IF('Global Precios'!L524="","",'Global Precios'!L524))</f>
        <v>5000</v>
      </c>
      <c r="L523" s="18"/>
      <c r="M523" s="18"/>
      <c r="N523" s="18"/>
      <c r="O523" s="18"/>
      <c r="P523" s="18"/>
      <c r="Q523" s="18"/>
      <c r="R523" s="18" t="str">
        <f>IF('Global Precios'!F524="","",'Global Precios'!F524)</f>
        <v>Pet-shop</v>
      </c>
      <c r="S523" s="18"/>
      <c r="T523" s="18" t="str">
        <f>IF('Global Precios'!E524="","",'Global Precios'!E524)</f>
        <v/>
      </c>
      <c r="U523" s="18"/>
      <c r="V523" s="18">
        <f t="shared" si="2"/>
        <v>0</v>
      </c>
      <c r="W523" s="18"/>
      <c r="X523" s="18"/>
      <c r="Y523" s="18"/>
      <c r="Z523" s="18"/>
      <c r="AA523" s="18"/>
      <c r="AB523" s="18">
        <f t="shared" si="3"/>
        <v>1</v>
      </c>
      <c r="AC523" s="18">
        <f t="shared" si="4"/>
        <v>1</v>
      </c>
      <c r="AD523" s="18">
        <f t="shared" si="5"/>
        <v>1</v>
      </c>
      <c r="AE523" s="18">
        <f t="shared" si="6"/>
        <v>1</v>
      </c>
    </row>
    <row r="524">
      <c r="A524" s="9">
        <f>IF(E524="","", IF('Global Precios'!B525="",0,'Global Precios'!B525))</f>
        <v>0</v>
      </c>
      <c r="B524" s="14" t="str">
        <f>IF('Global Precios'!B525="","",'Global Precios'!B525)</f>
        <v/>
      </c>
      <c r="C524" s="18" t="str">
        <f>IF('Global Precios'!A525="","",'Global Precios'!A525)</f>
        <v>553</v>
      </c>
      <c r="D524" s="18"/>
      <c r="E524" s="25" t="str">
        <f>IF('Global Precios'!D525="","",'Global Precios'!D525)</f>
        <v>CONJUNTO PRETAL Y CORREA SUBLIMADO N2</v>
      </c>
      <c r="F524" s="18"/>
      <c r="G524" s="25" t="str">
        <f>IFERROR(VLOOKUP(C524,'BuscarV Stock'!$A$2:$C$478,3,0),"AAA")</f>
        <v>AAA</v>
      </c>
      <c r="H524" s="25">
        <f t="shared" si="1"/>
        <v>0.21</v>
      </c>
      <c r="I524" s="30">
        <f>IF('Global Precios'!H525="","",'Global Precios'!H525)</f>
        <v>2052.066116</v>
      </c>
      <c r="J524" s="82">
        <f>IF('Global Precios'!K525="","",'Global Precios'!K525)</f>
        <v>1</v>
      </c>
      <c r="K524" s="30">
        <f>IF('Global Precios'!Z525="Desactivado",0,IF('Global Precios'!L525="","",'Global Precios'!L525))</f>
        <v>0</v>
      </c>
      <c r="L524" s="18"/>
      <c r="M524" s="18"/>
      <c r="N524" s="18"/>
      <c r="O524" s="18"/>
      <c r="P524" s="18"/>
      <c r="Q524" s="18"/>
      <c r="R524" s="18" t="str">
        <f>IF('Global Precios'!F525="","",'Global Precios'!F525)</f>
        <v>Pet-shop</v>
      </c>
      <c r="S524" s="18"/>
      <c r="T524" s="18" t="str">
        <f>IF('Global Precios'!E525="","",'Global Precios'!E525)</f>
        <v/>
      </c>
      <c r="U524" s="18"/>
      <c r="V524" s="18">
        <f t="shared" si="2"/>
        <v>0</v>
      </c>
      <c r="W524" s="18"/>
      <c r="X524" s="18"/>
      <c r="Y524" s="18"/>
      <c r="Z524" s="18"/>
      <c r="AA524" s="18"/>
      <c r="AB524" s="18">
        <f t="shared" si="3"/>
        <v>1</v>
      </c>
      <c r="AC524" s="18">
        <f t="shared" si="4"/>
        <v>1</v>
      </c>
      <c r="AD524" s="18">
        <f t="shared" si="5"/>
        <v>1</v>
      </c>
      <c r="AE524" s="18">
        <f t="shared" si="6"/>
        <v>1</v>
      </c>
    </row>
    <row r="525">
      <c r="A525" s="9">
        <f>IF(E525="","", IF('Global Precios'!B526="",0,'Global Precios'!B526))</f>
        <v>0</v>
      </c>
      <c r="B525" s="14" t="str">
        <f>IF('Global Precios'!B526="","",'Global Precios'!B526)</f>
        <v/>
      </c>
      <c r="C525" s="18" t="str">
        <f>IF('Global Precios'!A526="","",'Global Precios'!A526)</f>
        <v>554</v>
      </c>
      <c r="D525" s="18"/>
      <c r="E525" s="25" t="str">
        <f>IF('Global Precios'!D526="","",'Global Precios'!D526)</f>
        <v>PRETAL NYLON N 8</v>
      </c>
      <c r="F525" s="18"/>
      <c r="G525" s="25" t="str">
        <f>IFERROR(VLOOKUP(C525,'BuscarV Stock'!$A$2:$C$478,3,0),"AAA")</f>
        <v>AAA</v>
      </c>
      <c r="H525" s="25">
        <f t="shared" si="1"/>
        <v>0.21</v>
      </c>
      <c r="I525" s="30">
        <f>IF('Global Precios'!H526="","",'Global Precios'!H526)</f>
        <v>2812.396694</v>
      </c>
      <c r="J525" s="82">
        <f>IF('Global Precios'!K526="","",'Global Precios'!K526)</f>
        <v>1</v>
      </c>
      <c r="K525" s="30">
        <f>IF('Global Precios'!Z526="Desactivado",0,IF('Global Precios'!L526="","",'Global Precios'!L526))</f>
        <v>7000</v>
      </c>
      <c r="L525" s="18"/>
      <c r="M525" s="18"/>
      <c r="N525" s="18"/>
      <c r="O525" s="18"/>
      <c r="P525" s="18"/>
      <c r="Q525" s="18"/>
      <c r="R525" s="18" t="str">
        <f>IF('Global Precios'!F526="","",'Global Precios'!F526)</f>
        <v>Pet-shop</v>
      </c>
      <c r="S525" s="18"/>
      <c r="T525" s="18" t="str">
        <f>IF('Global Precios'!E526="","",'Global Precios'!E526)</f>
        <v/>
      </c>
      <c r="U525" s="18"/>
      <c r="V525" s="18">
        <f t="shared" si="2"/>
        <v>0</v>
      </c>
      <c r="W525" s="18"/>
      <c r="X525" s="18"/>
      <c r="Y525" s="18"/>
      <c r="Z525" s="18"/>
      <c r="AA525" s="18"/>
      <c r="AB525" s="18">
        <f t="shared" si="3"/>
        <v>1</v>
      </c>
      <c r="AC525" s="18">
        <f t="shared" si="4"/>
        <v>1</v>
      </c>
      <c r="AD525" s="18">
        <f t="shared" si="5"/>
        <v>1</v>
      </c>
      <c r="AE525" s="18">
        <f t="shared" si="6"/>
        <v>1</v>
      </c>
    </row>
    <row r="526">
      <c r="A526" s="9">
        <f>IF(E526="","", IF('Global Precios'!B527="",0,'Global Precios'!B527))</f>
        <v>0</v>
      </c>
      <c r="B526" s="14" t="str">
        <f>IF('Global Precios'!B527="","",'Global Precios'!B527)</f>
        <v/>
      </c>
      <c r="C526" s="18">
        <f>IF('Global Precios'!A527="","",'Global Precios'!A527)</f>
        <v>555</v>
      </c>
      <c r="D526" s="18"/>
      <c r="E526" s="25" t="str">
        <f>IF('Global Precios'!D527="","",'Global Precios'!D527)</f>
        <v>CLINDEX 400 MG X 8 COMPRIMIDOS</v>
      </c>
      <c r="F526" s="18"/>
      <c r="G526" s="25" t="str">
        <f>IFERROR(VLOOKUP(C526,'BuscarV Stock'!$A$2:$C$478,3,0),"AAA")</f>
        <v>AAA</v>
      </c>
      <c r="H526" s="25">
        <f t="shared" si="1"/>
        <v>0.21</v>
      </c>
      <c r="I526" s="30">
        <f>IF('Global Precios'!H527="","",'Global Precios'!H527)</f>
        <v>561.1570248</v>
      </c>
      <c r="J526" s="82">
        <f>IF('Global Precios'!K527="","",'Global Precios'!K527)</f>
        <v>0.8</v>
      </c>
      <c r="K526" s="30">
        <f>IF('Global Precios'!Z527="Desactivado",0,IF('Global Precios'!L527="","",'Global Precios'!L527))</f>
        <v>0</v>
      </c>
      <c r="L526" s="18"/>
      <c r="M526" s="18"/>
      <c r="N526" s="18"/>
      <c r="O526" s="18"/>
      <c r="P526" s="18"/>
      <c r="Q526" s="18"/>
      <c r="R526" s="18" t="str">
        <f>IF('Global Precios'!F527="","",'Global Precios'!F527)</f>
        <v>Medicamentos</v>
      </c>
      <c r="S526" s="18"/>
      <c r="T526" s="18" t="str">
        <f>IF('Global Precios'!E527="","",'Global Precios'!E527)</f>
        <v>Richmond</v>
      </c>
      <c r="U526" s="18"/>
      <c r="V526" s="18">
        <f t="shared" si="2"/>
        <v>0</v>
      </c>
      <c r="W526" s="18"/>
      <c r="X526" s="18"/>
      <c r="Y526" s="18"/>
      <c r="Z526" s="18"/>
      <c r="AA526" s="18"/>
      <c r="AB526" s="18">
        <f t="shared" si="3"/>
        <v>1</v>
      </c>
      <c r="AC526" s="18">
        <f t="shared" si="4"/>
        <v>1</v>
      </c>
      <c r="AD526" s="18">
        <f t="shared" si="5"/>
        <v>1</v>
      </c>
      <c r="AE526" s="18">
        <f t="shared" si="6"/>
        <v>1</v>
      </c>
    </row>
    <row r="527">
      <c r="A527" s="9">
        <f>IF(E527="","", IF('Global Precios'!B528="",0,'Global Precios'!B528))</f>
        <v>0</v>
      </c>
      <c r="B527" s="14" t="str">
        <f>IF('Global Precios'!B528="","",'Global Precios'!B528)</f>
        <v/>
      </c>
      <c r="C527" s="18">
        <f>IF('Global Precios'!A528="","",'Global Precios'!A528)</f>
        <v>556</v>
      </c>
      <c r="D527" s="18"/>
      <c r="E527" s="25" t="str">
        <f>IF('Global Precios'!D528="","",'Global Precios'!D528)</f>
        <v>DOXIVIT 200 MG X 5 COMPRIMIDOS</v>
      </c>
      <c r="F527" s="18"/>
      <c r="G527" s="25" t="str">
        <f>IFERROR(VLOOKUP(C527,'BuscarV Stock'!$A$2:$C$478,3,0),"AAA")</f>
        <v>AAA</v>
      </c>
      <c r="H527" s="25">
        <f t="shared" si="1"/>
        <v>0.21</v>
      </c>
      <c r="I527" s="30">
        <f>IF('Global Precios'!H528="","",'Global Precios'!H528)</f>
        <v>1443.801653</v>
      </c>
      <c r="J527" s="82">
        <f>IF('Global Precios'!K528="","",'Global Precios'!K528)</f>
        <v>0.8</v>
      </c>
      <c r="K527" s="30">
        <f>IF('Global Precios'!Z528="Desactivado",0,IF('Global Precios'!L528="","",'Global Precios'!L528))</f>
        <v>0</v>
      </c>
      <c r="L527" s="18"/>
      <c r="M527" s="18"/>
      <c r="N527" s="18"/>
      <c r="O527" s="18"/>
      <c r="P527" s="18"/>
      <c r="Q527" s="18"/>
      <c r="R527" s="18" t="str">
        <f>IF('Global Precios'!F528="","",'Global Precios'!F528)</f>
        <v>Medicamentos</v>
      </c>
      <c r="S527" s="18"/>
      <c r="T527" s="18" t="str">
        <f>IF('Global Precios'!E528="","",'Global Precios'!E528)</f>
        <v>Zoovet</v>
      </c>
      <c r="U527" s="18"/>
      <c r="V527" s="18">
        <f t="shared" si="2"/>
        <v>0</v>
      </c>
      <c r="W527" s="18"/>
      <c r="X527" s="18"/>
      <c r="Y527" s="18"/>
      <c r="Z527" s="18"/>
      <c r="AA527" s="18"/>
      <c r="AB527" s="18">
        <f t="shared" si="3"/>
        <v>1</v>
      </c>
      <c r="AC527" s="18">
        <f t="shared" si="4"/>
        <v>1</v>
      </c>
      <c r="AD527" s="18">
        <f t="shared" si="5"/>
        <v>1</v>
      </c>
      <c r="AE527" s="18">
        <f t="shared" si="6"/>
        <v>1</v>
      </c>
    </row>
    <row r="528">
      <c r="A528" s="9">
        <f>IF(E528="","", IF('Global Precios'!B529="",0,'Global Precios'!B529))</f>
        <v>0</v>
      </c>
      <c r="B528" s="14" t="str">
        <f>IF('Global Precios'!B529="","",'Global Precios'!B529)</f>
        <v/>
      </c>
      <c r="C528" s="18">
        <f>IF('Global Precios'!A529="","",'Global Precios'!A529)</f>
        <v>557</v>
      </c>
      <c r="D528" s="18"/>
      <c r="E528" s="25" t="str">
        <f>IF('Global Precios'!D529="","",'Global Precios'!D529)</f>
        <v>EXCELLENT REDUCED CALORIE X 15 KG</v>
      </c>
      <c r="F528" s="18"/>
      <c r="G528" s="25" t="str">
        <f>IFERROR(VLOOKUP(C528,'BuscarV Stock'!$A$2:$C$478,3,0),"AAA")</f>
        <v>AAA</v>
      </c>
      <c r="H528" s="25">
        <f t="shared" si="1"/>
        <v>0.21</v>
      </c>
      <c r="I528" s="30">
        <f>IF('Global Precios'!H529="","",'Global Precios'!H529)</f>
        <v>50413.22314</v>
      </c>
      <c r="J528" s="82">
        <f>IF('Global Precios'!K529="","",'Global Precios'!K529)</f>
        <v>0.33</v>
      </c>
      <c r="K528" s="30">
        <f>IF('Global Precios'!Z529="Desactivado",0,IF('Global Precios'!L529="","",'Global Precios'!L529))</f>
        <v>0</v>
      </c>
      <c r="L528" s="18"/>
      <c r="M528" s="18"/>
      <c r="N528" s="18"/>
      <c r="O528" s="18"/>
      <c r="P528" s="18"/>
      <c r="Q528" s="18"/>
      <c r="R528" s="18" t="str">
        <f>IF('Global Precios'!F529="","",'Global Precios'!F529)</f>
        <v>Alimentos</v>
      </c>
      <c r="S528" s="18"/>
      <c r="T528" s="18" t="str">
        <f>IF('Global Precios'!E529="","",'Global Precios'!E529)</f>
        <v>Excellent</v>
      </c>
      <c r="U528" s="18"/>
      <c r="V528" s="18">
        <f t="shared" si="2"/>
        <v>0</v>
      </c>
      <c r="W528" s="18"/>
      <c r="X528" s="18"/>
      <c r="Y528" s="18"/>
      <c r="Z528" s="18"/>
      <c r="AA528" s="18"/>
      <c r="AB528" s="18">
        <f t="shared" si="3"/>
        <v>1</v>
      </c>
      <c r="AC528" s="18">
        <f t="shared" si="4"/>
        <v>1</v>
      </c>
      <c r="AD528" s="18">
        <f t="shared" si="5"/>
        <v>1</v>
      </c>
      <c r="AE528" s="18">
        <f t="shared" si="6"/>
        <v>1</v>
      </c>
    </row>
    <row r="529">
      <c r="A529" s="9">
        <f>IF(E529="","", IF('Global Precios'!B530="",0,'Global Precios'!B530))</f>
        <v>0</v>
      </c>
      <c r="B529" s="14" t="str">
        <f>IF('Global Precios'!B530="","",'Global Precios'!B530)</f>
        <v/>
      </c>
      <c r="C529" s="18" t="str">
        <f>IF('Global Precios'!A530="","",'Global Precios'!A530)</f>
        <v>558</v>
      </c>
      <c r="D529" s="18"/>
      <c r="E529" s="25" t="str">
        <f>IF('Global Precios'!D530="","",'Global Precios'!D530)</f>
        <v>JASPE PERRO ADULTO MT X 20 KG</v>
      </c>
      <c r="F529" s="18"/>
      <c r="G529" s="25" t="str">
        <f>IFERROR(VLOOKUP(C529,'BuscarV Stock'!$A$2:$C$478,3,0),"AAA")</f>
        <v>AAA</v>
      </c>
      <c r="H529" s="25">
        <f t="shared" si="1"/>
        <v>0.21</v>
      </c>
      <c r="I529" s="30">
        <f>IF('Global Precios'!H530="","",'Global Precios'!H530)</f>
        <v>23140.49587</v>
      </c>
      <c r="J529" s="82">
        <f>IF('Global Precios'!K530="","",'Global Precios'!K530)</f>
        <v>0.5</v>
      </c>
      <c r="K529" s="30">
        <f>IF('Global Precios'!Z530="Desactivado",0,IF('Global Precios'!L530="","",'Global Precios'!L530))</f>
        <v>42000</v>
      </c>
      <c r="L529" s="18"/>
      <c r="M529" s="18"/>
      <c r="N529" s="18"/>
      <c r="O529" s="18"/>
      <c r="P529" s="18"/>
      <c r="Q529" s="18"/>
      <c r="R529" s="18" t="str">
        <f>IF('Global Precios'!F530="","",'Global Precios'!F530)</f>
        <v>Alimentos</v>
      </c>
      <c r="S529" s="18"/>
      <c r="T529" s="18" t="str">
        <f>IF('Global Precios'!E530="","",'Global Precios'!E530)</f>
        <v>Jaspe</v>
      </c>
      <c r="U529" s="18"/>
      <c r="V529" s="18">
        <f t="shared" si="2"/>
        <v>0</v>
      </c>
      <c r="W529" s="18"/>
      <c r="X529" s="18"/>
      <c r="Y529" s="18"/>
      <c r="Z529" s="18"/>
      <c r="AA529" s="18"/>
      <c r="AB529" s="18">
        <f t="shared" si="3"/>
        <v>1</v>
      </c>
      <c r="AC529" s="18">
        <f t="shared" si="4"/>
        <v>1</v>
      </c>
      <c r="AD529" s="18">
        <f t="shared" si="5"/>
        <v>1</v>
      </c>
      <c r="AE529" s="18">
        <f t="shared" si="6"/>
        <v>1</v>
      </c>
    </row>
    <row r="530">
      <c r="A530" s="9">
        <f>IF(E530="","", IF('Global Precios'!B531="",0,'Global Precios'!B531))</f>
        <v>0</v>
      </c>
      <c r="B530" s="14" t="str">
        <f>IF('Global Precios'!B531="","",'Global Precios'!B531)</f>
        <v/>
      </c>
      <c r="C530" s="18" t="str">
        <f>IF('Global Precios'!A531="","",'Global Precios'!A531)</f>
        <v>559</v>
      </c>
      <c r="D530" s="18"/>
      <c r="E530" s="25" t="str">
        <f>IF('Global Precios'!D531="","",'Global Precios'!D531)</f>
        <v>JASPE GATO X 10 KG</v>
      </c>
      <c r="F530" s="18"/>
      <c r="G530" s="25" t="str">
        <f>IFERROR(VLOOKUP(C530,'BuscarV Stock'!$A$2:$C$478,3,0),"AAA")</f>
        <v>AAA</v>
      </c>
      <c r="H530" s="25">
        <f t="shared" si="1"/>
        <v>0.21</v>
      </c>
      <c r="I530" s="30">
        <f>IF('Global Precios'!H531="","",'Global Precios'!H531)</f>
        <v>17438.01653</v>
      </c>
      <c r="J530" s="82">
        <f>IF('Global Precios'!K531="","",'Global Precios'!K531)</f>
        <v>0.5</v>
      </c>
      <c r="K530" s="30">
        <f>IF('Global Precios'!Z531="Desactivado",0,IF('Global Precios'!L531="","",'Global Precios'!L531))</f>
        <v>32000</v>
      </c>
      <c r="L530" s="18"/>
      <c r="M530" s="18"/>
      <c r="N530" s="18"/>
      <c r="O530" s="18"/>
      <c r="P530" s="18"/>
      <c r="Q530" s="18"/>
      <c r="R530" s="18" t="str">
        <f>IF('Global Precios'!F531="","",'Global Precios'!F531)</f>
        <v>Alimentos</v>
      </c>
      <c r="S530" s="18"/>
      <c r="T530" s="18" t="str">
        <f>IF('Global Precios'!E531="","",'Global Precios'!E531)</f>
        <v>Jaspe</v>
      </c>
      <c r="U530" s="18"/>
      <c r="V530" s="18">
        <f t="shared" si="2"/>
        <v>0</v>
      </c>
      <c r="W530" s="18"/>
      <c r="X530" s="18"/>
      <c r="Y530" s="18"/>
      <c r="Z530" s="18"/>
      <c r="AA530" s="18"/>
      <c r="AB530" s="18">
        <f t="shared" si="3"/>
        <v>1</v>
      </c>
      <c r="AC530" s="18">
        <f t="shared" si="4"/>
        <v>1</v>
      </c>
      <c r="AD530" s="18">
        <f t="shared" si="5"/>
        <v>1</v>
      </c>
      <c r="AE530" s="18">
        <f t="shared" si="6"/>
        <v>1</v>
      </c>
    </row>
    <row r="531">
      <c r="A531" s="9">
        <f>IF(E531="","", IF('Global Precios'!B532="",0,'Global Precios'!B532))</f>
        <v>0</v>
      </c>
      <c r="B531" s="14" t="str">
        <f>IF('Global Precios'!B532="","",'Global Precios'!B532)</f>
        <v/>
      </c>
      <c r="C531" s="18" t="str">
        <f>IF('Global Precios'!A532="","",'Global Precios'!A532)</f>
        <v>560</v>
      </c>
      <c r="D531" s="18"/>
      <c r="E531" s="25" t="str">
        <f>IF('Global Precios'!D532="","",'Global Precios'!D532)</f>
        <v>JASPE PERRO ADULTO MP X 8 KG</v>
      </c>
      <c r="F531" s="18"/>
      <c r="G531" s="25" t="str">
        <f>IFERROR(VLOOKUP(C531,'BuscarV Stock'!$A$2:$C$478,3,0),"AAA")</f>
        <v>AAA</v>
      </c>
      <c r="H531" s="25">
        <f t="shared" si="1"/>
        <v>0.21</v>
      </c>
      <c r="I531" s="30">
        <f>IF('Global Precios'!H532="","",'Global Precios'!H532)</f>
        <v>4462.809917</v>
      </c>
      <c r="J531" s="82">
        <f>IF('Global Precios'!K532="","",'Global Precios'!K532)</f>
        <v>0.5</v>
      </c>
      <c r="K531" s="30">
        <f>IF('Global Precios'!Z532="Desactivado",0,IF('Global Precios'!L532="","",'Global Precios'!L532))</f>
        <v>0</v>
      </c>
      <c r="L531" s="18"/>
      <c r="M531" s="18"/>
      <c r="N531" s="18"/>
      <c r="O531" s="18"/>
      <c r="P531" s="18"/>
      <c r="Q531" s="18"/>
      <c r="R531" s="18" t="str">
        <f>IF('Global Precios'!F532="","",'Global Precios'!F532)</f>
        <v>Alimentos</v>
      </c>
      <c r="S531" s="18"/>
      <c r="T531" s="18" t="str">
        <f>IF('Global Precios'!E532="","",'Global Precios'!E532)</f>
        <v>Jaspe</v>
      </c>
      <c r="U531" s="18"/>
      <c r="V531" s="18">
        <f t="shared" si="2"/>
        <v>0</v>
      </c>
      <c r="W531" s="18"/>
      <c r="X531" s="18"/>
      <c r="Y531" s="18"/>
      <c r="Z531" s="18"/>
      <c r="AA531" s="18"/>
      <c r="AB531" s="18">
        <f t="shared" si="3"/>
        <v>1</v>
      </c>
      <c r="AC531" s="18">
        <f t="shared" si="4"/>
        <v>1</v>
      </c>
      <c r="AD531" s="18">
        <f t="shared" si="5"/>
        <v>1</v>
      </c>
      <c r="AE531" s="18">
        <f t="shared" si="6"/>
        <v>1</v>
      </c>
    </row>
    <row r="532">
      <c r="A532" s="9">
        <f>IF(E532="","", IF('Global Precios'!B533="",0,'Global Precios'!B533))</f>
        <v>0</v>
      </c>
      <c r="B532" s="14" t="str">
        <f>IF('Global Precios'!B533="","",'Global Precios'!B533)</f>
        <v/>
      </c>
      <c r="C532" s="18" t="str">
        <f>IF('Global Precios'!A533="","",'Global Precios'!A533)</f>
        <v>561</v>
      </c>
      <c r="D532" s="18"/>
      <c r="E532" s="25" t="str">
        <f>IF('Global Precios'!D533="","",'Global Precios'!D533)</f>
        <v>OP.NOVEL CORDERO Y ARROZ ADULTO M Y L x 7,5 KG</v>
      </c>
      <c r="F532" s="18"/>
      <c r="G532" s="25" t="str">
        <f>IFERROR(VLOOKUP(C532,'BuscarV Stock'!$A$2:$C$478,3,0),"AAA")</f>
        <v>AAA</v>
      </c>
      <c r="H532" s="25">
        <f t="shared" si="1"/>
        <v>0.21</v>
      </c>
      <c r="I532" s="30">
        <f>IF('Global Precios'!H533="","",'Global Precios'!H533)</f>
        <v>16155.3719</v>
      </c>
      <c r="J532" s="82">
        <f>IF('Global Precios'!K533="","",'Global Precios'!K533)</f>
        <v>0.3</v>
      </c>
      <c r="K532" s="30">
        <f>IF('Global Precios'!Z533="Desactivado",0,IF('Global Precios'!L533="","",'Global Precios'!L533))</f>
        <v>0</v>
      </c>
      <c r="L532" s="18"/>
      <c r="M532" s="18"/>
      <c r="N532" s="18"/>
      <c r="O532" s="18"/>
      <c r="P532" s="18"/>
      <c r="Q532" s="18"/>
      <c r="R532" s="18" t="str">
        <f>IF('Global Precios'!F533="","",'Global Precios'!F533)</f>
        <v>Alimentos</v>
      </c>
      <c r="S532" s="18"/>
      <c r="T532" s="18" t="str">
        <f>IF('Global Precios'!E533="","",'Global Precios'!E533)</f>
        <v>Old Prince</v>
      </c>
      <c r="U532" s="18"/>
      <c r="V532" s="18">
        <f t="shared" si="2"/>
        <v>0</v>
      </c>
      <c r="W532" s="18"/>
      <c r="X532" s="18"/>
      <c r="Y532" s="18"/>
      <c r="Z532" s="18"/>
      <c r="AA532" s="18"/>
      <c r="AB532" s="18">
        <f t="shared" si="3"/>
        <v>1</v>
      </c>
      <c r="AC532" s="18">
        <f t="shared" si="4"/>
        <v>1</v>
      </c>
      <c r="AD532" s="18">
        <f t="shared" si="5"/>
        <v>1</v>
      </c>
      <c r="AE532" s="18">
        <f t="shared" si="6"/>
        <v>1</v>
      </c>
    </row>
    <row r="533">
      <c r="A533" s="9">
        <f>IF(E533="","", IF('Global Precios'!B534="",0,'Global Precios'!B534))</f>
        <v>0</v>
      </c>
      <c r="B533" s="14" t="str">
        <f>IF('Global Precios'!B534="","",'Global Precios'!B534)</f>
        <v/>
      </c>
      <c r="C533" s="18" t="str">
        <f>IF('Global Precios'!A534="","",'Global Precios'!A534)</f>
        <v>562</v>
      </c>
      <c r="D533" s="18"/>
      <c r="E533" s="25" t="str">
        <f>IF('Global Precios'!D534="","",'Global Precios'!D534)</f>
        <v>PANTOVIER 10 MG X 10 COMPRIMIDOS</v>
      </c>
      <c r="F533" s="18"/>
      <c r="G533" s="25" t="str">
        <f>IFERROR(VLOOKUP(C533,'BuscarV Stock'!$A$2:$C$478,3,0),"AAA")</f>
        <v>AAA</v>
      </c>
      <c r="H533" s="25">
        <f t="shared" si="1"/>
        <v>0.21</v>
      </c>
      <c r="I533" s="30">
        <f>IF('Global Precios'!H534="","",'Global Precios'!H534)</f>
        <v>2933.884298</v>
      </c>
      <c r="J533" s="82">
        <f>IF('Global Precios'!K534="","",'Global Precios'!K534)</f>
        <v>0.8</v>
      </c>
      <c r="K533" s="30">
        <f>IF('Global Precios'!Z534="Desactivado",0,IF('Global Precios'!L534="","",'Global Precios'!L534))</f>
        <v>6500</v>
      </c>
      <c r="L533" s="18"/>
      <c r="M533" s="18"/>
      <c r="N533" s="18"/>
      <c r="O533" s="18"/>
      <c r="P533" s="18"/>
      <c r="Q533" s="18"/>
      <c r="R533" s="18" t="str">
        <f>IF('Global Precios'!F534="","",'Global Precios'!F534)</f>
        <v>Medicamentos</v>
      </c>
      <c r="S533" s="18"/>
      <c r="T533" s="18" t="str">
        <f>IF('Global Precios'!E534="","",'Global Precios'!E534)</f>
        <v>Janvier</v>
      </c>
      <c r="U533" s="18"/>
      <c r="V533" s="18">
        <f t="shared" si="2"/>
        <v>0</v>
      </c>
      <c r="W533" s="18"/>
      <c r="X533" s="18"/>
      <c r="Y533" s="18"/>
      <c r="Z533" s="18"/>
      <c r="AA533" s="18"/>
      <c r="AB533" s="18">
        <f t="shared" si="3"/>
        <v>1</v>
      </c>
      <c r="AC533" s="18">
        <f t="shared" si="4"/>
        <v>1</v>
      </c>
      <c r="AD533" s="18">
        <f t="shared" si="5"/>
        <v>1</v>
      </c>
      <c r="AE533" s="18">
        <f t="shared" si="6"/>
        <v>1</v>
      </c>
    </row>
    <row r="534">
      <c r="A534" s="9">
        <f>IF(E534="","", IF('Global Precios'!B535="",0,'Global Precios'!B535))</f>
        <v>0</v>
      </c>
      <c r="B534" s="14" t="str">
        <f>IF('Global Precios'!B535="","",'Global Precios'!B535)</f>
        <v/>
      </c>
      <c r="C534" s="18" t="str">
        <f>IF('Global Precios'!A535="","",'Global Precios'!A535)</f>
        <v>563</v>
      </c>
      <c r="D534" s="18"/>
      <c r="E534" s="25" t="str">
        <f>IF('Global Precios'!D535="","",'Global Precios'!D535)</f>
        <v>OP.NOVEL CORDERO Y ARROZ LIGHT X 3 KG</v>
      </c>
      <c r="F534" s="18"/>
      <c r="G534" s="25" t="str">
        <f>IFERROR(VLOOKUP(C534,'BuscarV Stock'!$A$2:$C$478,3,0),"AAA")</f>
        <v>AAA</v>
      </c>
      <c r="H534" s="25">
        <f t="shared" si="1"/>
        <v>0.21</v>
      </c>
      <c r="I534" s="30">
        <f>IF('Global Precios'!H535="","",'Global Precios'!H535)</f>
        <v>6461.983471</v>
      </c>
      <c r="J534" s="82">
        <f>IF('Global Precios'!K535="","",'Global Precios'!K535)</f>
        <v>0.33</v>
      </c>
      <c r="K534" s="30">
        <f>IF('Global Precios'!Z535="Desactivado",0,IF('Global Precios'!L535="","",'Global Precios'!L535))</f>
        <v>0</v>
      </c>
      <c r="L534" s="18"/>
      <c r="M534" s="18"/>
      <c r="N534" s="18"/>
      <c r="O534" s="18"/>
      <c r="P534" s="18"/>
      <c r="Q534" s="18"/>
      <c r="R534" s="18" t="str">
        <f>IF('Global Precios'!F535="","",'Global Precios'!F535)</f>
        <v>Alimentos</v>
      </c>
      <c r="S534" s="18"/>
      <c r="T534" s="18" t="str">
        <f>IF('Global Precios'!E535="","",'Global Precios'!E535)</f>
        <v>Old prince</v>
      </c>
      <c r="U534" s="18"/>
      <c r="V534" s="18">
        <f t="shared" si="2"/>
        <v>0</v>
      </c>
      <c r="W534" s="18"/>
      <c r="X534" s="18"/>
      <c r="Y534" s="18"/>
      <c r="Z534" s="18"/>
      <c r="AA534" s="18"/>
      <c r="AB534" s="18">
        <f t="shared" si="3"/>
        <v>1</v>
      </c>
      <c r="AC534" s="18">
        <f t="shared" si="4"/>
        <v>1</v>
      </c>
      <c r="AD534" s="18">
        <f t="shared" si="5"/>
        <v>1</v>
      </c>
      <c r="AE534" s="18">
        <f t="shared" si="6"/>
        <v>1</v>
      </c>
    </row>
    <row r="535">
      <c r="A535" s="9">
        <f>IF(E535="","", IF('Global Precios'!B536="",0,'Global Precios'!B536))</f>
        <v>0</v>
      </c>
      <c r="B535" s="14" t="str">
        <f>IF('Global Precios'!B536="","",'Global Precios'!B536)</f>
        <v/>
      </c>
      <c r="C535" s="18" t="str">
        <f>IF('Global Precios'!A536="","",'Global Precios'!A536)</f>
        <v>564</v>
      </c>
      <c r="D535" s="18"/>
      <c r="E535" s="25" t="str">
        <f>IF('Global Precios'!D536="","",'Global Precios'!D536)</f>
        <v>ITRACONAZOL ZOOVET FP X 10 COMP</v>
      </c>
      <c r="F535" s="18"/>
      <c r="G535" s="25" t="str">
        <f>IFERROR(VLOOKUP(C535,'BuscarV Stock'!$A$2:$C$478,3,0),"AAA")</f>
        <v>AAA</v>
      </c>
      <c r="H535" s="25">
        <f t="shared" si="1"/>
        <v>0.21</v>
      </c>
      <c r="I535" s="30">
        <f>IF('Global Precios'!H536="","",'Global Precios'!H536)</f>
        <v>9000</v>
      </c>
      <c r="J535" s="82">
        <f>IF('Global Precios'!K536="","",'Global Precios'!K536)</f>
        <v>0.8</v>
      </c>
      <c r="K535" s="30">
        <f>IF('Global Precios'!Z536="Desactivado",0,IF('Global Precios'!L536="","",'Global Precios'!L536))</f>
        <v>20000</v>
      </c>
      <c r="L535" s="18"/>
      <c r="M535" s="18"/>
      <c r="N535" s="18"/>
      <c r="O535" s="18"/>
      <c r="P535" s="18"/>
      <c r="Q535" s="18"/>
      <c r="R535" s="18" t="str">
        <f>IF('Global Precios'!F536="","",'Global Precios'!F536)</f>
        <v>Medicamentos</v>
      </c>
      <c r="S535" s="18"/>
      <c r="T535" s="18" t="str">
        <f>IF('Global Precios'!E536="","",'Global Precios'!E536)</f>
        <v>Zoovet</v>
      </c>
      <c r="U535" s="18"/>
      <c r="V535" s="18">
        <f t="shared" si="2"/>
        <v>0</v>
      </c>
      <c r="W535" s="18"/>
      <c r="X535" s="18"/>
      <c r="Y535" s="18"/>
      <c r="Z535" s="18"/>
      <c r="AA535" s="18"/>
      <c r="AB535" s="18">
        <f t="shared" si="3"/>
        <v>1</v>
      </c>
      <c r="AC535" s="18">
        <f t="shared" si="4"/>
        <v>1</v>
      </c>
      <c r="AD535" s="18">
        <f t="shared" si="5"/>
        <v>1</v>
      </c>
      <c r="AE535" s="18">
        <f t="shared" si="6"/>
        <v>1</v>
      </c>
    </row>
    <row r="536">
      <c r="A536" s="9">
        <f>IF(E536="","", IF('Global Precios'!B537="",0,'Global Precios'!B537))</f>
        <v>0</v>
      </c>
      <c r="B536" s="14" t="str">
        <f>IF('Global Precios'!B537="","",'Global Precios'!B537)</f>
        <v/>
      </c>
      <c r="C536" s="18" t="str">
        <f>IF('Global Precios'!A537="","",'Global Precios'!A537)</f>
        <v>565</v>
      </c>
      <c r="D536" s="18"/>
      <c r="E536" s="25" t="str">
        <f>IF('Global Precios'!D537="","",'Global Precios'!D537)</f>
        <v>DOGPRO CACHORRO X 15 KG</v>
      </c>
      <c r="F536" s="18"/>
      <c r="G536" s="25" t="str">
        <f>IFERROR(VLOOKUP(C536,'BuscarV Stock'!$A$2:$C$478,3,0),"AAA")</f>
        <v>AAA</v>
      </c>
      <c r="H536" s="25">
        <f t="shared" si="1"/>
        <v>0.21</v>
      </c>
      <c r="I536" s="30">
        <f>IF('Global Precios'!H537="","",'Global Precios'!H537)</f>
        <v>27432.2314</v>
      </c>
      <c r="J536" s="82">
        <f>IF('Global Precios'!K537="","",'Global Precios'!K537)</f>
        <v>0.4</v>
      </c>
      <c r="K536" s="30">
        <f>IF('Global Precios'!Z537="Desactivado",0,IF('Global Precios'!L537="","",'Global Precios'!L537))</f>
        <v>0</v>
      </c>
      <c r="L536" s="18"/>
      <c r="M536" s="18"/>
      <c r="N536" s="18"/>
      <c r="O536" s="18"/>
      <c r="P536" s="18"/>
      <c r="Q536" s="18"/>
      <c r="R536" s="18" t="str">
        <f>IF('Global Precios'!F537="","",'Global Precios'!F537)</f>
        <v>Alimentos</v>
      </c>
      <c r="S536" s="18"/>
      <c r="T536" s="18" t="str">
        <f>IF('Global Precios'!E537="","",'Global Precios'!E537)</f>
        <v>Dogpro</v>
      </c>
      <c r="U536" s="18"/>
      <c r="V536" s="18">
        <f t="shared" si="2"/>
        <v>0</v>
      </c>
      <c r="W536" s="18"/>
      <c r="X536" s="18"/>
      <c r="Y536" s="18"/>
      <c r="Z536" s="18"/>
      <c r="AA536" s="18"/>
      <c r="AB536" s="18">
        <f t="shared" si="3"/>
        <v>1</v>
      </c>
      <c r="AC536" s="18">
        <f t="shared" si="4"/>
        <v>1</v>
      </c>
      <c r="AD536" s="18">
        <f t="shared" si="5"/>
        <v>1</v>
      </c>
      <c r="AE536" s="18">
        <f t="shared" si="6"/>
        <v>1</v>
      </c>
    </row>
    <row r="537">
      <c r="A537" s="9">
        <f>IF(E537="","", IF('Global Precios'!B538="",0,'Global Precios'!B538))</f>
        <v>0</v>
      </c>
      <c r="B537" s="14" t="str">
        <f>IF('Global Precios'!B538="","",'Global Precios'!B538)</f>
        <v/>
      </c>
      <c r="C537" s="18">
        <f>IF('Global Precios'!A538="","",'Global Precios'!A538)</f>
        <v>566</v>
      </c>
      <c r="D537" s="18"/>
      <c r="E537" s="25" t="str">
        <f>IF('Global Precios'!D538="","",'Global Precios'!D538)</f>
        <v>SUELTO X 1 KG - JASPE PERRO ADULTO MT</v>
      </c>
      <c r="F537" s="18"/>
      <c r="G537" s="25" t="str">
        <f>IFERROR(VLOOKUP(C537,'BuscarV Stock'!$A$2:$C$478,3,0),"AAA")</f>
        <v>AAA</v>
      </c>
      <c r="H537" s="25">
        <f t="shared" si="1"/>
        <v>0.21</v>
      </c>
      <c r="I537" s="30">
        <f>IF('Global Precios'!H538="","",'Global Precios'!H538)</f>
        <v>1322.31405</v>
      </c>
      <c r="J537" s="82">
        <f>IF('Global Precios'!K538="","",'Global Precios'!K538)</f>
        <v>0.7</v>
      </c>
      <c r="K537" s="30">
        <f>IF('Global Precios'!Z538="Desactivado",0,IF('Global Precios'!L538="","",'Global Precios'!L538))</f>
        <v>2500</v>
      </c>
      <c r="L537" s="18"/>
      <c r="M537" s="18"/>
      <c r="N537" s="18"/>
      <c r="O537" s="18"/>
      <c r="P537" s="18"/>
      <c r="Q537" s="18"/>
      <c r="R537" s="18" t="str">
        <f>IF('Global Precios'!F538="","",'Global Precios'!F538)</f>
        <v>Alimentos</v>
      </c>
      <c r="S537" s="18"/>
      <c r="T537" s="18" t="str">
        <f>IF('Global Precios'!E538="","",'Global Precios'!E538)</f>
        <v>Jaspe</v>
      </c>
      <c r="U537" s="18"/>
      <c r="V537" s="18">
        <f t="shared" si="2"/>
        <v>0</v>
      </c>
      <c r="W537" s="18"/>
      <c r="X537" s="18"/>
      <c r="Y537" s="18"/>
      <c r="Z537" s="18"/>
      <c r="AA537" s="18"/>
      <c r="AB537" s="18">
        <f t="shared" si="3"/>
        <v>1</v>
      </c>
      <c r="AC537" s="18">
        <f t="shared" si="4"/>
        <v>1</v>
      </c>
      <c r="AD537" s="18">
        <f t="shared" si="5"/>
        <v>1</v>
      </c>
      <c r="AE537" s="18">
        <f t="shared" si="6"/>
        <v>1</v>
      </c>
    </row>
    <row r="538">
      <c r="A538" s="9">
        <f>IF(E538="","", IF('Global Precios'!B539="",0,'Global Precios'!B539))</f>
        <v>0</v>
      </c>
      <c r="B538" s="14" t="str">
        <f>IF('Global Precios'!B539="","",'Global Precios'!B539)</f>
        <v/>
      </c>
      <c r="C538" s="18">
        <f>IF('Global Precios'!A539="","",'Global Precios'!A539)</f>
        <v>568</v>
      </c>
      <c r="D538" s="18"/>
      <c r="E538" s="25" t="str">
        <f>IF('Global Precios'!D539="","",'Global Precios'!D539)</f>
        <v>SUELTO X 1 KG - JASPE GATO</v>
      </c>
      <c r="F538" s="18"/>
      <c r="G538" s="25" t="str">
        <f>IFERROR(VLOOKUP(C538,'BuscarV Stock'!$A$2:$C$478,3,0),"AAA")</f>
        <v>AAA</v>
      </c>
      <c r="H538" s="25">
        <f t="shared" si="1"/>
        <v>0.21</v>
      </c>
      <c r="I538" s="30">
        <f>IF('Global Precios'!H539="","",'Global Precios'!H539)</f>
        <v>1743.801653</v>
      </c>
      <c r="J538" s="82">
        <f>IF('Global Precios'!K539="","",'Global Precios'!K539)</f>
        <v>0.7</v>
      </c>
      <c r="K538" s="30">
        <f>IF('Global Precios'!Z539="Desactivado",0,IF('Global Precios'!L539="","",'Global Precios'!L539))</f>
        <v>3500</v>
      </c>
      <c r="L538" s="18"/>
      <c r="M538" s="18"/>
      <c r="N538" s="18"/>
      <c r="O538" s="18"/>
      <c r="P538" s="18"/>
      <c r="Q538" s="18"/>
      <c r="R538" s="18" t="str">
        <f>IF('Global Precios'!F539="","",'Global Precios'!F539)</f>
        <v>Alimentos</v>
      </c>
      <c r="S538" s="18"/>
      <c r="T538" s="18" t="str">
        <f>IF('Global Precios'!E539="","",'Global Precios'!E539)</f>
        <v>Jaspe</v>
      </c>
      <c r="U538" s="18"/>
      <c r="V538" s="18">
        <f t="shared" si="2"/>
        <v>0</v>
      </c>
      <c r="W538" s="18"/>
      <c r="X538" s="18"/>
      <c r="Y538" s="18"/>
      <c r="Z538" s="18"/>
      <c r="AA538" s="18"/>
      <c r="AB538" s="18">
        <f t="shared" si="3"/>
        <v>1</v>
      </c>
      <c r="AC538" s="18">
        <f t="shared" si="4"/>
        <v>1</v>
      </c>
      <c r="AD538" s="18">
        <f t="shared" si="5"/>
        <v>1</v>
      </c>
      <c r="AE538" s="18">
        <f t="shared" si="6"/>
        <v>1</v>
      </c>
    </row>
    <row r="539">
      <c r="A539" s="9">
        <f>IF(E539="","", IF('Global Precios'!B540="",0,'Global Precios'!B540))</f>
        <v>0</v>
      </c>
      <c r="B539" s="14" t="str">
        <f>IF('Global Precios'!B540="","",'Global Precios'!B540)</f>
        <v/>
      </c>
      <c r="C539" s="18">
        <f>IF('Global Precios'!A540="","",'Global Precios'!A540)</f>
        <v>570</v>
      </c>
      <c r="D539" s="18"/>
      <c r="E539" s="25" t="str">
        <f>IF('Global Precios'!D540="","",'Global Precios'!D540)</f>
        <v>SUELTO X 1 KG - JASPE PERRO ADULTO MP</v>
      </c>
      <c r="F539" s="18"/>
      <c r="G539" s="25" t="str">
        <f>IFERROR(VLOOKUP(C539,'BuscarV Stock'!$A$2:$C$478,3,0),"AAA")</f>
        <v>AAA</v>
      </c>
      <c r="H539" s="25">
        <f t="shared" si="1"/>
        <v>0.21</v>
      </c>
      <c r="I539" s="30">
        <f>IF('Global Precios'!H540="","",'Global Precios'!H540)</f>
        <v>557.8512397</v>
      </c>
      <c r="J539" s="82">
        <f>IF('Global Precios'!K540="","",'Global Precios'!K540)</f>
        <v>0.7</v>
      </c>
      <c r="K539" s="30">
        <f>IF('Global Precios'!Z540="Desactivado",0,IF('Global Precios'!L540="","",'Global Precios'!L540))</f>
        <v>0</v>
      </c>
      <c r="L539" s="18"/>
      <c r="M539" s="18"/>
      <c r="N539" s="18"/>
      <c r="O539" s="18"/>
      <c r="P539" s="18"/>
      <c r="Q539" s="18"/>
      <c r="R539" s="18" t="str">
        <f>IF('Global Precios'!F540="","",'Global Precios'!F540)</f>
        <v>Alimentos</v>
      </c>
      <c r="S539" s="18"/>
      <c r="T539" s="18" t="str">
        <f>IF('Global Precios'!E540="","",'Global Precios'!E540)</f>
        <v>Jaspe</v>
      </c>
      <c r="U539" s="18"/>
      <c r="V539" s="18">
        <f t="shared" si="2"/>
        <v>0</v>
      </c>
      <c r="W539" s="18"/>
      <c r="X539" s="18"/>
      <c r="Y539" s="18"/>
      <c r="Z539" s="18"/>
      <c r="AA539" s="18"/>
      <c r="AB539" s="18">
        <f t="shared" si="3"/>
        <v>1</v>
      </c>
      <c r="AC539" s="18">
        <f t="shared" si="4"/>
        <v>1</v>
      </c>
      <c r="AD539" s="18">
        <f t="shared" si="5"/>
        <v>1</v>
      </c>
      <c r="AE539" s="18">
        <f t="shared" si="6"/>
        <v>1</v>
      </c>
    </row>
    <row r="540">
      <c r="A540" s="9">
        <f>IF(E540="","", IF('Global Precios'!B541="",0,'Global Precios'!B541))</f>
        <v>0</v>
      </c>
      <c r="B540" s="14" t="str">
        <f>IF('Global Precios'!B541="","",'Global Precios'!B541)</f>
        <v/>
      </c>
      <c r="C540" s="18" t="str">
        <f>IF('Global Precios'!A541="","",'Global Precios'!A541)</f>
        <v>567</v>
      </c>
      <c r="D540" s="18"/>
      <c r="E540" s="25" t="str">
        <f>IF('Global Precios'!D541="","",'Global Precios'!D541)</f>
        <v>VACUNA KC</v>
      </c>
      <c r="F540" s="18"/>
      <c r="G540" s="25" t="str">
        <f>IFERROR(VLOOKUP(C540,'BuscarV Stock'!$A$2:$C$478,3,0),"AAA")</f>
        <v>AAA</v>
      </c>
      <c r="H540" s="25">
        <f t="shared" si="1"/>
        <v>0.21</v>
      </c>
      <c r="I540" s="30">
        <f>IF('Global Precios'!H541="","",'Global Precios'!H541)</f>
        <v>7174.380165</v>
      </c>
      <c r="J540" s="82">
        <f>IF('Global Precios'!K541="","",'Global Precios'!K541)</f>
        <v>0.7</v>
      </c>
      <c r="K540" s="30">
        <f>IF('Global Precios'!Z541="Desactivado",0,IF('Global Precios'!L541="","",'Global Precios'!L541))</f>
        <v>0</v>
      </c>
      <c r="L540" s="18"/>
      <c r="M540" s="18"/>
      <c r="N540" s="18"/>
      <c r="O540" s="18"/>
      <c r="P540" s="18"/>
      <c r="Q540" s="18"/>
      <c r="R540" s="18" t="str">
        <f>IF('Global Precios'!F541="","",'Global Precios'!F541)</f>
        <v>Medicamentos</v>
      </c>
      <c r="S540" s="18"/>
      <c r="T540" s="18" t="str">
        <f>IF('Global Precios'!E541="","",'Global Precios'!E541)</f>
        <v>Msd</v>
      </c>
      <c r="U540" s="18"/>
      <c r="V540" s="18">
        <f t="shared" si="2"/>
        <v>0</v>
      </c>
      <c r="W540" s="18"/>
      <c r="X540" s="18"/>
      <c r="Y540" s="18"/>
      <c r="Z540" s="18"/>
      <c r="AA540" s="18"/>
      <c r="AB540" s="18">
        <f t="shared" si="3"/>
        <v>1</v>
      </c>
      <c r="AC540" s="18">
        <f t="shared" si="4"/>
        <v>1</v>
      </c>
      <c r="AD540" s="18">
        <f t="shared" si="5"/>
        <v>1</v>
      </c>
      <c r="AE540" s="18">
        <f t="shared" si="6"/>
        <v>1</v>
      </c>
    </row>
    <row r="541">
      <c r="A541" s="9">
        <f>IF(E541="","", IF('Global Precios'!B542="",0,'Global Precios'!B542))</f>
        <v>0</v>
      </c>
      <c r="B541" s="14" t="str">
        <f>IF('Global Precios'!B542="","",'Global Precios'!B542)</f>
        <v/>
      </c>
      <c r="C541" s="18" t="str">
        <f>IF('Global Precios'!A542="","",'Global Precios'!A542)</f>
        <v>569</v>
      </c>
      <c r="D541" s="18"/>
      <c r="E541" s="25" t="str">
        <f>IF('Global Precios'!D542="","",'Global Precios'!D542)</f>
        <v>COLLAR NYLON N° 7</v>
      </c>
      <c r="F541" s="18"/>
      <c r="G541" s="25" t="str">
        <f>IFERROR(VLOOKUP(C541,'BuscarV Stock'!$A$2:$C$478,3,0),"AAA")</f>
        <v>AAA</v>
      </c>
      <c r="H541" s="25">
        <f t="shared" si="1"/>
        <v>0.21</v>
      </c>
      <c r="I541" s="30">
        <f>IF('Global Precios'!H542="","",'Global Precios'!H542)</f>
        <v>1623.966942</v>
      </c>
      <c r="J541" s="82">
        <f>IF('Global Precios'!K542="","",'Global Precios'!K542)</f>
        <v>1</v>
      </c>
      <c r="K541" s="30">
        <f>IF('Global Precios'!Z542="Desactivado",0,IF('Global Precios'!L542="","",'Global Precios'!L542))</f>
        <v>4000</v>
      </c>
      <c r="L541" s="18"/>
      <c r="M541" s="18"/>
      <c r="N541" s="18"/>
      <c r="O541" s="18"/>
      <c r="P541" s="18"/>
      <c r="Q541" s="18"/>
      <c r="R541" s="18" t="str">
        <f>IF('Global Precios'!F542="","",'Global Precios'!F542)</f>
        <v>Pet-shop</v>
      </c>
      <c r="S541" s="18"/>
      <c r="T541" s="18" t="str">
        <f>IF('Global Precios'!E542="","",'Global Precios'!E542)</f>
        <v>Animall</v>
      </c>
      <c r="U541" s="18"/>
      <c r="V541" s="18">
        <f t="shared" si="2"/>
        <v>0</v>
      </c>
      <c r="W541" s="18"/>
      <c r="X541" s="18"/>
      <c r="Y541" s="18"/>
      <c r="Z541" s="18"/>
      <c r="AA541" s="18"/>
      <c r="AB541" s="18">
        <f t="shared" si="3"/>
        <v>1</v>
      </c>
      <c r="AC541" s="18">
        <f t="shared" si="4"/>
        <v>1</v>
      </c>
      <c r="AD541" s="18">
        <f t="shared" si="5"/>
        <v>1</v>
      </c>
      <c r="AE541" s="18">
        <f t="shared" si="6"/>
        <v>1</v>
      </c>
    </row>
    <row r="542">
      <c r="A542" s="9">
        <f>IF(E542="","", IF('Global Precios'!B543="",0,'Global Precios'!B543))</f>
        <v>0</v>
      </c>
      <c r="B542" s="14" t="str">
        <f>IF('Global Precios'!B543="","",'Global Precios'!B543)</f>
        <v/>
      </c>
      <c r="C542" s="18" t="str">
        <f>IF('Global Precios'!A543="","",'Global Precios'!A543)</f>
        <v>571</v>
      </c>
      <c r="D542" s="18"/>
      <c r="E542" s="25" t="str">
        <f>IF('Global Precios'!D543="","",'Global Precios'!D543)</f>
        <v>COLCHONETA ANTIDESGARRO CON SILVER 70X100</v>
      </c>
      <c r="F542" s="18"/>
      <c r="G542" s="25" t="str">
        <f>IFERROR(VLOOKUP(C542,'BuscarV Stock'!$A$2:$C$478,3,0),"AAA")</f>
        <v>AAA</v>
      </c>
      <c r="H542" s="25">
        <f t="shared" si="1"/>
        <v>0.21</v>
      </c>
      <c r="I542" s="30">
        <f>IF('Global Precios'!H543="","",'Global Precios'!H543)</f>
        <v>12338.84298</v>
      </c>
      <c r="J542" s="82">
        <f>IF('Global Precios'!K543="","",'Global Precios'!K543)</f>
        <v>0.6</v>
      </c>
      <c r="K542" s="30">
        <f>IF('Global Precios'!Z543="Desactivado",0,IF('Global Precios'!L543="","",'Global Precios'!L543))</f>
        <v>24000</v>
      </c>
      <c r="L542" s="18"/>
      <c r="M542" s="18"/>
      <c r="N542" s="18"/>
      <c r="O542" s="18"/>
      <c r="P542" s="18"/>
      <c r="Q542" s="18"/>
      <c r="R542" s="18" t="str">
        <f>IF('Global Precios'!F543="","",'Global Precios'!F543)</f>
        <v>Pet-shop</v>
      </c>
      <c r="S542" s="18"/>
      <c r="T542" s="18" t="str">
        <f>IF('Global Precios'!E543="","",'Global Precios'!E543)</f>
        <v/>
      </c>
      <c r="U542" s="18"/>
      <c r="V542" s="18">
        <f t="shared" si="2"/>
        <v>0</v>
      </c>
      <c r="W542" s="18"/>
      <c r="X542" s="18"/>
      <c r="Y542" s="18"/>
      <c r="Z542" s="18"/>
      <c r="AA542" s="18"/>
      <c r="AB542" s="18">
        <f t="shared" si="3"/>
        <v>1</v>
      </c>
      <c r="AC542" s="18">
        <f t="shared" si="4"/>
        <v>1</v>
      </c>
      <c r="AD542" s="18">
        <f t="shared" si="5"/>
        <v>1</v>
      </c>
      <c r="AE542" s="18">
        <f t="shared" si="6"/>
        <v>1</v>
      </c>
    </row>
    <row r="543">
      <c r="A543" s="9">
        <f>IF(E543="","", IF('Global Precios'!B544="",0,'Global Precios'!B544))</f>
        <v>0</v>
      </c>
      <c r="B543" s="14" t="str">
        <f>IF('Global Precios'!B544="","",'Global Precios'!B544)</f>
        <v/>
      </c>
      <c r="C543" s="18" t="str">
        <f>IF('Global Precios'!A544="","",'Global Precios'!A544)</f>
        <v>572</v>
      </c>
      <c r="D543" s="18"/>
      <c r="E543" s="25" t="str">
        <f>IF('Global Precios'!D544="","",'Global Precios'!D544)</f>
        <v>CONJUNTO NEOPRENE CAMUFLADO XXL</v>
      </c>
      <c r="F543" s="18"/>
      <c r="G543" s="25" t="str">
        <f>IFERROR(VLOOKUP(C543,'BuscarV Stock'!$A$2:$C$478,3,0),"AAA")</f>
        <v>AAA</v>
      </c>
      <c r="H543" s="25">
        <f t="shared" si="1"/>
        <v>0.21</v>
      </c>
      <c r="I543" s="30">
        <f>IF('Global Precios'!H544="","",'Global Precios'!H544)</f>
        <v>7246.280992</v>
      </c>
      <c r="J543" s="82">
        <f>IF('Global Precios'!K544="","",'Global Precios'!K544)</f>
        <v>0.8</v>
      </c>
      <c r="K543" s="30">
        <f>IF('Global Precios'!Z544="Desactivado",0,IF('Global Precios'!L544="","",'Global Precios'!L544))</f>
        <v>0</v>
      </c>
      <c r="L543" s="18"/>
      <c r="M543" s="18"/>
      <c r="N543" s="18"/>
      <c r="O543" s="18"/>
      <c r="P543" s="18"/>
      <c r="Q543" s="18"/>
      <c r="R543" s="18" t="str">
        <f>IF('Global Precios'!F544="","",'Global Precios'!F544)</f>
        <v>Pet-shop</v>
      </c>
      <c r="S543" s="18"/>
      <c r="T543" s="18" t="str">
        <f>IF('Global Precios'!E544="","",'Global Precios'!E544)</f>
        <v/>
      </c>
      <c r="U543" s="18"/>
      <c r="V543" s="18">
        <f t="shared" si="2"/>
        <v>0</v>
      </c>
      <c r="W543" s="18"/>
      <c r="X543" s="18"/>
      <c r="Y543" s="18"/>
      <c r="Z543" s="18"/>
      <c r="AA543" s="18"/>
      <c r="AB543" s="18">
        <f t="shared" si="3"/>
        <v>1</v>
      </c>
      <c r="AC543" s="18">
        <f t="shared" si="4"/>
        <v>1</v>
      </c>
      <c r="AD543" s="18">
        <f t="shared" si="5"/>
        <v>1</v>
      </c>
      <c r="AE543" s="18">
        <f t="shared" si="6"/>
        <v>1</v>
      </c>
    </row>
    <row r="544">
      <c r="A544" s="9">
        <f>IF(E544="","", IF('Global Precios'!B545="",0,'Global Precios'!B545))</f>
        <v>0</v>
      </c>
      <c r="B544" s="14" t="str">
        <f>IF('Global Precios'!B545="","",'Global Precios'!B545)</f>
        <v/>
      </c>
      <c r="C544" s="18" t="str">
        <f>IF('Global Precios'!A545="","",'Global Precios'!A545)</f>
        <v>573</v>
      </c>
      <c r="D544" s="18"/>
      <c r="E544" s="25" t="str">
        <f>IF('Global Precios'!D545="","",'Global Precios'!D545)</f>
        <v>COLLAR ELASTIZADO</v>
      </c>
      <c r="F544" s="18"/>
      <c r="G544" s="25" t="str">
        <f>IFERROR(VLOOKUP(C544,'BuscarV Stock'!$A$2:$C$478,3,0),"AAA")</f>
        <v>AAA</v>
      </c>
      <c r="H544" s="25">
        <f t="shared" si="1"/>
        <v>0.21</v>
      </c>
      <c r="I544" s="30">
        <f>IF('Global Precios'!H545="","",'Global Precios'!H545)</f>
        <v>798.3471074</v>
      </c>
      <c r="J544" s="82">
        <f>IF('Global Precios'!K545="","",'Global Precios'!K545)</f>
        <v>0.8</v>
      </c>
      <c r="K544" s="30">
        <f>IF('Global Precios'!Z545="Desactivado",0,IF('Global Precios'!L545="","",'Global Precios'!L545))</f>
        <v>1500</v>
      </c>
      <c r="L544" s="18"/>
      <c r="M544" s="18"/>
      <c r="N544" s="18"/>
      <c r="O544" s="18"/>
      <c r="P544" s="18"/>
      <c r="Q544" s="18"/>
      <c r="R544" s="18" t="str">
        <f>IF('Global Precios'!F545="","",'Global Precios'!F545)</f>
        <v>Pet-shop</v>
      </c>
      <c r="S544" s="18"/>
      <c r="T544" s="18" t="str">
        <f>IF('Global Precios'!E545="","",'Global Precios'!E545)</f>
        <v/>
      </c>
      <c r="U544" s="18"/>
      <c r="V544" s="18">
        <f t="shared" si="2"/>
        <v>0</v>
      </c>
      <c r="W544" s="18"/>
      <c r="X544" s="18"/>
      <c r="Y544" s="18"/>
      <c r="Z544" s="18"/>
      <c r="AA544" s="18"/>
      <c r="AB544" s="18">
        <f t="shared" si="3"/>
        <v>1</v>
      </c>
      <c r="AC544" s="18">
        <f t="shared" si="4"/>
        <v>1</v>
      </c>
      <c r="AD544" s="18">
        <f t="shared" si="5"/>
        <v>1</v>
      </c>
      <c r="AE544" s="18">
        <f t="shared" si="6"/>
        <v>1</v>
      </c>
    </row>
    <row r="545">
      <c r="A545" s="9">
        <f>IF(E545="","", IF('Global Precios'!B546="",0,'Global Precios'!B546))</f>
        <v>0</v>
      </c>
      <c r="B545" s="14" t="str">
        <f>IF('Global Precios'!B546="","",'Global Precios'!B546)</f>
        <v/>
      </c>
      <c r="C545" s="18" t="str">
        <f>IF('Global Precios'!A546="","",'Global Precios'!A546)</f>
        <v>574</v>
      </c>
      <c r="D545" s="18"/>
      <c r="E545" s="25" t="str">
        <f>IF('Global Precios'!D546="","",'Global Precios'!D546)</f>
        <v>TOTAL FULL CG X  15 ML</v>
      </c>
      <c r="F545" s="18"/>
      <c r="G545" s="25" t="str">
        <f>IFERROR(VLOOKUP(C545,'BuscarV Stock'!$A$2:$C$478,3,0),"AAA")</f>
        <v>AAA</v>
      </c>
      <c r="H545" s="25">
        <f t="shared" si="1"/>
        <v>0.21</v>
      </c>
      <c r="I545" s="30">
        <f>IF('Global Precios'!H546="","",'Global Precios'!H546)</f>
        <v>4214.876033</v>
      </c>
      <c r="J545" s="82">
        <f>IF('Global Precios'!K546="","",'Global Precios'!K546)</f>
        <v>0.8</v>
      </c>
      <c r="K545" s="30">
        <f>IF('Global Precios'!Z546="Desactivado",0,IF('Global Precios'!L546="","",'Global Precios'!L546))</f>
        <v>9000</v>
      </c>
      <c r="L545" s="18"/>
      <c r="M545" s="18"/>
      <c r="N545" s="18"/>
      <c r="O545" s="18"/>
      <c r="P545" s="18"/>
      <c r="Q545" s="18"/>
      <c r="R545" s="18" t="str">
        <f>IF('Global Precios'!F546="","",'Global Precios'!F546)</f>
        <v>Medicamentos</v>
      </c>
      <c r="S545" s="18"/>
      <c r="T545" s="18" t="str">
        <f>IF('Global Precios'!E546="","",'Global Precios'!E546)</f>
        <v>Holliday</v>
      </c>
      <c r="U545" s="18"/>
      <c r="V545" s="18">
        <f t="shared" si="2"/>
        <v>0</v>
      </c>
      <c r="W545" s="18"/>
      <c r="X545" s="18"/>
      <c r="Y545" s="18"/>
      <c r="Z545" s="18"/>
      <c r="AA545" s="18"/>
      <c r="AB545" s="18">
        <f t="shared" si="3"/>
        <v>1</v>
      </c>
      <c r="AC545" s="18">
        <f t="shared" si="4"/>
        <v>1</v>
      </c>
      <c r="AD545" s="18">
        <f t="shared" si="5"/>
        <v>1</v>
      </c>
      <c r="AE545" s="18">
        <f t="shared" si="6"/>
        <v>1</v>
      </c>
    </row>
    <row r="546">
      <c r="A546" s="9">
        <f>IF(E546="","", IF('Global Precios'!B547="",0,'Global Precios'!B547))</f>
        <v>0</v>
      </c>
      <c r="B546" s="14" t="str">
        <f>IF('Global Precios'!B547="","",'Global Precios'!B547)</f>
        <v/>
      </c>
      <c r="C546" s="18" t="str">
        <f>IF('Global Precios'!A547="","",'Global Precios'!A547)</f>
        <v>575</v>
      </c>
      <c r="D546" s="18"/>
      <c r="E546" s="25" t="str">
        <f>IF('Global Precios'!D547="","",'Global Precios'!D547)</f>
        <v>FRONTLINE SPOT-ON PERRO GRANDE</v>
      </c>
      <c r="F546" s="18"/>
      <c r="G546" s="25" t="str">
        <f>IFERROR(VLOOKUP(C546,'BuscarV Stock'!$A$2:$C$478,3,0),"AAA")</f>
        <v>AAA</v>
      </c>
      <c r="H546" s="25">
        <f t="shared" si="1"/>
        <v>0.21</v>
      </c>
      <c r="I546" s="30">
        <f>IF('Global Precios'!H547="","",'Global Precios'!H547)</f>
        <v>5600</v>
      </c>
      <c r="J546" s="82">
        <f>IF('Global Precios'!K547="","",'Global Precios'!K547)</f>
        <v>0.8</v>
      </c>
      <c r="K546" s="30">
        <f>IF('Global Precios'!Z547="Desactivado",0,IF('Global Precios'!L547="","",'Global Precios'!L547))</f>
        <v>12000</v>
      </c>
      <c r="L546" s="18"/>
      <c r="M546" s="18"/>
      <c r="N546" s="18"/>
      <c r="O546" s="18"/>
      <c r="P546" s="18"/>
      <c r="Q546" s="18"/>
      <c r="R546" s="18" t="str">
        <f>IF('Global Precios'!F547="","",'Global Precios'!F547)</f>
        <v>Medicamentos</v>
      </c>
      <c r="S546" s="18"/>
      <c r="T546" s="18" t="str">
        <f>IF('Global Precios'!E547="","",'Global Precios'!E547)</f>
        <v>Boehringer pequeños</v>
      </c>
      <c r="U546" s="18"/>
      <c r="V546" s="18">
        <f t="shared" si="2"/>
        <v>0</v>
      </c>
      <c r="W546" s="18"/>
      <c r="X546" s="18"/>
      <c r="Y546" s="18"/>
      <c r="Z546" s="18"/>
      <c r="AA546" s="18"/>
      <c r="AB546" s="18">
        <f t="shared" si="3"/>
        <v>1</v>
      </c>
      <c r="AC546" s="18">
        <f t="shared" si="4"/>
        <v>1</v>
      </c>
      <c r="AD546" s="18">
        <f t="shared" si="5"/>
        <v>1</v>
      </c>
      <c r="AE546" s="18">
        <f t="shared" si="6"/>
        <v>1</v>
      </c>
    </row>
    <row r="547">
      <c r="A547" s="9">
        <f>IF(E547="","", IF('Global Precios'!B548="",0,'Global Precios'!B548))</f>
        <v>0</v>
      </c>
      <c r="B547" s="14" t="str">
        <f>IF('Global Precios'!B548="","",'Global Precios'!B548)</f>
        <v/>
      </c>
      <c r="C547" s="18" t="str">
        <f>IF('Global Precios'!A548="","",'Global Precios'!A548)</f>
        <v>576</v>
      </c>
      <c r="D547" s="18"/>
      <c r="E547" s="25" t="str">
        <f>IF('Global Precios'!D548="","",'Global Precios'!D548)</f>
        <v>OVERDOG COMPRIMIDOS 2,5 A 5 KG</v>
      </c>
      <c r="F547" s="18"/>
      <c r="G547" s="25" t="str">
        <f>IFERROR(VLOOKUP(C547,'BuscarV Stock'!$A$2:$C$478,3,0),"AAA")</f>
        <v>AAA</v>
      </c>
      <c r="H547" s="25">
        <f t="shared" si="1"/>
        <v>0.21</v>
      </c>
      <c r="I547" s="30">
        <f>IF('Global Precios'!H548="","",'Global Precios'!H548)</f>
        <v>1827.272727</v>
      </c>
      <c r="J547" s="82">
        <f>IF('Global Precios'!K548="","",'Global Precios'!K548)</f>
        <v>0.8</v>
      </c>
      <c r="K547" s="30">
        <f>IF('Global Precios'!Z548="Desactivado",0,IF('Global Precios'!L548="","",'Global Precios'!L548))</f>
        <v>4000</v>
      </c>
      <c r="L547" s="18"/>
      <c r="M547" s="18"/>
      <c r="N547" s="18"/>
      <c r="O547" s="18"/>
      <c r="P547" s="18"/>
      <c r="Q547" s="18"/>
      <c r="R547" s="18" t="str">
        <f>IF('Global Precios'!F548="","",'Global Precios'!F548)</f>
        <v>Medicamentos</v>
      </c>
      <c r="S547" s="18"/>
      <c r="T547" s="18" t="str">
        <f>IF('Global Precios'!E548="","",'Global Precios'!E548)</f>
        <v>Over</v>
      </c>
      <c r="U547" s="18"/>
      <c r="V547" s="18">
        <f t="shared" si="2"/>
        <v>0</v>
      </c>
      <c r="W547" s="18"/>
      <c r="X547" s="18"/>
      <c r="Y547" s="18"/>
      <c r="Z547" s="18"/>
      <c r="AA547" s="18"/>
      <c r="AB547" s="18">
        <f t="shared" si="3"/>
        <v>1</v>
      </c>
      <c r="AC547" s="18">
        <f t="shared" si="4"/>
        <v>1</v>
      </c>
      <c r="AD547" s="18">
        <f t="shared" si="5"/>
        <v>1</v>
      </c>
      <c r="AE547" s="18">
        <f t="shared" si="6"/>
        <v>1</v>
      </c>
    </row>
    <row r="548">
      <c r="A548" s="9">
        <f>IF(E548="","", IF('Global Precios'!B549="",0,'Global Precios'!B549))</f>
        <v>0</v>
      </c>
      <c r="B548" s="14" t="str">
        <f>IF('Global Precios'!B549="","",'Global Precios'!B549)</f>
        <v/>
      </c>
      <c r="C548" s="18" t="str">
        <f>IF('Global Precios'!A549="","",'Global Precios'!A549)</f>
        <v>577</v>
      </c>
      <c r="D548" s="18"/>
      <c r="E548" s="25" t="str">
        <f>IF('Global Precios'!D549="","",'Global Precios'!D549)</f>
        <v>OVERDOG COMPRIMIDOS 30 A 40 KG</v>
      </c>
      <c r="F548" s="18"/>
      <c r="G548" s="25" t="str">
        <f>IFERROR(VLOOKUP(C548,'BuscarV Stock'!$A$2:$C$478,3,0),"AAA")</f>
        <v>AAA</v>
      </c>
      <c r="H548" s="25">
        <f t="shared" si="1"/>
        <v>0.21</v>
      </c>
      <c r="I548" s="30">
        <f>IF('Global Precios'!H549="","",'Global Precios'!H549)</f>
        <v>7586.77686</v>
      </c>
      <c r="J548" s="82">
        <f>IF('Global Precios'!K549="","",'Global Precios'!K549)</f>
        <v>0.8</v>
      </c>
      <c r="K548" s="30">
        <f>IF('Global Precios'!Z549="Desactivado",0,IF('Global Precios'!L549="","",'Global Precios'!L549))</f>
        <v>17000</v>
      </c>
      <c r="L548" s="18"/>
      <c r="M548" s="18"/>
      <c r="N548" s="18"/>
      <c r="O548" s="18"/>
      <c r="P548" s="18"/>
      <c r="Q548" s="18"/>
      <c r="R548" s="18" t="str">
        <f>IF('Global Precios'!F549="","",'Global Precios'!F549)</f>
        <v>Medicamentos</v>
      </c>
      <c r="S548" s="18"/>
      <c r="T548" s="18" t="str">
        <f>IF('Global Precios'!E549="","",'Global Precios'!E549)</f>
        <v>Over</v>
      </c>
      <c r="U548" s="18"/>
      <c r="V548" s="18">
        <f t="shared" si="2"/>
        <v>0</v>
      </c>
      <c r="W548" s="18"/>
      <c r="X548" s="18"/>
      <c r="Y548" s="18"/>
      <c r="Z548" s="18"/>
      <c r="AA548" s="18"/>
      <c r="AB548" s="18">
        <f t="shared" si="3"/>
        <v>1</v>
      </c>
      <c r="AC548" s="18">
        <f t="shared" si="4"/>
        <v>1</v>
      </c>
      <c r="AD548" s="18">
        <f t="shared" si="5"/>
        <v>1</v>
      </c>
      <c r="AE548" s="18">
        <f t="shared" si="6"/>
        <v>1</v>
      </c>
    </row>
    <row r="549">
      <c r="A549" s="9">
        <f>IF(E549="","", IF('Global Precios'!B550="",0,'Global Precios'!B550))</f>
        <v>0</v>
      </c>
      <c r="B549" s="14" t="str">
        <f>IF('Global Precios'!B550="","",'Global Precios'!B550)</f>
        <v/>
      </c>
      <c r="C549" s="18" t="str">
        <f>IF('Global Precios'!A550="","",'Global Precios'!A550)</f>
        <v>578</v>
      </c>
      <c r="D549" s="18"/>
      <c r="E549" s="25" t="str">
        <f>IF('Global Precios'!D550="","",'Global Precios'!D550)</f>
        <v>OVERDOG COMPRIMIDOS 5 A 10 KG</v>
      </c>
      <c r="F549" s="18"/>
      <c r="G549" s="25" t="str">
        <f>IFERROR(VLOOKUP(C549,'BuscarV Stock'!$A$2:$C$478,3,0),"AAA")</f>
        <v>AAA</v>
      </c>
      <c r="H549" s="25">
        <f t="shared" si="1"/>
        <v>0.21</v>
      </c>
      <c r="I549" s="30">
        <f>IF('Global Precios'!H550="","",'Global Precios'!H550)</f>
        <v>4214.876033</v>
      </c>
      <c r="J549" s="82">
        <f>IF('Global Precios'!K550="","",'Global Precios'!K550)</f>
        <v>0.8</v>
      </c>
      <c r="K549" s="30">
        <f>IF('Global Precios'!Z550="Desactivado",0,IF('Global Precios'!L550="","",'Global Precios'!L550))</f>
        <v>9000</v>
      </c>
      <c r="L549" s="18"/>
      <c r="M549" s="18"/>
      <c r="N549" s="18"/>
      <c r="O549" s="18"/>
      <c r="P549" s="18"/>
      <c r="Q549" s="18"/>
      <c r="R549" s="18" t="str">
        <f>IF('Global Precios'!F550="","",'Global Precios'!F550)</f>
        <v>Medicamentos</v>
      </c>
      <c r="S549" s="18"/>
      <c r="T549" s="18" t="str">
        <f>IF('Global Precios'!E550="","",'Global Precios'!E550)</f>
        <v>Overdog</v>
      </c>
      <c r="U549" s="18"/>
      <c r="V549" s="18">
        <f t="shared" si="2"/>
        <v>0</v>
      </c>
      <c r="W549" s="18"/>
      <c r="X549" s="18"/>
      <c r="Y549" s="18"/>
      <c r="Z549" s="18"/>
      <c r="AA549" s="18"/>
      <c r="AB549" s="18">
        <f t="shared" si="3"/>
        <v>1</v>
      </c>
      <c r="AC549" s="18">
        <f t="shared" si="4"/>
        <v>1</v>
      </c>
      <c r="AD549" s="18">
        <f t="shared" si="5"/>
        <v>1</v>
      </c>
      <c r="AE549" s="18">
        <f t="shared" si="6"/>
        <v>1</v>
      </c>
    </row>
    <row r="550">
      <c r="A550" s="9">
        <f>IF(E550="","", IF('Global Precios'!B551="",0,'Global Precios'!B551))</f>
        <v>0</v>
      </c>
      <c r="B550" s="14" t="str">
        <f>IF('Global Precios'!B551="","",'Global Precios'!B551)</f>
        <v/>
      </c>
      <c r="C550" s="18" t="str">
        <f>IF('Global Precios'!A551="","",'Global Precios'!A551)</f>
        <v>579</v>
      </c>
      <c r="D550" s="18"/>
      <c r="E550" s="25" t="str">
        <f>IF('Global Precios'!D551="","",'Global Precios'!D551)</f>
        <v>JASPE ADULTO MP X 20 KG</v>
      </c>
      <c r="F550" s="18"/>
      <c r="G550" s="25" t="str">
        <f>IFERROR(VLOOKUP(C550,'BuscarV Stock'!$A$2:$C$478,3,0),"AAA")</f>
        <v>AAA</v>
      </c>
      <c r="H550" s="25">
        <f t="shared" si="1"/>
        <v>0.21</v>
      </c>
      <c r="I550" s="30">
        <f>IF('Global Precios'!H551="","",'Global Precios'!H551)</f>
        <v>20909.09091</v>
      </c>
      <c r="J550" s="82">
        <f>IF('Global Precios'!K551="","",'Global Precios'!K551)</f>
        <v>0.5</v>
      </c>
      <c r="K550" s="30">
        <f>IF('Global Precios'!Z551="Desactivado",0,IF('Global Precios'!L551="","",'Global Precios'!L551))</f>
        <v>0</v>
      </c>
      <c r="L550" s="18"/>
      <c r="M550" s="18"/>
      <c r="N550" s="18"/>
      <c r="O550" s="18"/>
      <c r="P550" s="18"/>
      <c r="Q550" s="18"/>
      <c r="R550" s="18" t="str">
        <f>IF('Global Precios'!F551="","",'Global Precios'!F551)</f>
        <v>Alimentos</v>
      </c>
      <c r="S550" s="18"/>
      <c r="T550" s="18" t="str">
        <f>IF('Global Precios'!E551="","",'Global Precios'!E551)</f>
        <v>Jaspe</v>
      </c>
      <c r="U550" s="18"/>
      <c r="V550" s="18">
        <f t="shared" si="2"/>
        <v>0</v>
      </c>
      <c r="W550" s="18"/>
      <c r="X550" s="18"/>
      <c r="Y550" s="18"/>
      <c r="Z550" s="18"/>
      <c r="AA550" s="18"/>
      <c r="AB550" s="18">
        <f t="shared" si="3"/>
        <v>1</v>
      </c>
      <c r="AC550" s="18">
        <f t="shared" si="4"/>
        <v>1</v>
      </c>
      <c r="AD550" s="18">
        <f t="shared" si="5"/>
        <v>1</v>
      </c>
      <c r="AE550" s="18">
        <f t="shared" si="6"/>
        <v>1</v>
      </c>
    </row>
    <row r="551">
      <c r="A551" s="9">
        <f>IF(E551="","", IF('Global Precios'!B552="",0,'Global Precios'!B552))</f>
        <v>0</v>
      </c>
      <c r="B551" s="14" t="str">
        <f>IF('Global Precios'!B552="","",'Global Precios'!B552)</f>
        <v/>
      </c>
      <c r="C551" s="18" t="str">
        <f>IF('Global Precios'!A552="","",'Global Precios'!A552)</f>
        <v>580</v>
      </c>
      <c r="D551" s="18"/>
      <c r="E551" s="25" t="str">
        <f>IF('Global Precios'!D552="","",'Global Precios'!D552)</f>
        <v>SIEGER KATZE ADULTO X 1 KG</v>
      </c>
      <c r="F551" s="18"/>
      <c r="G551" s="25" t="str">
        <f>IFERROR(VLOOKUP(C551,'BuscarV Stock'!$A$2:$C$478,3,0),"AAA")</f>
        <v>AAA</v>
      </c>
      <c r="H551" s="25">
        <f t="shared" si="1"/>
        <v>0.21</v>
      </c>
      <c r="I551" s="30">
        <f>IF('Global Precios'!H552="","",'Global Precios'!H552)</f>
        <v>8252.066116</v>
      </c>
      <c r="J551" s="82">
        <f>IF('Global Precios'!K552="","",'Global Precios'!K552)</f>
        <v>0.35</v>
      </c>
      <c r="K551" s="30">
        <f>IF('Global Precios'!Z552="Desactivado",0,IF('Global Precios'!L552="","",'Global Precios'!L552))</f>
        <v>13000</v>
      </c>
      <c r="L551" s="18"/>
      <c r="M551" s="18"/>
      <c r="N551" s="18"/>
      <c r="O551" s="18"/>
      <c r="P551" s="18"/>
      <c r="Q551" s="18"/>
      <c r="R551" s="18" t="str">
        <f>IF('Global Precios'!F552="","",'Global Precios'!F552)</f>
        <v>Alimentos</v>
      </c>
      <c r="S551" s="18"/>
      <c r="T551" s="18" t="str">
        <f>IF('Global Precios'!E552="","",'Global Precios'!E552)</f>
        <v>Sieger</v>
      </c>
      <c r="U551" s="18"/>
      <c r="V551" s="18">
        <f t="shared" si="2"/>
        <v>0</v>
      </c>
      <c r="W551" s="18"/>
      <c r="X551" s="18"/>
      <c r="Y551" s="18"/>
      <c r="Z551" s="18"/>
      <c r="AA551" s="18"/>
      <c r="AB551" s="18">
        <f t="shared" si="3"/>
        <v>1</v>
      </c>
      <c r="AC551" s="18">
        <f t="shared" si="4"/>
        <v>1</v>
      </c>
      <c r="AD551" s="18">
        <f t="shared" si="5"/>
        <v>1</v>
      </c>
      <c r="AE551" s="18">
        <f t="shared" si="6"/>
        <v>1</v>
      </c>
    </row>
    <row r="552">
      <c r="A552" s="9">
        <f>IF(E552="","", IF('Global Precios'!B553="",0,'Global Precios'!B553))</f>
        <v>0</v>
      </c>
      <c r="B552" s="14" t="str">
        <f>IF('Global Precios'!B553="","",'Global Precios'!B553)</f>
        <v/>
      </c>
      <c r="C552" s="18" t="str">
        <f>IF('Global Precios'!A553="","",'Global Precios'!A553)</f>
        <v>581</v>
      </c>
      <c r="D552" s="18"/>
      <c r="E552" s="25" t="str">
        <f>IF('Global Precios'!D553="","",'Global Precios'!D553)</f>
        <v>SIEGER KATZE URINARY X 1 KG</v>
      </c>
      <c r="F552" s="18"/>
      <c r="G552" s="25" t="str">
        <f>IFERROR(VLOOKUP(C552,'BuscarV Stock'!$A$2:$C$478,3,0),"AAA")</f>
        <v>AAA</v>
      </c>
      <c r="H552" s="25">
        <f t="shared" si="1"/>
        <v>0.21</v>
      </c>
      <c r="I552" s="30">
        <f>IF('Global Precios'!H553="","",'Global Precios'!H553)</f>
        <v>8264.46281</v>
      </c>
      <c r="J552" s="82">
        <f>IF('Global Precios'!K553="","",'Global Precios'!K553)</f>
        <v>0.35</v>
      </c>
      <c r="K552" s="30">
        <f>IF('Global Precios'!Z553="Desactivado",0,IF('Global Precios'!L553="","",'Global Precios'!L553))</f>
        <v>14000</v>
      </c>
      <c r="L552" s="18"/>
      <c r="M552" s="18"/>
      <c r="N552" s="18"/>
      <c r="O552" s="18"/>
      <c r="P552" s="18"/>
      <c r="Q552" s="18"/>
      <c r="R552" s="18" t="str">
        <f>IF('Global Precios'!F553="","",'Global Precios'!F553)</f>
        <v>Alimentos</v>
      </c>
      <c r="S552" s="18"/>
      <c r="T552" s="18" t="str">
        <f>IF('Global Precios'!E553="","",'Global Precios'!E553)</f>
        <v>Sieger</v>
      </c>
      <c r="U552" s="18"/>
      <c r="V552" s="18">
        <f t="shared" si="2"/>
        <v>0</v>
      </c>
      <c r="W552" s="18"/>
      <c r="X552" s="18"/>
      <c r="Y552" s="18"/>
      <c r="Z552" s="18"/>
      <c r="AA552" s="18"/>
      <c r="AB552" s="18">
        <f t="shared" si="3"/>
        <v>1</v>
      </c>
      <c r="AC552" s="18">
        <f t="shared" si="4"/>
        <v>1</v>
      </c>
      <c r="AD552" s="18">
        <f t="shared" si="5"/>
        <v>1</v>
      </c>
      <c r="AE552" s="18">
        <f t="shared" si="6"/>
        <v>1</v>
      </c>
    </row>
    <row r="553">
      <c r="A553" s="9">
        <f>IF(E553="","", IF('Global Precios'!B554="",0,'Global Precios'!B554))</f>
        <v>0</v>
      </c>
      <c r="B553" s="14" t="str">
        <f>IF('Global Precios'!B554="","",'Global Precios'!B554)</f>
        <v/>
      </c>
      <c r="C553" s="18" t="str">
        <f>IF('Global Precios'!A554="","",'Global Precios'!A554)</f>
        <v>582</v>
      </c>
      <c r="D553" s="18"/>
      <c r="E553" s="25" t="str">
        <f>IF('Global Precios'!D554="","",'Global Precios'!D554)</f>
        <v>JASPE PREMIUM AD MT X 20 KG</v>
      </c>
      <c r="F553" s="18"/>
      <c r="G553" s="25" t="str">
        <f>IFERROR(VLOOKUP(C553,'BuscarV Stock'!$A$2:$C$478,3,0),"AAA")</f>
        <v>AAA</v>
      </c>
      <c r="H553" s="25">
        <f t="shared" si="1"/>
        <v>0.21</v>
      </c>
      <c r="I553" s="30">
        <f>IF('Global Precios'!H554="","",'Global Precios'!H554)</f>
        <v>32727.27273</v>
      </c>
      <c r="J553" s="82">
        <f>IF('Global Precios'!K554="","",'Global Precios'!K554)</f>
        <v>0.5</v>
      </c>
      <c r="K553" s="30">
        <f>IF('Global Precios'!Z554="Desactivado",0,IF('Global Precios'!L554="","",'Global Precios'!L554))</f>
        <v>59000</v>
      </c>
      <c r="L553" s="18"/>
      <c r="M553" s="18"/>
      <c r="N553" s="18"/>
      <c r="O553" s="18"/>
      <c r="P553" s="18"/>
      <c r="Q553" s="18"/>
      <c r="R553" s="18" t="str">
        <f>IF('Global Precios'!F554="","",'Global Precios'!F554)</f>
        <v>Alimentos</v>
      </c>
      <c r="S553" s="18"/>
      <c r="T553" s="18" t="str">
        <f>IF('Global Precios'!E554="","",'Global Precios'!E554)</f>
        <v>Jaspe</v>
      </c>
      <c r="U553" s="18"/>
      <c r="V553" s="18">
        <f t="shared" si="2"/>
        <v>0</v>
      </c>
      <c r="W553" s="18"/>
      <c r="X553" s="18"/>
      <c r="Y553" s="18"/>
      <c r="Z553" s="18"/>
      <c r="AA553" s="18"/>
      <c r="AB553" s="18">
        <f t="shared" si="3"/>
        <v>1</v>
      </c>
      <c r="AC553" s="18">
        <f t="shared" si="4"/>
        <v>1</v>
      </c>
      <c r="AD553" s="18">
        <f t="shared" si="5"/>
        <v>1</v>
      </c>
      <c r="AE553" s="18">
        <f t="shared" si="6"/>
        <v>1</v>
      </c>
    </row>
    <row r="554">
      <c r="A554" s="9">
        <f>IF(E554="","", IF('Global Precios'!B555="",0,'Global Precios'!B555))</f>
        <v>0</v>
      </c>
      <c r="B554" s="14" t="str">
        <f>IF('Global Precios'!B555="","",'Global Precios'!B555)</f>
        <v/>
      </c>
      <c r="C554" s="18" t="str">
        <f>IF('Global Precios'!A555="","",'Global Precios'!A555)</f>
        <v>583</v>
      </c>
      <c r="D554" s="18"/>
      <c r="E554" s="25" t="str">
        <f>IF('Global Precios'!D555="","",'Global Precios'!D555)</f>
        <v>PIMODEN 2.5 MG X 10 COMPRIMIDOS</v>
      </c>
      <c r="F554" s="18"/>
      <c r="G554" s="25" t="str">
        <f>IFERROR(VLOOKUP(C554,'BuscarV Stock'!$A$2:$C$478,3,0),"AAA")</f>
        <v>AAA</v>
      </c>
      <c r="H554" s="25">
        <f t="shared" si="1"/>
        <v>0.21</v>
      </c>
      <c r="I554" s="30">
        <f>IF('Global Precios'!H555="","",'Global Precios'!H555)</f>
        <v>2514.049587</v>
      </c>
      <c r="J554" s="82">
        <f>IF('Global Precios'!K555="","",'Global Precios'!K555)</f>
        <v>0.7</v>
      </c>
      <c r="K554" s="30">
        <f>IF('Global Precios'!Z555="Desactivado",0,IF('Global Precios'!L555="","",'Global Precios'!L555))</f>
        <v>5000</v>
      </c>
      <c r="L554" s="18"/>
      <c r="M554" s="18"/>
      <c r="N554" s="18"/>
      <c r="O554" s="18"/>
      <c r="P554" s="18"/>
      <c r="Q554" s="18"/>
      <c r="R554" s="18" t="str">
        <f>IF('Global Precios'!F555="","",'Global Precios'!F555)</f>
        <v>Medicamentos</v>
      </c>
      <c r="S554" s="18"/>
      <c r="T554" s="18" t="str">
        <f>IF('Global Precios'!E555="","",'Global Precios'!E555)</f>
        <v>Janvier</v>
      </c>
      <c r="U554" s="18"/>
      <c r="V554" s="18">
        <f t="shared" si="2"/>
        <v>0</v>
      </c>
      <c r="W554" s="18"/>
      <c r="X554" s="18"/>
      <c r="Y554" s="18"/>
      <c r="Z554" s="18"/>
      <c r="AA554" s="18"/>
      <c r="AB554" s="18">
        <f t="shared" si="3"/>
        <v>1</v>
      </c>
      <c r="AC554" s="18">
        <f t="shared" si="4"/>
        <v>1</v>
      </c>
      <c r="AD554" s="18">
        <f t="shared" si="5"/>
        <v>1</v>
      </c>
      <c r="AE554" s="18">
        <f t="shared" si="6"/>
        <v>1</v>
      </c>
    </row>
    <row r="555">
      <c r="A555" s="9">
        <f>IF(E555="","", IF('Global Precios'!B556="",0,'Global Precios'!B556))</f>
        <v>0</v>
      </c>
      <c r="B555" s="14" t="str">
        <f>IF('Global Precios'!B556="","",'Global Precios'!B556)</f>
        <v/>
      </c>
      <c r="C555" s="18" t="str">
        <f>IF('Global Precios'!A556="","",'Global Precios'!A556)</f>
        <v>584</v>
      </c>
      <c r="D555" s="18"/>
      <c r="E555" s="25" t="str">
        <f>IF('Global Precios'!D556="","",'Global Precios'!D556)</f>
        <v>CARDIOVIER E 10 KG X 10 COMPRIMIDOS</v>
      </c>
      <c r="F555" s="18"/>
      <c r="G555" s="25" t="str">
        <f>IFERROR(VLOOKUP(C555,'BuscarV Stock'!$A$2:$C$478,3,0),"AAA")</f>
        <v>AAA</v>
      </c>
      <c r="H555" s="25">
        <f t="shared" si="1"/>
        <v>0.21</v>
      </c>
      <c r="I555" s="30">
        <f>IF('Global Precios'!H556="","",'Global Precios'!H556)</f>
        <v>3246.280992</v>
      </c>
      <c r="J555" s="82">
        <f>IF('Global Precios'!K556="","",'Global Precios'!K556)</f>
        <v>0.7</v>
      </c>
      <c r="K555" s="30">
        <f>IF('Global Precios'!Z556="Desactivado",0,IF('Global Precios'!L556="","",'Global Precios'!L556))</f>
        <v>6500</v>
      </c>
      <c r="L555" s="18"/>
      <c r="M555" s="18"/>
      <c r="N555" s="18"/>
      <c r="O555" s="18"/>
      <c r="P555" s="18"/>
      <c r="Q555" s="18"/>
      <c r="R555" s="18" t="str">
        <f>IF('Global Precios'!F556="","",'Global Precios'!F556)</f>
        <v>Medicamentos</v>
      </c>
      <c r="S555" s="18"/>
      <c r="T555" s="18" t="str">
        <f>IF('Global Precios'!E556="","",'Global Precios'!E556)</f>
        <v>Janvier</v>
      </c>
      <c r="U555" s="18"/>
      <c r="V555" s="18">
        <f t="shared" si="2"/>
        <v>0</v>
      </c>
      <c r="W555" s="18"/>
      <c r="X555" s="18"/>
      <c r="Y555" s="18"/>
      <c r="Z555" s="18"/>
      <c r="AA555" s="18"/>
      <c r="AB555" s="18">
        <f t="shared" si="3"/>
        <v>1</v>
      </c>
      <c r="AC555" s="18">
        <f t="shared" si="4"/>
        <v>1</v>
      </c>
      <c r="AD555" s="18">
        <f t="shared" si="5"/>
        <v>1</v>
      </c>
      <c r="AE555" s="18">
        <f t="shared" si="6"/>
        <v>1</v>
      </c>
    </row>
    <row r="556">
      <c r="A556" s="9">
        <f>IF(E556="","", IF('Global Precios'!B557="",0,'Global Precios'!B557))</f>
        <v>0</v>
      </c>
      <c r="B556" s="14" t="str">
        <f>IF('Global Precios'!B557="","",'Global Precios'!B557)</f>
        <v/>
      </c>
      <c r="C556" s="18" t="str">
        <f>IF('Global Precios'!A557="","",'Global Precios'!A557)</f>
        <v>585</v>
      </c>
      <c r="D556" s="18"/>
      <c r="E556" s="25" t="str">
        <f>IF('Global Precios'!D557="","",'Global Precios'!D557)</f>
        <v>TRAT. INTEGRAL GATOS 0 A 4 KG</v>
      </c>
      <c r="F556" s="18"/>
      <c r="G556" s="25" t="str">
        <f>IFERROR(VLOOKUP(C556,'BuscarV Stock'!$A$2:$C$478,3,0),"AAA")</f>
        <v>AAA</v>
      </c>
      <c r="H556" s="25">
        <f t="shared" si="1"/>
        <v>0.21</v>
      </c>
      <c r="I556" s="30">
        <f>IF('Global Precios'!H557="","",'Global Precios'!H557)</f>
        <v>3144.628099</v>
      </c>
      <c r="J556" s="82">
        <f>IF('Global Precios'!K557="","",'Global Precios'!K557)</f>
        <v>0.7</v>
      </c>
      <c r="K556" s="30">
        <f>IF('Global Precios'!Z557="Desactivado",0,IF('Global Precios'!L557="","",'Global Precios'!L557))</f>
        <v>6500</v>
      </c>
      <c r="L556" s="18"/>
      <c r="M556" s="18"/>
      <c r="N556" s="18"/>
      <c r="O556" s="18"/>
      <c r="P556" s="18"/>
      <c r="Q556" s="18"/>
      <c r="R556" s="18" t="str">
        <f>IF('Global Precios'!F557="","",'Global Precios'!F557)</f>
        <v>Medicamentos</v>
      </c>
      <c r="S556" s="18"/>
      <c r="T556" s="18" t="str">
        <f>IF('Global Precios'!E557="","",'Global Precios'!E557)</f>
        <v>Zoovet</v>
      </c>
      <c r="U556" s="18"/>
      <c r="V556" s="18">
        <f t="shared" si="2"/>
        <v>0</v>
      </c>
      <c r="W556" s="18"/>
      <c r="X556" s="18"/>
      <c r="Y556" s="18"/>
      <c r="Z556" s="18"/>
      <c r="AA556" s="18"/>
      <c r="AB556" s="18">
        <f t="shared" si="3"/>
        <v>1</v>
      </c>
      <c r="AC556" s="18">
        <f t="shared" si="4"/>
        <v>1</v>
      </c>
      <c r="AD556" s="18">
        <f t="shared" si="5"/>
        <v>1</v>
      </c>
      <c r="AE556" s="18">
        <f t="shared" si="6"/>
        <v>1</v>
      </c>
    </row>
    <row r="557">
      <c r="A557" s="9">
        <f>IF(E557="","", IF('Global Precios'!B558="",0,'Global Precios'!B558))</f>
        <v>0</v>
      </c>
      <c r="B557" s="14" t="str">
        <f>IF('Global Precios'!B558="","",'Global Precios'!B558)</f>
        <v/>
      </c>
      <c r="C557" s="18" t="str">
        <f>IF('Global Precios'!A558="","",'Global Precios'!A558)</f>
        <v>586</v>
      </c>
      <c r="D557" s="18"/>
      <c r="E557" s="25" t="str">
        <f>IF('Global Precios'!D558="","",'Global Precios'!D558)</f>
        <v>TRAT. INTEGRAL GATOS 4 A 9 KG</v>
      </c>
      <c r="F557" s="18"/>
      <c r="G557" s="25" t="str">
        <f>IFERROR(VLOOKUP(C557,'BuscarV Stock'!$A$2:$C$478,3,0),"AAA")</f>
        <v>AAA</v>
      </c>
      <c r="H557" s="25">
        <f t="shared" si="1"/>
        <v>0.21</v>
      </c>
      <c r="I557" s="30">
        <f>IF('Global Precios'!H558="","",'Global Precios'!H558)</f>
        <v>3547.933884</v>
      </c>
      <c r="J557" s="82">
        <f>IF('Global Precios'!K558="","",'Global Precios'!K558)</f>
        <v>0.7</v>
      </c>
      <c r="K557" s="30">
        <f>IF('Global Precios'!Z558="Desactivado",0,IF('Global Precios'!L558="","",'Global Precios'!L558))</f>
        <v>7500</v>
      </c>
      <c r="L557" s="18"/>
      <c r="M557" s="18"/>
      <c r="N557" s="18"/>
      <c r="O557" s="18"/>
      <c r="P557" s="18"/>
      <c r="Q557" s="18"/>
      <c r="R557" s="18" t="str">
        <f>IF('Global Precios'!F558="","",'Global Precios'!F558)</f>
        <v>Medicamentos</v>
      </c>
      <c r="S557" s="18"/>
      <c r="T557" s="18" t="str">
        <f>IF('Global Precios'!E558="","",'Global Precios'!E558)</f>
        <v>Zoovet</v>
      </c>
      <c r="U557" s="18"/>
      <c r="V557" s="18">
        <f t="shared" si="2"/>
        <v>0</v>
      </c>
      <c r="W557" s="18"/>
      <c r="X557" s="18"/>
      <c r="Y557" s="18"/>
      <c r="Z557" s="18"/>
      <c r="AA557" s="18"/>
      <c r="AB557" s="18">
        <f t="shared" si="3"/>
        <v>1</v>
      </c>
      <c r="AC557" s="18">
        <f t="shared" si="4"/>
        <v>1</v>
      </c>
      <c r="AD557" s="18">
        <f t="shared" si="5"/>
        <v>1</v>
      </c>
      <c r="AE557" s="18">
        <f t="shared" si="6"/>
        <v>1</v>
      </c>
    </row>
    <row r="558">
      <c r="A558" s="9">
        <f>IF(E558="","", IF('Global Precios'!B559="",0,'Global Precios'!B559))</f>
        <v>0</v>
      </c>
      <c r="B558" s="14" t="str">
        <f>IF('Global Precios'!B559="","",'Global Precios'!B559)</f>
        <v/>
      </c>
      <c r="C558" s="18" t="str">
        <f>IF('Global Precios'!A559="","",'Global Precios'!A559)</f>
        <v>587</v>
      </c>
      <c r="D558" s="18"/>
      <c r="E558" s="25" t="str">
        <f>IF('Global Precios'!D559="","",'Global Precios'!D559)</f>
        <v>JASPE GATO URINARY X 8 KG</v>
      </c>
      <c r="F558" s="18"/>
      <c r="G558" s="25" t="str">
        <f>IFERROR(VLOOKUP(C558,'BuscarV Stock'!$A$2:$C$478,3,0),"AAA")</f>
        <v>AAA</v>
      </c>
      <c r="H558" s="25">
        <f t="shared" si="1"/>
        <v>0.21</v>
      </c>
      <c r="I558" s="30">
        <f>IF('Global Precios'!H559="","",'Global Precios'!H559)</f>
        <v>16528.92562</v>
      </c>
      <c r="J558" s="82">
        <f>IF('Global Precios'!K559="","",'Global Precios'!K559)</f>
        <v>0.5</v>
      </c>
      <c r="K558" s="30">
        <f>IF('Global Precios'!Z559="Desactivado",0,IF('Global Precios'!L559="","",'Global Precios'!L559))</f>
        <v>0</v>
      </c>
      <c r="L558" s="18"/>
      <c r="M558" s="18"/>
      <c r="N558" s="18"/>
      <c r="O558" s="18"/>
      <c r="P558" s="18"/>
      <c r="Q558" s="18"/>
      <c r="R558" s="18" t="str">
        <f>IF('Global Precios'!F559="","",'Global Precios'!F559)</f>
        <v>Alimentos</v>
      </c>
      <c r="S558" s="18"/>
      <c r="T558" s="18" t="str">
        <f>IF('Global Precios'!E559="","",'Global Precios'!E559)</f>
        <v>Jaspe</v>
      </c>
      <c r="U558" s="18"/>
      <c r="V558" s="18">
        <f t="shared" si="2"/>
        <v>0</v>
      </c>
      <c r="W558" s="18"/>
      <c r="X558" s="18"/>
      <c r="Y558" s="18"/>
      <c r="Z558" s="18"/>
      <c r="AA558" s="18"/>
      <c r="AB558" s="18">
        <f t="shared" si="3"/>
        <v>1</v>
      </c>
      <c r="AC558" s="18">
        <f t="shared" si="4"/>
        <v>1</v>
      </c>
      <c r="AD558" s="18">
        <f t="shared" si="5"/>
        <v>1</v>
      </c>
      <c r="AE558" s="18">
        <f t="shared" si="6"/>
        <v>1</v>
      </c>
    </row>
    <row r="559">
      <c r="A559" s="9">
        <f>IF(E559="","", IF('Global Precios'!B560="",0,'Global Precios'!B560))</f>
        <v>0</v>
      </c>
      <c r="B559" s="14" t="str">
        <f>IF('Global Precios'!B560="","",'Global Precios'!B560)</f>
        <v/>
      </c>
      <c r="C559" s="18" t="str">
        <f>IF('Global Precios'!A560="","",'Global Precios'!A560)</f>
        <v>588</v>
      </c>
      <c r="D559" s="18"/>
      <c r="E559" s="25" t="str">
        <f>IF('Global Precios'!D560="","",'Global Precios'!D560)</f>
        <v>MOISES HEXAGONAL</v>
      </c>
      <c r="F559" s="18"/>
      <c r="G559" s="25" t="str">
        <f>IFERROR(VLOOKUP(C559,'BuscarV Stock'!$A$2:$C$478,3,0),"AAA")</f>
        <v>AAA</v>
      </c>
      <c r="H559" s="25">
        <f t="shared" si="1"/>
        <v>0.21</v>
      </c>
      <c r="I559" s="30">
        <f>IF('Global Precios'!H560="","",'Global Precios'!H560)</f>
        <v>15753.71901</v>
      </c>
      <c r="J559" s="82">
        <f>IF('Global Precios'!K560="","",'Global Precios'!K560)</f>
        <v>0.5</v>
      </c>
      <c r="K559" s="30">
        <f>IF('Global Precios'!Z560="Desactivado",0,IF('Global Precios'!L560="","",'Global Precios'!L560))</f>
        <v>29000</v>
      </c>
      <c r="L559" s="18"/>
      <c r="M559" s="18"/>
      <c r="N559" s="18"/>
      <c r="O559" s="18"/>
      <c r="P559" s="18"/>
      <c r="Q559" s="18"/>
      <c r="R559" s="18" t="str">
        <f>IF('Global Precios'!F560="","",'Global Precios'!F560)</f>
        <v>Pet-shop</v>
      </c>
      <c r="S559" s="18"/>
      <c r="T559" s="18" t="str">
        <f>IF('Global Precios'!E560="","",'Global Precios'!E560)</f>
        <v/>
      </c>
      <c r="U559" s="18"/>
      <c r="V559" s="18">
        <f t="shared" si="2"/>
        <v>0</v>
      </c>
      <c r="W559" s="18"/>
      <c r="X559" s="18"/>
      <c r="Y559" s="18"/>
      <c r="Z559" s="18"/>
      <c r="AA559" s="18"/>
      <c r="AB559" s="18">
        <f t="shared" si="3"/>
        <v>1</v>
      </c>
      <c r="AC559" s="18">
        <f t="shared" si="4"/>
        <v>1</v>
      </c>
      <c r="AD559" s="18">
        <f t="shared" si="5"/>
        <v>1</v>
      </c>
      <c r="AE559" s="18">
        <f t="shared" si="6"/>
        <v>1</v>
      </c>
    </row>
    <row r="560">
      <c r="A560" s="9">
        <f>IF(E560="","", IF('Global Precios'!B561="",0,'Global Precios'!B561))</f>
        <v>0</v>
      </c>
      <c r="B560" s="14" t="str">
        <f>IF('Global Precios'!B561="","",'Global Precios'!B561)</f>
        <v/>
      </c>
      <c r="C560" s="18" t="str">
        <f>IF('Global Precios'!A561="","",'Global Precios'!A561)</f>
        <v>589</v>
      </c>
      <c r="D560" s="18"/>
      <c r="E560" s="25" t="str">
        <f>IF('Global Precios'!D561="","",'Global Precios'!D561)</f>
        <v>JASPE PREMIUM AD MP X 15 KG</v>
      </c>
      <c r="F560" s="18"/>
      <c r="G560" s="25" t="str">
        <f>IFERROR(VLOOKUP(C560,'BuscarV Stock'!$A$2:$C$478,3,0),"AAA")</f>
        <v>AAA</v>
      </c>
      <c r="H560" s="25">
        <f t="shared" si="1"/>
        <v>0.21</v>
      </c>
      <c r="I560" s="30">
        <f>IF('Global Precios'!H561="","",'Global Precios'!H561)</f>
        <v>17768.59504</v>
      </c>
      <c r="J560" s="82">
        <f>IF('Global Precios'!K561="","",'Global Precios'!K561)</f>
        <v>0.5</v>
      </c>
      <c r="K560" s="30">
        <f>IF('Global Precios'!Z561="Desactivado",0,IF('Global Precios'!L561="","",'Global Precios'!L561))</f>
        <v>0</v>
      </c>
      <c r="L560" s="18"/>
      <c r="M560" s="18"/>
      <c r="N560" s="18"/>
      <c r="O560" s="18"/>
      <c r="P560" s="18"/>
      <c r="Q560" s="18"/>
      <c r="R560" s="18" t="str">
        <f>IF('Global Precios'!F561="","",'Global Precios'!F561)</f>
        <v>Alimentos</v>
      </c>
      <c r="S560" s="18"/>
      <c r="T560" s="18" t="str">
        <f>IF('Global Precios'!E561="","",'Global Precios'!E561)</f>
        <v>Jaspe</v>
      </c>
      <c r="U560" s="18"/>
      <c r="V560" s="18">
        <f t="shared" si="2"/>
        <v>0</v>
      </c>
      <c r="W560" s="18"/>
      <c r="X560" s="18"/>
      <c r="Y560" s="18"/>
      <c r="Z560" s="18"/>
      <c r="AA560" s="18"/>
      <c r="AB560" s="18">
        <f t="shared" si="3"/>
        <v>1</v>
      </c>
      <c r="AC560" s="18">
        <f t="shared" si="4"/>
        <v>1</v>
      </c>
      <c r="AD560" s="18">
        <f t="shared" si="5"/>
        <v>1</v>
      </c>
      <c r="AE560" s="18">
        <f t="shared" si="6"/>
        <v>1</v>
      </c>
    </row>
    <row r="561">
      <c r="A561" s="9">
        <f>IF(E561="","", IF('Global Precios'!B562="",0,'Global Precios'!B562))</f>
        <v>0</v>
      </c>
      <c r="B561" s="14" t="str">
        <f>IF('Global Precios'!B562="","",'Global Precios'!B562)</f>
        <v/>
      </c>
      <c r="C561" s="18" t="str">
        <f>IF('Global Precios'!A562="","",'Global Precios'!A562)</f>
        <v>592</v>
      </c>
      <c r="D561" s="18"/>
      <c r="E561" s="25" t="str">
        <f>IF('Global Precios'!D562="","",'Global Precios'!D562)</f>
        <v>CIPROVET LA X 5 ML</v>
      </c>
      <c r="F561" s="18"/>
      <c r="G561" s="25" t="str">
        <f>IFERROR(VLOOKUP(C561,'BuscarV Stock'!$A$2:$C$478,3,0),"AAA")</f>
        <v>AAA</v>
      </c>
      <c r="H561" s="25">
        <f t="shared" si="1"/>
        <v>0.21</v>
      </c>
      <c r="I561" s="30">
        <f>IF('Global Precios'!H562="","",'Global Precios'!H562)</f>
        <v>11892.56198</v>
      </c>
      <c r="J561" s="82">
        <f>IF('Global Precios'!K562="","",'Global Precios'!K562)</f>
        <v>0.6</v>
      </c>
      <c r="K561" s="30">
        <f>IF('Global Precios'!Z562="Desactivado",0,IF('Global Precios'!L562="","",'Global Precios'!L562))</f>
        <v>23000</v>
      </c>
      <c r="L561" s="18"/>
      <c r="M561" s="18"/>
      <c r="N561" s="18"/>
      <c r="O561" s="18"/>
      <c r="P561" s="18"/>
      <c r="Q561" s="18"/>
      <c r="R561" s="18" t="str">
        <f>IF('Global Precios'!F562="","",'Global Precios'!F562)</f>
        <v>Medicamentos</v>
      </c>
      <c r="S561" s="18"/>
      <c r="T561" s="18" t="str">
        <f>IF('Global Precios'!E562="","",'Global Precios'!E562)</f>
        <v>Labyes</v>
      </c>
      <c r="U561" s="18"/>
      <c r="V561" s="18">
        <f t="shared" si="2"/>
        <v>0</v>
      </c>
      <c r="W561" s="18"/>
      <c r="X561" s="18"/>
      <c r="Y561" s="18"/>
      <c r="Z561" s="18"/>
      <c r="AA561" s="18"/>
      <c r="AB561" s="18">
        <f t="shared" si="3"/>
        <v>1</v>
      </c>
      <c r="AC561" s="18">
        <f t="shared" si="4"/>
        <v>1</v>
      </c>
      <c r="AD561" s="18">
        <f t="shared" si="5"/>
        <v>1</v>
      </c>
      <c r="AE561" s="18">
        <f t="shared" si="6"/>
        <v>1</v>
      </c>
    </row>
    <row r="562">
      <c r="A562" s="9">
        <f>IF(E562="","", IF('Global Precios'!B563="",0,'Global Precios'!B563))</f>
        <v>0</v>
      </c>
      <c r="B562" s="14" t="str">
        <f>IF('Global Precios'!B563="","",'Global Precios'!B563)</f>
        <v/>
      </c>
      <c r="C562" s="18" t="str">
        <f>IF('Global Precios'!A563="","",'Global Precios'!A563)</f>
        <v>593</v>
      </c>
      <c r="D562" s="18"/>
      <c r="E562" s="25" t="str">
        <f>IF('Global Precios'!D563="","",'Global Precios'!D563)</f>
        <v>JASPE PREMIUM AD MT X 15 KG</v>
      </c>
      <c r="F562" s="18"/>
      <c r="G562" s="25" t="str">
        <f>IFERROR(VLOOKUP(C562,'BuscarV Stock'!$A$2:$C$478,3,0),"AAA")</f>
        <v>AAA</v>
      </c>
      <c r="H562" s="25">
        <f t="shared" si="1"/>
        <v>0.21</v>
      </c>
      <c r="I562" s="30">
        <f>IF('Global Precios'!H563="","",'Global Precios'!H563)</f>
        <v>22099.17355</v>
      </c>
      <c r="J562" s="82">
        <f>IF('Global Precios'!K563="","",'Global Precios'!K563)</f>
        <v>0.5</v>
      </c>
      <c r="K562" s="30">
        <f>IF('Global Precios'!Z563="Desactivado",0,IF('Global Precios'!L563="","",'Global Precios'!L563))</f>
        <v>0</v>
      </c>
      <c r="L562" s="18"/>
      <c r="M562" s="18"/>
      <c r="N562" s="18"/>
      <c r="O562" s="18"/>
      <c r="P562" s="18"/>
      <c r="Q562" s="18"/>
      <c r="R562" s="18" t="str">
        <f>IF('Global Precios'!F563="","",'Global Precios'!F563)</f>
        <v>Alimentos</v>
      </c>
      <c r="S562" s="18"/>
      <c r="T562" s="18" t="str">
        <f>IF('Global Precios'!E563="","",'Global Precios'!E563)</f>
        <v>Jaspe</v>
      </c>
      <c r="U562" s="18"/>
      <c r="V562" s="18">
        <f t="shared" si="2"/>
        <v>0</v>
      </c>
      <c r="W562" s="18"/>
      <c r="X562" s="18"/>
      <c r="Y562" s="18"/>
      <c r="Z562" s="18"/>
      <c r="AA562" s="18"/>
      <c r="AB562" s="18">
        <f t="shared" si="3"/>
        <v>1</v>
      </c>
      <c r="AC562" s="18">
        <f t="shared" si="4"/>
        <v>1</v>
      </c>
      <c r="AD562" s="18">
        <f t="shared" si="5"/>
        <v>1</v>
      </c>
      <c r="AE562" s="18">
        <f t="shared" si="6"/>
        <v>1</v>
      </c>
    </row>
    <row r="563">
      <c r="A563" s="9">
        <f>IF(E563="","", IF('Global Precios'!B564="",0,'Global Precios'!B564))</f>
        <v>0</v>
      </c>
      <c r="B563" s="14" t="str">
        <f>IF('Global Precios'!B564="","",'Global Precios'!B564)</f>
        <v/>
      </c>
      <c r="C563" s="18" t="str">
        <f>IF('Global Precios'!A564="","",'Global Precios'!A564)</f>
        <v>594</v>
      </c>
      <c r="D563" s="18"/>
      <c r="E563" s="25" t="str">
        <f>IF('Global Precios'!D564="","",'Global Precios'!D564)</f>
        <v>DEXAFLOX X 5 ML</v>
      </c>
      <c r="F563" s="18"/>
      <c r="G563" s="25" t="str">
        <f>IFERROR(VLOOKUP(C563,'BuscarV Stock'!$A$2:$C$478,3,0),"AAA")</f>
        <v>AAA</v>
      </c>
      <c r="H563" s="25">
        <f t="shared" si="1"/>
        <v>0.21</v>
      </c>
      <c r="I563" s="30">
        <f>IF('Global Precios'!H564="","",'Global Precios'!H564)</f>
        <v>6225.619835</v>
      </c>
      <c r="J563" s="82">
        <f>IF('Global Precios'!K564="","",'Global Precios'!K564)</f>
        <v>0.6</v>
      </c>
      <c r="K563" s="30">
        <f>IF('Global Precios'!Z564="Desactivado",0,IF('Global Precios'!L564="","",'Global Precios'!L564))</f>
        <v>12000</v>
      </c>
      <c r="L563" s="18"/>
      <c r="M563" s="18"/>
      <c r="N563" s="18"/>
      <c r="O563" s="18"/>
      <c r="P563" s="18"/>
      <c r="Q563" s="18"/>
      <c r="R563" s="18" t="str">
        <f>IF('Global Precios'!F564="","",'Global Precios'!F564)</f>
        <v>Medicamentos</v>
      </c>
      <c r="S563" s="18"/>
      <c r="T563" s="18" t="str">
        <f>IF('Global Precios'!E564="","",'Global Precios'!E564)</f>
        <v>Brouwer</v>
      </c>
      <c r="U563" s="18"/>
      <c r="V563" s="18">
        <f t="shared" si="2"/>
        <v>0</v>
      </c>
      <c r="W563" s="18"/>
      <c r="X563" s="18"/>
      <c r="Y563" s="18"/>
      <c r="Z563" s="18"/>
      <c r="AA563" s="18"/>
      <c r="AB563" s="18">
        <f t="shared" si="3"/>
        <v>1</v>
      </c>
      <c r="AC563" s="18">
        <f t="shared" si="4"/>
        <v>1</v>
      </c>
      <c r="AD563" s="18">
        <f t="shared" si="5"/>
        <v>1</v>
      </c>
      <c r="AE563" s="18">
        <f t="shared" si="6"/>
        <v>1</v>
      </c>
    </row>
    <row r="564">
      <c r="A564" s="9">
        <f>IF(E564="","", IF('Global Precios'!B565="",0,'Global Precios'!B565))</f>
        <v>0</v>
      </c>
      <c r="B564" s="14" t="str">
        <f>IF('Global Precios'!B565="","",'Global Precios'!B565)</f>
        <v/>
      </c>
      <c r="C564" s="18" t="str">
        <f>IF('Global Precios'!A565="","",'Global Precios'!A565)</f>
        <v>595</v>
      </c>
      <c r="D564" s="18"/>
      <c r="E564" s="25" t="str">
        <f>IF('Global Precios'!D565="","",'Global Precios'!D565)</f>
        <v>CYTOPOINT X 40 MG</v>
      </c>
      <c r="F564" s="18"/>
      <c r="G564" s="25" t="str">
        <f>IFERROR(VLOOKUP(C564,'BuscarV Stock'!$A$2:$C$478,3,0),"AAA")</f>
        <v>AAA</v>
      </c>
      <c r="H564" s="25">
        <f t="shared" si="1"/>
        <v>0.21</v>
      </c>
      <c r="I564" s="30">
        <f>IF('Global Precios'!H565="","",'Global Precios'!H565)</f>
        <v>108986.7769</v>
      </c>
      <c r="J564" s="82">
        <f>IF('Global Precios'!K565="","",'Global Precios'!K565)</f>
        <v>0.45</v>
      </c>
      <c r="K564" s="30">
        <f>IF('Global Precios'!Z565="Desactivado",0,IF('Global Precios'!L565="","",'Global Precios'!L565))</f>
        <v>191000</v>
      </c>
      <c r="L564" s="18"/>
      <c r="M564" s="18"/>
      <c r="N564" s="18"/>
      <c r="O564" s="18"/>
      <c r="P564" s="18"/>
      <c r="Q564" s="18"/>
      <c r="R564" s="18" t="str">
        <f>IF('Global Precios'!F565="","",'Global Precios'!F565)</f>
        <v>Medicamentos</v>
      </c>
      <c r="S564" s="18"/>
      <c r="T564" s="18" t="str">
        <f>IF('Global Precios'!E565="","",'Global Precios'!E565)</f>
        <v>ZOETIS</v>
      </c>
      <c r="U564" s="18"/>
      <c r="V564" s="18">
        <f t="shared" si="2"/>
        <v>0</v>
      </c>
      <c r="W564" s="18"/>
      <c r="X564" s="18"/>
      <c r="Y564" s="18"/>
      <c r="Z564" s="18"/>
      <c r="AA564" s="18"/>
      <c r="AB564" s="18">
        <f t="shared" si="3"/>
        <v>1</v>
      </c>
      <c r="AC564" s="18">
        <f t="shared" si="4"/>
        <v>1</v>
      </c>
      <c r="AD564" s="18">
        <f t="shared" si="5"/>
        <v>1</v>
      </c>
      <c r="AE564" s="18">
        <f t="shared" si="6"/>
        <v>1</v>
      </c>
    </row>
    <row r="565">
      <c r="A565" s="9">
        <f>IF(E565="","", IF('Global Precios'!B566="",0,'Global Precios'!B566))</f>
        <v>0</v>
      </c>
      <c r="B565" s="14" t="str">
        <f>IF('Global Precios'!B566="","",'Global Precios'!B566)</f>
        <v/>
      </c>
      <c r="C565" s="18" t="str">
        <f>IF('Global Precios'!A566="","",'Global Precios'!A566)</f>
        <v>596</v>
      </c>
      <c r="D565" s="18"/>
      <c r="E565" s="25" t="str">
        <f>IF('Global Precios'!D566="","",'Global Precios'!D566)</f>
        <v>PYO DERM 1000 X 4 COMP</v>
      </c>
      <c r="F565" s="18"/>
      <c r="G565" s="25" t="str">
        <f>IFERROR(VLOOKUP(C565,'BuscarV Stock'!$A$2:$C$478,3,0),"AAA")</f>
        <v>AAA</v>
      </c>
      <c r="H565" s="25">
        <f t="shared" si="1"/>
        <v>0.21</v>
      </c>
      <c r="I565" s="30">
        <f>IF('Global Precios'!H566="","",'Global Precios'!H566)</f>
        <v>1760.330579</v>
      </c>
      <c r="J565" s="82">
        <f>IF('Global Precios'!K566="","",'Global Precios'!K566)</f>
        <v>1</v>
      </c>
      <c r="K565" s="30">
        <f>IF('Global Precios'!Z566="Desactivado",0,IF('Global Precios'!L566="","",'Global Precios'!L566))</f>
        <v>4500</v>
      </c>
      <c r="L565" s="18"/>
      <c r="M565" s="18"/>
      <c r="N565" s="18"/>
      <c r="O565" s="18"/>
      <c r="P565" s="18"/>
      <c r="Q565" s="18"/>
      <c r="R565" s="18" t="str">
        <f>IF('Global Precios'!F566="","",'Global Precios'!F566)</f>
        <v>Clinica</v>
      </c>
      <c r="S565" s="18"/>
      <c r="T565" s="18" t="str">
        <f>IF('Global Precios'!E566="","",'Global Precios'!E566)</f>
        <v>IDV</v>
      </c>
      <c r="U565" s="18"/>
      <c r="V565" s="18">
        <f t="shared" si="2"/>
        <v>0</v>
      </c>
      <c r="W565" s="18"/>
      <c r="X565" s="18"/>
      <c r="Y565" s="18"/>
      <c r="Z565" s="18"/>
      <c r="AA565" s="18"/>
      <c r="AB565" s="18">
        <f t="shared" si="3"/>
        <v>1</v>
      </c>
      <c r="AC565" s="18">
        <f t="shared" si="4"/>
        <v>1</v>
      </c>
      <c r="AD565" s="18">
        <f t="shared" si="5"/>
        <v>1</v>
      </c>
      <c r="AE565" s="18">
        <f t="shared" si="6"/>
        <v>1</v>
      </c>
    </row>
    <row r="566">
      <c r="A566" s="9">
        <f>IF(E566="","", IF('Global Precios'!B567="",0,'Global Precios'!B567))</f>
        <v>0</v>
      </c>
      <c r="B566" s="14" t="str">
        <f>IF('Global Precios'!B567="","",'Global Precios'!B567)</f>
        <v/>
      </c>
      <c r="C566" s="18" t="str">
        <f>IF('Global Precios'!A567="","",'Global Precios'!A567)</f>
        <v>597</v>
      </c>
      <c r="D566" s="18"/>
      <c r="E566" s="25" t="str">
        <f>IF('Global Precios'!D567="","",'Global Precios'!D567)</f>
        <v>ROYAL CANNIN URINARY S/O FELINE X 1.5 KG</v>
      </c>
      <c r="F566" s="18"/>
      <c r="G566" s="25" t="str">
        <f>IFERROR(VLOOKUP(C566,'BuscarV Stock'!$A$2:$C$478,3,0),"AAA")</f>
        <v>AAA</v>
      </c>
      <c r="H566" s="25">
        <f t="shared" si="1"/>
        <v>0.21</v>
      </c>
      <c r="I566" s="30">
        <f>IF('Global Precios'!H567="","",'Global Precios'!H567)</f>
        <v>20661.15702</v>
      </c>
      <c r="J566" s="82">
        <f>IF('Global Precios'!K567="","",'Global Precios'!K567)</f>
        <v>0.4</v>
      </c>
      <c r="K566" s="30">
        <f>IF('Global Precios'!Z567="Desactivado",0,IF('Global Precios'!L567="","",'Global Precios'!L567))</f>
        <v>35000</v>
      </c>
      <c r="L566" s="18"/>
      <c r="M566" s="18"/>
      <c r="N566" s="18"/>
      <c r="O566" s="18"/>
      <c r="P566" s="18"/>
      <c r="Q566" s="18"/>
      <c r="R566" s="18" t="str">
        <f>IF('Global Precios'!F567="","",'Global Precios'!F567)</f>
        <v>Alimentos</v>
      </c>
      <c r="S566" s="18"/>
      <c r="T566" s="18" t="str">
        <f>IF('Global Precios'!E567="","",'Global Precios'!E567)</f>
        <v>ROYAL CANIN</v>
      </c>
      <c r="U566" s="18"/>
      <c r="V566" s="18">
        <f t="shared" si="2"/>
        <v>0</v>
      </c>
      <c r="W566" s="18"/>
      <c r="X566" s="18"/>
      <c r="Y566" s="18"/>
      <c r="Z566" s="18"/>
      <c r="AA566" s="18"/>
      <c r="AB566" s="18">
        <f t="shared" si="3"/>
        <v>1</v>
      </c>
      <c r="AC566" s="18">
        <f t="shared" si="4"/>
        <v>1</v>
      </c>
      <c r="AD566" s="18">
        <f t="shared" si="5"/>
        <v>1</v>
      </c>
      <c r="AE566" s="18">
        <f t="shared" si="6"/>
        <v>1</v>
      </c>
    </row>
    <row r="567">
      <c r="A567" s="9">
        <f>IF(E567="","", IF('Global Precios'!B568="",0,'Global Precios'!B568))</f>
        <v>0</v>
      </c>
      <c r="B567" s="14" t="str">
        <f>IF('Global Precios'!B568="","",'Global Precios'!B568)</f>
        <v/>
      </c>
      <c r="C567" s="18" t="str">
        <f>IF('Global Precios'!A568="","",'Global Precios'!A568)</f>
        <v>598</v>
      </c>
      <c r="D567" s="18"/>
      <c r="E567" s="25" t="str">
        <f>IF('Global Precios'!D568="","",'Global Precios'!D568)</f>
        <v>ROYAL CANNIN URINARY S/O FELINE X 400 GRS</v>
      </c>
      <c r="F567" s="18"/>
      <c r="G567" s="25" t="str">
        <f>IFERROR(VLOOKUP(C567,'BuscarV Stock'!$A$2:$C$478,3,0),"AAA")</f>
        <v>AAA</v>
      </c>
      <c r="H567" s="25">
        <f t="shared" si="1"/>
        <v>0.21</v>
      </c>
      <c r="I567" s="30">
        <f>IF('Global Precios'!H568="","",'Global Precios'!H568)</f>
        <v>6704.958678</v>
      </c>
      <c r="J567" s="82">
        <f>IF('Global Precios'!K568="","",'Global Precios'!K568)</f>
        <v>0.4</v>
      </c>
      <c r="K567" s="30">
        <f>IF('Global Precios'!Z568="Desactivado",0,IF('Global Precios'!L568="","",'Global Precios'!L568))</f>
        <v>11000</v>
      </c>
      <c r="L567" s="18"/>
      <c r="M567" s="18"/>
      <c r="N567" s="18"/>
      <c r="O567" s="18"/>
      <c r="P567" s="18"/>
      <c r="Q567" s="18"/>
      <c r="R567" s="18" t="str">
        <f>IF('Global Precios'!F568="","",'Global Precios'!F568)</f>
        <v>Alimentos</v>
      </c>
      <c r="S567" s="18"/>
      <c r="T567" s="18" t="str">
        <f>IF('Global Precios'!E568="","",'Global Precios'!E568)</f>
        <v>ROYAL CANIN</v>
      </c>
      <c r="U567" s="18"/>
      <c r="V567" s="18">
        <f t="shared" si="2"/>
        <v>0</v>
      </c>
      <c r="W567" s="18"/>
      <c r="X567" s="18"/>
      <c r="Y567" s="18"/>
      <c r="Z567" s="18"/>
      <c r="AA567" s="18"/>
      <c r="AB567" s="18">
        <f t="shared" si="3"/>
        <v>1</v>
      </c>
      <c r="AC567" s="18">
        <f t="shared" si="4"/>
        <v>1</v>
      </c>
      <c r="AD567" s="18">
        <f t="shared" si="5"/>
        <v>1</v>
      </c>
      <c r="AE567" s="18">
        <f t="shared" si="6"/>
        <v>1</v>
      </c>
    </row>
    <row r="568">
      <c r="A568" s="9">
        <f>IF(E568="","", IF('Global Precios'!B569="",0,'Global Precios'!B569))</f>
        <v>0</v>
      </c>
      <c r="B568" s="14" t="str">
        <f>IF('Global Precios'!B569="","",'Global Precios'!B569)</f>
        <v/>
      </c>
      <c r="C568" s="18" t="str">
        <f>IF('Global Precios'!A569="","",'Global Precios'!A569)</f>
        <v>599</v>
      </c>
      <c r="D568" s="18"/>
      <c r="E568" s="25" t="str">
        <f>IF('Global Precios'!D569="","",'Global Precios'!D569)</f>
        <v>CONJUNTO ALPINO RAYADO XL</v>
      </c>
      <c r="F568" s="18"/>
      <c r="G568" s="25" t="str">
        <f>IFERROR(VLOOKUP(C568,'BuscarV Stock'!$A$2:$C$478,3,0),"AAA")</f>
        <v>AAA</v>
      </c>
      <c r="H568" s="25">
        <f t="shared" si="1"/>
        <v>0.21</v>
      </c>
      <c r="I568" s="30">
        <f>IF('Global Precios'!H569="","",'Global Precios'!H569)</f>
        <v>11323.96694</v>
      </c>
      <c r="J568" s="82">
        <f>IF('Global Precios'!K569="","",'Global Precios'!K569)</f>
        <v>0.8</v>
      </c>
      <c r="K568" s="30">
        <f>IF('Global Precios'!Z569="Desactivado",0,IF('Global Precios'!L569="","",'Global Precios'!L569))</f>
        <v>25000</v>
      </c>
      <c r="L568" s="18"/>
      <c r="M568" s="18"/>
      <c r="N568" s="18"/>
      <c r="O568" s="18"/>
      <c r="P568" s="18"/>
      <c r="Q568" s="18"/>
      <c r="R568" s="18" t="str">
        <f>IF('Global Precios'!F569="","",'Global Precios'!F569)</f>
        <v>Pet-shop</v>
      </c>
      <c r="S568" s="18"/>
      <c r="T568" s="18" t="str">
        <f>IF('Global Precios'!E569="","",'Global Precios'!E569)</f>
        <v/>
      </c>
      <c r="U568" s="18"/>
      <c r="V568" s="18">
        <f t="shared" si="2"/>
        <v>0</v>
      </c>
      <c r="W568" s="18"/>
      <c r="X568" s="18"/>
      <c r="Y568" s="18"/>
      <c r="Z568" s="18"/>
      <c r="AA568" s="18"/>
      <c r="AB568" s="18">
        <f t="shared" si="3"/>
        <v>1</v>
      </c>
      <c r="AC568" s="18">
        <f t="shared" si="4"/>
        <v>1</v>
      </c>
      <c r="AD568" s="18">
        <f t="shared" si="5"/>
        <v>1</v>
      </c>
      <c r="AE568" s="18">
        <f t="shared" si="6"/>
        <v>1</v>
      </c>
    </row>
    <row r="569">
      <c r="A569" s="9">
        <f>IF(E569="","", IF('Global Precios'!B570="",0,'Global Precios'!B570))</f>
        <v>0</v>
      </c>
      <c r="B569" s="14" t="str">
        <f>IF('Global Precios'!B570="","",'Global Precios'!B570)</f>
        <v/>
      </c>
      <c r="C569" s="18" t="str">
        <f>IF('Global Precios'!A570="","",'Global Precios'!A570)</f>
        <v>600</v>
      </c>
      <c r="D569" s="18"/>
      <c r="E569" s="25" t="str">
        <f>IF('Global Precios'!D570="","",'Global Precios'!D570)</f>
        <v>COLLAR CON BANDANA S</v>
      </c>
      <c r="F569" s="18"/>
      <c r="G569" s="25" t="str">
        <f>IFERROR(VLOOKUP(C569,'BuscarV Stock'!$A$2:$C$478,3,0),"AAA")</f>
        <v>AAA</v>
      </c>
      <c r="H569" s="25">
        <f t="shared" si="1"/>
        <v>0.21</v>
      </c>
      <c r="I569" s="30">
        <f>IF('Global Precios'!H570="","",'Global Precios'!H570)</f>
        <v>1915.702479</v>
      </c>
      <c r="J569" s="82">
        <f>IF('Global Precios'!K570="","",'Global Precios'!K570)</f>
        <v>0.8</v>
      </c>
      <c r="K569" s="30">
        <f>IF('Global Precios'!Z570="Desactivado",0,IF('Global Precios'!L570="","",'Global Precios'!L570))</f>
        <v>4000</v>
      </c>
      <c r="L569" s="18"/>
      <c r="M569" s="18"/>
      <c r="N569" s="18"/>
      <c r="O569" s="18"/>
      <c r="P569" s="18"/>
      <c r="Q569" s="18"/>
      <c r="R569" s="18" t="str">
        <f>IF('Global Precios'!F570="","",'Global Precios'!F570)</f>
        <v>Pet-shop</v>
      </c>
      <c r="S569" s="18"/>
      <c r="T569" s="18" t="str">
        <f>IF('Global Precios'!E570="","",'Global Precios'!E570)</f>
        <v/>
      </c>
      <c r="U569" s="18"/>
      <c r="V569" s="18">
        <f t="shared" si="2"/>
        <v>0</v>
      </c>
      <c r="W569" s="18"/>
      <c r="X569" s="18"/>
      <c r="Y569" s="18"/>
      <c r="Z569" s="18"/>
      <c r="AA569" s="18"/>
      <c r="AB569" s="18">
        <f t="shared" si="3"/>
        <v>1</v>
      </c>
      <c r="AC569" s="18">
        <f t="shared" si="4"/>
        <v>1</v>
      </c>
      <c r="AD569" s="18">
        <f t="shared" si="5"/>
        <v>1</v>
      </c>
      <c r="AE569" s="18">
        <f t="shared" si="6"/>
        <v>1</v>
      </c>
    </row>
    <row r="570">
      <c r="A570" s="9">
        <f>IF(E570="","", IF('Global Precios'!B571="",0,'Global Precios'!B571))</f>
        <v>0</v>
      </c>
      <c r="B570" s="14" t="str">
        <f>IF('Global Precios'!B571="","",'Global Precios'!B571)</f>
        <v/>
      </c>
      <c r="C570" s="18" t="str">
        <f>IF('Global Precios'!A571="","",'Global Precios'!A571)</f>
        <v>601</v>
      </c>
      <c r="D570" s="18"/>
      <c r="E570" s="25" t="str">
        <f>IF('Global Precios'!D571="","",'Global Precios'!D571)</f>
        <v>KITTY SAN PIEDRAS SANITARIAS X 2,5 KG</v>
      </c>
      <c r="F570" s="18"/>
      <c r="G570" s="25" t="str">
        <f>IFERROR(VLOOKUP(C570,'BuscarV Stock'!$A$2:$C$478,3,0),"AAA")</f>
        <v>AAA</v>
      </c>
      <c r="H570" s="25">
        <f t="shared" si="1"/>
        <v>0.21</v>
      </c>
      <c r="I570" s="30">
        <f>IF('Global Precios'!H571="","",'Global Precios'!H571)</f>
        <v>1328.099174</v>
      </c>
      <c r="J570" s="82">
        <f>IF('Global Precios'!K571="","",'Global Precios'!K571)</f>
        <v>0.8</v>
      </c>
      <c r="K570" s="30">
        <f>IF('Global Precios'!Z571="Desactivado",0,IF('Global Precios'!L571="","",'Global Precios'!L571))</f>
        <v>3000</v>
      </c>
      <c r="L570" s="18"/>
      <c r="M570" s="18"/>
      <c r="N570" s="18"/>
      <c r="O570" s="18"/>
      <c r="P570" s="18"/>
      <c r="Q570" s="18"/>
      <c r="R570" s="18" t="str">
        <f>IF('Global Precios'!F571="","",'Global Precios'!F571)</f>
        <v>Pet-shop</v>
      </c>
      <c r="S570" s="18"/>
      <c r="T570" s="18" t="str">
        <f>IF('Global Precios'!E571="","",'Global Precios'!E571)</f>
        <v/>
      </c>
      <c r="U570" s="18"/>
      <c r="V570" s="18">
        <f t="shared" si="2"/>
        <v>0</v>
      </c>
      <c r="W570" s="18"/>
      <c r="X570" s="18"/>
      <c r="Y570" s="18"/>
      <c r="Z570" s="18"/>
      <c r="AA570" s="18"/>
      <c r="AB570" s="18">
        <f t="shared" si="3"/>
        <v>1</v>
      </c>
      <c r="AC570" s="18">
        <f t="shared" si="4"/>
        <v>1</v>
      </c>
      <c r="AD570" s="18">
        <f t="shared" si="5"/>
        <v>1</v>
      </c>
      <c r="AE570" s="18">
        <f t="shared" si="6"/>
        <v>1</v>
      </c>
    </row>
    <row r="571">
      <c r="A571" s="9">
        <f>IF(E571="","", IF('Global Precios'!B572="",0,'Global Precios'!B572))</f>
        <v>0</v>
      </c>
      <c r="B571" s="14" t="str">
        <f>IF('Global Precios'!B572="","",'Global Precios'!B572)</f>
        <v/>
      </c>
      <c r="C571" s="18" t="str">
        <f>IF('Global Precios'!A572="","",'Global Precios'!A572)</f>
        <v>602</v>
      </c>
      <c r="D571" s="18"/>
      <c r="E571" s="25" t="str">
        <f>IF('Global Precios'!D572="","",'Global Precios'!D572)</f>
        <v>CONJUNTO PRETAL Y CORREA SUBLIMADO N2</v>
      </c>
      <c r="F571" s="18"/>
      <c r="G571" s="25" t="str">
        <f>IFERROR(VLOOKUP(C571,'BuscarV Stock'!$A$2:$C$478,3,0),"AAA")</f>
        <v>AAA</v>
      </c>
      <c r="H571" s="25">
        <f t="shared" si="1"/>
        <v>0.21</v>
      </c>
      <c r="I571" s="30">
        <f>IF('Global Precios'!H572="","",'Global Precios'!H572)</f>
        <v>4229.752066</v>
      </c>
      <c r="J571" s="82">
        <f>IF('Global Precios'!K572="","",'Global Precios'!K572)</f>
        <v>0.8</v>
      </c>
      <c r="K571" s="30">
        <f>IF('Global Precios'!Z572="Desactivado",0,IF('Global Precios'!L572="","",'Global Precios'!L572))</f>
        <v>9000</v>
      </c>
      <c r="L571" s="18"/>
      <c r="M571" s="18"/>
      <c r="N571" s="18"/>
      <c r="O571" s="18"/>
      <c r="P571" s="18"/>
      <c r="Q571" s="18"/>
      <c r="R571" s="18" t="str">
        <f>IF('Global Precios'!F572="","",'Global Precios'!F572)</f>
        <v>Pet-shop</v>
      </c>
      <c r="S571" s="18"/>
      <c r="T571" s="18" t="str">
        <f>IF('Global Precios'!E572="","",'Global Precios'!E572)</f>
        <v/>
      </c>
      <c r="U571" s="18"/>
      <c r="V571" s="18">
        <f t="shared" si="2"/>
        <v>0</v>
      </c>
      <c r="W571" s="18"/>
      <c r="X571" s="18"/>
      <c r="Y571" s="18"/>
      <c r="Z571" s="18"/>
      <c r="AA571" s="18"/>
      <c r="AB571" s="18">
        <f t="shared" si="3"/>
        <v>1</v>
      </c>
      <c r="AC571" s="18">
        <f t="shared" si="4"/>
        <v>1</v>
      </c>
      <c r="AD571" s="18">
        <f t="shared" si="5"/>
        <v>1</v>
      </c>
      <c r="AE571" s="18">
        <f t="shared" si="6"/>
        <v>1</v>
      </c>
    </row>
    <row r="572">
      <c r="A572" s="9">
        <f>IF(E572="","", IF('Global Precios'!B573="",0,'Global Precios'!B573))</f>
        <v>0</v>
      </c>
      <c r="B572" s="14" t="str">
        <f>IF('Global Precios'!B573="","",'Global Precios'!B573)</f>
        <v/>
      </c>
      <c r="C572" s="18" t="str">
        <f>IF('Global Precios'!A573="","",'Global Precios'!A573)</f>
        <v>603</v>
      </c>
      <c r="D572" s="18"/>
      <c r="E572" s="25" t="str">
        <f>IF('Global Precios'!D573="","",'Global Precios'!D573)</f>
        <v>ADE CAPS POMO X 30 GR</v>
      </c>
      <c r="F572" s="18"/>
      <c r="G572" s="25" t="str">
        <f>IFERROR(VLOOKUP(C572,'BuscarV Stock'!$A$2:$C$478,3,0),"AAA")</f>
        <v>AAA</v>
      </c>
      <c r="H572" s="25">
        <f t="shared" si="1"/>
        <v>0.21</v>
      </c>
      <c r="I572" s="30">
        <f>IF('Global Precios'!H573="","",'Global Precios'!H573)</f>
        <v>8376.033058</v>
      </c>
      <c r="J572" s="82">
        <f>IF('Global Precios'!K573="","",'Global Precios'!K573)</f>
        <v>0.7</v>
      </c>
      <c r="K572" s="30">
        <f>IF('Global Precios'!Z573="Desactivado",0,IF('Global Precios'!L573="","",'Global Precios'!L573))</f>
        <v>17000</v>
      </c>
      <c r="L572" s="18"/>
      <c r="M572" s="18"/>
      <c r="N572" s="18"/>
      <c r="O572" s="18"/>
      <c r="P572" s="18"/>
      <c r="Q572" s="18"/>
      <c r="R572" s="18" t="str">
        <f>IF('Global Precios'!F573="","",'Global Precios'!F573)</f>
        <v>Medicamentos</v>
      </c>
      <c r="S572" s="18"/>
      <c r="T572" s="18" t="str">
        <f>IF('Global Precios'!E573="","",'Global Precios'!E573)</f>
        <v>IDV</v>
      </c>
      <c r="U572" s="18"/>
      <c r="V572" s="18">
        <f t="shared" si="2"/>
        <v>0</v>
      </c>
      <c r="W572" s="18"/>
      <c r="X572" s="18"/>
      <c r="Y572" s="18"/>
      <c r="Z572" s="18"/>
      <c r="AA572" s="18"/>
      <c r="AB572" s="18">
        <f t="shared" si="3"/>
        <v>1</v>
      </c>
      <c r="AC572" s="18">
        <f t="shared" si="4"/>
        <v>1</v>
      </c>
      <c r="AD572" s="18">
        <f t="shared" si="5"/>
        <v>1</v>
      </c>
      <c r="AE572" s="18">
        <f t="shared" si="6"/>
        <v>1</v>
      </c>
    </row>
    <row r="573">
      <c r="A573" s="9">
        <f>IF(E573="","", IF('Global Precios'!B574="",0,'Global Precios'!B574))</f>
        <v>0</v>
      </c>
      <c r="B573" s="14" t="str">
        <f>IF('Global Precios'!B574="","",'Global Precios'!B574)</f>
        <v/>
      </c>
      <c r="C573" s="18" t="str">
        <f>IF('Global Precios'!A574="","",'Global Precios'!A574)</f>
        <v>604</v>
      </c>
      <c r="D573" s="18"/>
      <c r="E573" s="25" t="str">
        <f>IF('Global Precios'!D574="","",'Global Precios'!D574)</f>
        <v>ACEITE/CREMA OZONIZADA X 30 ML</v>
      </c>
      <c r="F573" s="18"/>
      <c r="G573" s="25" t="str">
        <f>IFERROR(VLOOKUP(C573,'BuscarV Stock'!$A$2:$C$478,3,0),"AAA")</f>
        <v>AAA</v>
      </c>
      <c r="H573" s="25">
        <f t="shared" si="1"/>
        <v>0.21</v>
      </c>
      <c r="I573" s="30">
        <f>IF('Global Precios'!H574="","",'Global Precios'!H574)</f>
        <v>12644.6281</v>
      </c>
      <c r="J573" s="82">
        <f>IF('Global Precios'!K574="","",'Global Precios'!K574)</f>
        <v>0.7</v>
      </c>
      <c r="K573" s="30">
        <f>IF('Global Precios'!Z574="Desactivado",0,IF('Global Precios'!L574="","",'Global Precios'!L574))</f>
        <v>26000</v>
      </c>
      <c r="L573" s="18"/>
      <c r="M573" s="18"/>
      <c r="N573" s="18"/>
      <c r="O573" s="18"/>
      <c r="P573" s="18"/>
      <c r="Q573" s="18"/>
      <c r="R573" s="18" t="str">
        <f>IF('Global Precios'!F574="","",'Global Precios'!F574)</f>
        <v>Medicamentos</v>
      </c>
      <c r="S573" s="18"/>
      <c r="T573" s="18" t="str">
        <f>IF('Global Precios'!E574="","",'Global Precios'!E574)</f>
        <v/>
      </c>
      <c r="U573" s="18"/>
      <c r="V573" s="18">
        <f t="shared" si="2"/>
        <v>0</v>
      </c>
      <c r="W573" s="18"/>
      <c r="X573" s="18"/>
      <c r="Y573" s="18"/>
      <c r="Z573" s="18"/>
      <c r="AA573" s="18"/>
      <c r="AB573" s="18">
        <f t="shared" si="3"/>
        <v>1</v>
      </c>
      <c r="AC573" s="18">
        <f t="shared" si="4"/>
        <v>1</v>
      </c>
      <c r="AD573" s="18">
        <f t="shared" si="5"/>
        <v>1</v>
      </c>
      <c r="AE573" s="18">
        <f t="shared" si="6"/>
        <v>1</v>
      </c>
    </row>
    <row r="574">
      <c r="A574" s="9">
        <f>IF(E574="","", IF('Global Precios'!B575="",0,'Global Precios'!B575))</f>
        <v>0</v>
      </c>
      <c r="B574" s="14" t="str">
        <f>IF('Global Precios'!B575="","",'Global Precios'!B575)</f>
        <v/>
      </c>
      <c r="C574" s="18">
        <f>IF('Global Precios'!A575="","",'Global Precios'!A575)</f>
        <v>605</v>
      </c>
      <c r="D574" s="18"/>
      <c r="E574" s="25" t="str">
        <f>IF('Global Precios'!D575="","",'Global Precios'!D575)</f>
        <v>SUELTO X 1 KG - JASPE GATO URINARY</v>
      </c>
      <c r="F574" s="18"/>
      <c r="G574" s="25" t="str">
        <f>IFERROR(VLOOKUP(C574,'BuscarV Stock'!$A$2:$C$478,3,0),"AAA")</f>
        <v>AAA</v>
      </c>
      <c r="H574" s="25">
        <f t="shared" si="1"/>
        <v>0.21</v>
      </c>
      <c r="I574" s="30">
        <f>IF('Global Precios'!H575="","",'Global Precios'!H575)</f>
        <v>2066.115702</v>
      </c>
      <c r="J574" s="82">
        <f>IF('Global Precios'!K575="","",'Global Precios'!K575)</f>
        <v>0.7</v>
      </c>
      <c r="K574" s="30">
        <f>IF('Global Precios'!Z575="Desactivado",0,IF('Global Precios'!L575="","",'Global Precios'!L575))</f>
        <v>4500</v>
      </c>
      <c r="L574" s="18"/>
      <c r="M574" s="18"/>
      <c r="N574" s="18"/>
      <c r="O574" s="18"/>
      <c r="P574" s="18"/>
      <c r="Q574" s="18"/>
      <c r="R574" s="18" t="str">
        <f>IF('Global Precios'!F575="","",'Global Precios'!F575)</f>
        <v>Alimentos</v>
      </c>
      <c r="S574" s="18"/>
      <c r="T574" s="18" t="str">
        <f>IF('Global Precios'!E575="","",'Global Precios'!E575)</f>
        <v>Jaspe</v>
      </c>
      <c r="U574" s="18"/>
      <c r="V574" s="18">
        <f t="shared" si="2"/>
        <v>0</v>
      </c>
      <c r="W574" s="18"/>
      <c r="X574" s="18"/>
      <c r="Y574" s="18"/>
      <c r="Z574" s="18"/>
      <c r="AA574" s="18"/>
      <c r="AB574" s="18">
        <f t="shared" si="3"/>
        <v>1</v>
      </c>
      <c r="AC574" s="18">
        <f t="shared" si="4"/>
        <v>1</v>
      </c>
      <c r="AD574" s="18">
        <f t="shared" si="5"/>
        <v>1</v>
      </c>
      <c r="AE574" s="18">
        <f t="shared" si="6"/>
        <v>1</v>
      </c>
    </row>
    <row r="575">
      <c r="A575" s="9">
        <f>IF(E575="","", IF('Global Precios'!B576="",0,'Global Precios'!B576))</f>
        <v>0</v>
      </c>
      <c r="B575" s="14" t="str">
        <f>IF('Global Precios'!B576="","",'Global Precios'!B576)</f>
        <v/>
      </c>
      <c r="C575" s="18">
        <f>IF('Global Precios'!A576="","",'Global Precios'!A576)</f>
        <v>606</v>
      </c>
      <c r="D575" s="18"/>
      <c r="E575" s="25" t="str">
        <f>IF('Global Precios'!D576="","",'Global Precios'!D576)</f>
        <v>AGILITY DOG ADULTO CARNE X 340 GR.</v>
      </c>
      <c r="F575" s="18"/>
      <c r="G575" s="25" t="str">
        <f>IFERROR(VLOOKUP(C575,'BuscarV Stock'!$A$2:$C$478,3,0),"AAA")</f>
        <v>AAA</v>
      </c>
      <c r="H575" s="25">
        <f t="shared" si="1"/>
        <v>0.21</v>
      </c>
      <c r="I575" s="30">
        <f>IF('Global Precios'!H576="","",'Global Precios'!H576)</f>
        <v>2314.049587</v>
      </c>
      <c r="J575" s="82">
        <f>IF('Global Precios'!K576="","",'Global Precios'!K576)</f>
        <v>0.4</v>
      </c>
      <c r="K575" s="30">
        <f>IF('Global Precios'!Z576="Desactivado",0,IF('Global Precios'!L576="","",'Global Precios'!L576))</f>
        <v>4000</v>
      </c>
      <c r="L575" s="18"/>
      <c r="M575" s="18"/>
      <c r="N575" s="18"/>
      <c r="O575" s="18"/>
      <c r="P575" s="18"/>
      <c r="Q575" s="18"/>
      <c r="R575" s="18" t="str">
        <f>IF('Global Precios'!F576="","",'Global Precios'!F576)</f>
        <v>Alimentos</v>
      </c>
      <c r="S575" s="18"/>
      <c r="T575" s="18" t="str">
        <f>IF('Global Precios'!E576="","",'Global Precios'!E576)</f>
        <v>Agility</v>
      </c>
      <c r="U575" s="18"/>
      <c r="V575" s="18">
        <f t="shared" si="2"/>
        <v>0</v>
      </c>
      <c r="W575" s="18"/>
      <c r="X575" s="18"/>
      <c r="Y575" s="18"/>
      <c r="Z575" s="18"/>
      <c r="AA575" s="18"/>
      <c r="AB575" s="18">
        <f t="shared" si="3"/>
        <v>1</v>
      </c>
      <c r="AC575" s="18">
        <f t="shared" si="4"/>
        <v>1</v>
      </c>
      <c r="AD575" s="18">
        <f t="shared" si="5"/>
        <v>1</v>
      </c>
      <c r="AE575" s="18">
        <f t="shared" si="6"/>
        <v>1</v>
      </c>
    </row>
    <row r="576">
      <c r="A576" s="9">
        <f>IF(E576="","", IF('Global Precios'!B577="",0,'Global Precios'!B577))</f>
        <v>0</v>
      </c>
      <c r="B576" s="14" t="str">
        <f>IF('Global Precios'!B577="","",'Global Precios'!B577)</f>
        <v/>
      </c>
      <c r="C576" s="18">
        <f>IF('Global Precios'!A577="","",'Global Precios'!A577)</f>
        <v>607</v>
      </c>
      <c r="D576" s="18"/>
      <c r="E576" s="25" t="str">
        <f>IF('Global Precios'!D577="","",'Global Precios'!D577)</f>
        <v>NEXGARD SPECTRA G (15,1 A 30 KG.)</v>
      </c>
      <c r="F576" s="18"/>
      <c r="G576" s="25" t="str">
        <f>IFERROR(VLOOKUP(C576,'BuscarV Stock'!$A$2:$C$478,3,0),"AAA")</f>
        <v>AAA</v>
      </c>
      <c r="H576" s="25">
        <f t="shared" si="1"/>
        <v>0.21</v>
      </c>
      <c r="I576" s="30">
        <f>IF('Global Precios'!H577="","",'Global Precios'!H577)</f>
        <v>17355.3719</v>
      </c>
      <c r="J576" s="82">
        <f>IF('Global Precios'!K577="","",'Global Precios'!K577)</f>
        <v>0.5</v>
      </c>
      <c r="K576" s="30">
        <f>IF('Global Precios'!Z577="Desactivado",0,IF('Global Precios'!L577="","",'Global Precios'!L577))</f>
        <v>32000</v>
      </c>
      <c r="L576" s="18"/>
      <c r="M576" s="18"/>
      <c r="N576" s="18"/>
      <c r="O576" s="18"/>
      <c r="P576" s="18"/>
      <c r="Q576" s="18"/>
      <c r="R576" s="18" t="str">
        <f>IF('Global Precios'!F577="","",'Global Precios'!F577)</f>
        <v>Medicamentos</v>
      </c>
      <c r="S576" s="18"/>
      <c r="T576" s="18" t="str">
        <f>IF('Global Precios'!E577="","",'Global Precios'!E577)</f>
        <v>Boheringer pequeños</v>
      </c>
      <c r="U576" s="18"/>
      <c r="V576" s="18">
        <f t="shared" si="2"/>
        <v>0</v>
      </c>
      <c r="W576" s="18"/>
      <c r="X576" s="18"/>
      <c r="Y576" s="18"/>
      <c r="Z576" s="18"/>
      <c r="AA576" s="18"/>
      <c r="AB576" s="18">
        <f t="shared" si="3"/>
        <v>1</v>
      </c>
      <c r="AC576" s="18">
        <f t="shared" si="4"/>
        <v>1</v>
      </c>
      <c r="AD576" s="18">
        <f t="shared" si="5"/>
        <v>1</v>
      </c>
      <c r="AE576" s="18">
        <f t="shared" si="6"/>
        <v>1</v>
      </c>
    </row>
    <row r="577">
      <c r="A577" s="9">
        <f>IF(E577="","", IF('Global Precios'!B578="",0,'Global Precios'!B578))</f>
        <v>0</v>
      </c>
      <c r="B577" s="14" t="str">
        <f>IF('Global Precios'!B578="","",'Global Precios'!B578)</f>
        <v/>
      </c>
      <c r="C577" s="18">
        <f>IF('Global Precios'!A578="","",'Global Precios'!A578)</f>
        <v>608</v>
      </c>
      <c r="D577" s="18"/>
      <c r="E577" s="25" t="str">
        <f>IF('Global Precios'!D578="","",'Global Precios'!D578)</f>
        <v>REPEXXIN COLLAR 25 A 50 KG</v>
      </c>
      <c r="F577" s="18"/>
      <c r="G577" s="25" t="str">
        <f>IFERROR(VLOOKUP(C577,'BuscarV Stock'!$A$2:$C$478,3,0),"AAA")</f>
        <v>AAA</v>
      </c>
      <c r="H577" s="25">
        <f t="shared" si="1"/>
        <v>0.21</v>
      </c>
      <c r="I577" s="30">
        <f>IF('Global Precios'!H578="","",'Global Precios'!H578)</f>
        <v>12606.61157</v>
      </c>
      <c r="J577" s="82">
        <f>IF('Global Precios'!K578="","",'Global Precios'!K578)</f>
        <v>0.8</v>
      </c>
      <c r="K577" s="30">
        <f>IF('Global Precios'!Z578="Desactivado",0,IF('Global Precios'!L578="","",'Global Precios'!L578))</f>
        <v>27000</v>
      </c>
      <c r="L577" s="18"/>
      <c r="M577" s="18"/>
      <c r="N577" s="18"/>
      <c r="O577" s="18"/>
      <c r="P577" s="18"/>
      <c r="Q577" s="18"/>
      <c r="R577" s="18" t="str">
        <f>IF('Global Precios'!F578="","",'Global Precios'!F578)</f>
        <v>Medicamentos</v>
      </c>
      <c r="S577" s="18"/>
      <c r="T577" s="18" t="str">
        <f>IF('Global Precios'!E578="","",'Global Precios'!E578)</f>
        <v>Konig</v>
      </c>
      <c r="U577" s="18"/>
      <c r="V577" s="18">
        <f t="shared" si="2"/>
        <v>0</v>
      </c>
      <c r="W577" s="18"/>
      <c r="X577" s="18"/>
      <c r="Y577" s="18"/>
      <c r="Z577" s="18"/>
      <c r="AA577" s="18"/>
      <c r="AB577" s="18">
        <f t="shared" si="3"/>
        <v>1</v>
      </c>
      <c r="AC577" s="18">
        <f t="shared" si="4"/>
        <v>1</v>
      </c>
      <c r="AD577" s="18">
        <f t="shared" si="5"/>
        <v>1</v>
      </c>
      <c r="AE577" s="18">
        <f t="shared" si="6"/>
        <v>1</v>
      </c>
    </row>
    <row r="578">
      <c r="A578" s="9">
        <f>IF(E578="","", IF('Global Precios'!B579="",0,'Global Precios'!B579))</f>
        <v>0</v>
      </c>
      <c r="B578" s="14" t="str">
        <f>IF('Global Precios'!B579="","",'Global Precios'!B579)</f>
        <v/>
      </c>
      <c r="C578" s="18">
        <f>IF('Global Precios'!A579="","",'Global Precios'!A579)</f>
        <v>609</v>
      </c>
      <c r="D578" s="18"/>
      <c r="E578" s="25" t="str">
        <f>IF('Global Precios'!D579="","",'Global Precios'!D579)</f>
        <v>POLLO PARLANTE CHICO</v>
      </c>
      <c r="F578" s="18"/>
      <c r="G578" s="25" t="str">
        <f>IFERROR(VLOOKUP(C578,'BuscarV Stock'!$A$2:$C$478,3,0),"AAA")</f>
        <v>AAA</v>
      </c>
      <c r="H578" s="25">
        <f t="shared" si="1"/>
        <v>0.21</v>
      </c>
      <c r="I578" s="30">
        <f>IF('Global Precios'!H579="","",'Global Precios'!H579)</f>
        <v>851.2396694</v>
      </c>
      <c r="J578" s="82">
        <f>IF('Global Precios'!K579="","",'Global Precios'!K579)</f>
        <v>1</v>
      </c>
      <c r="K578" s="30">
        <f>IF('Global Precios'!Z579="Desactivado",0,IF('Global Precios'!L579="","",'Global Precios'!L579))</f>
        <v>0</v>
      </c>
      <c r="L578" s="18"/>
      <c r="M578" s="18"/>
      <c r="N578" s="18"/>
      <c r="O578" s="18"/>
      <c r="P578" s="18"/>
      <c r="Q578" s="18"/>
      <c r="R578" s="18" t="str">
        <f>IF('Global Precios'!F579="","",'Global Precios'!F579)</f>
        <v>Pet-shop</v>
      </c>
      <c r="S578" s="18"/>
      <c r="T578" s="18" t="str">
        <f>IF('Global Precios'!E579="","",'Global Precios'!E579)</f>
        <v/>
      </c>
      <c r="U578" s="18"/>
      <c r="V578" s="18">
        <f t="shared" si="2"/>
        <v>0</v>
      </c>
      <c r="W578" s="18"/>
      <c r="X578" s="18"/>
      <c r="Y578" s="18"/>
      <c r="Z578" s="18"/>
      <c r="AA578" s="18"/>
      <c r="AB578" s="18">
        <f t="shared" si="3"/>
        <v>1</v>
      </c>
      <c r="AC578" s="18">
        <f t="shared" si="4"/>
        <v>1</v>
      </c>
      <c r="AD578" s="18">
        <f t="shared" si="5"/>
        <v>1</v>
      </c>
      <c r="AE578" s="18">
        <f t="shared" si="6"/>
        <v>1</v>
      </c>
    </row>
    <row r="579">
      <c r="A579" s="9">
        <f>IF(E579="","", IF('Global Precios'!B580="",0,'Global Precios'!B580))</f>
        <v>0</v>
      </c>
      <c r="B579" s="14" t="str">
        <f>IF('Global Precios'!B580="","",'Global Precios'!B580)</f>
        <v/>
      </c>
      <c r="C579" s="18">
        <f>IF('Global Precios'!A580="","",'Global Precios'!A580)</f>
        <v>610</v>
      </c>
      <c r="D579" s="18"/>
      <c r="E579" s="25" t="str">
        <f>IF('Global Precios'!D580="","",'Global Precios'!D580)</f>
        <v>FIPRO LABYES GATOS</v>
      </c>
      <c r="F579" s="18"/>
      <c r="G579" s="25" t="str">
        <f>IFERROR(VLOOKUP(C579,'BuscarV Stock'!$A$2:$C$478,3,0),"AAA")</f>
        <v>AAA</v>
      </c>
      <c r="H579" s="25">
        <f t="shared" si="1"/>
        <v>0.21</v>
      </c>
      <c r="I579" s="30">
        <f>IF('Global Precios'!H580="","",'Global Precios'!H580)</f>
        <v>2765.289256</v>
      </c>
      <c r="J579" s="82">
        <f>IF('Global Precios'!K580="","",'Global Precios'!K580)</f>
        <v>0.8</v>
      </c>
      <c r="K579" s="30">
        <f>IF('Global Precios'!Z580="Desactivado",0,IF('Global Precios'!L580="","",'Global Precios'!L580))</f>
        <v>6000</v>
      </c>
      <c r="L579" s="18"/>
      <c r="M579" s="18"/>
      <c r="N579" s="18"/>
      <c r="O579" s="18"/>
      <c r="P579" s="18"/>
      <c r="Q579" s="18"/>
      <c r="R579" s="18" t="str">
        <f>IF('Global Precios'!F580="","",'Global Precios'!F580)</f>
        <v>Medicamentos</v>
      </c>
      <c r="S579" s="18"/>
      <c r="T579" s="18" t="str">
        <f>IF('Global Precios'!E580="","",'Global Precios'!E580)</f>
        <v>Labyes</v>
      </c>
      <c r="U579" s="18"/>
      <c r="V579" s="18">
        <f t="shared" si="2"/>
        <v>0</v>
      </c>
      <c r="W579" s="18"/>
      <c r="X579" s="18"/>
      <c r="Y579" s="18"/>
      <c r="Z579" s="18"/>
      <c r="AA579" s="18"/>
      <c r="AB579" s="18">
        <f t="shared" si="3"/>
        <v>1</v>
      </c>
      <c r="AC579" s="18">
        <f t="shared" si="4"/>
        <v>1</v>
      </c>
      <c r="AD579" s="18">
        <f t="shared" si="5"/>
        <v>1</v>
      </c>
      <c r="AE579" s="18">
        <f t="shared" si="6"/>
        <v>1</v>
      </c>
    </row>
    <row r="580">
      <c r="A580" s="9">
        <f>IF(E580="","", IF('Global Precios'!B581="",0,'Global Precios'!B581))</f>
        <v>0</v>
      </c>
      <c r="B580" s="14" t="str">
        <f>IF('Global Precios'!B581="","",'Global Precios'!B581)</f>
        <v/>
      </c>
      <c r="C580" s="18">
        <f>IF('Global Precios'!A581="","",'Global Precios'!A581)</f>
        <v>611</v>
      </c>
      <c r="D580" s="18"/>
      <c r="E580" s="25" t="str">
        <f>IF('Global Precios'!D581="","",'Global Precios'!D581)</f>
        <v>HUESO CUERO 8/9</v>
      </c>
      <c r="F580" s="18"/>
      <c r="G580" s="25" t="str">
        <f>IFERROR(VLOOKUP(C580,'BuscarV Stock'!$A$2:$C$478,3,0),"AAA")</f>
        <v>AAA</v>
      </c>
      <c r="H580" s="25">
        <f t="shared" si="1"/>
        <v>0.21</v>
      </c>
      <c r="I580" s="30">
        <f>IF('Global Precios'!H581="","",'Global Precios'!H581)</f>
        <v>1571.07438</v>
      </c>
      <c r="J580" s="82">
        <f>IF('Global Precios'!K581="","",'Global Precios'!K581)</f>
        <v>1</v>
      </c>
      <c r="K580" s="30">
        <f>IF('Global Precios'!Z581="Desactivado",0,IF('Global Precios'!L581="","",'Global Precios'!L581))</f>
        <v>0</v>
      </c>
      <c r="L580" s="18"/>
      <c r="M580" s="18"/>
      <c r="N580" s="18"/>
      <c r="O580" s="18"/>
      <c r="P580" s="18"/>
      <c r="Q580" s="18"/>
      <c r="R580" s="18" t="str">
        <f>IF('Global Precios'!F581="","",'Global Precios'!F581)</f>
        <v>Pet-shop</v>
      </c>
      <c r="S580" s="18"/>
      <c r="T580" s="18" t="str">
        <f>IF('Global Precios'!E581="","",'Global Precios'!E581)</f>
        <v/>
      </c>
      <c r="U580" s="18"/>
      <c r="V580" s="18">
        <f t="shared" si="2"/>
        <v>0</v>
      </c>
      <c r="W580" s="18"/>
      <c r="X580" s="18"/>
      <c r="Y580" s="18"/>
      <c r="Z580" s="18"/>
      <c r="AA580" s="18"/>
      <c r="AB580" s="18">
        <f t="shared" si="3"/>
        <v>1</v>
      </c>
      <c r="AC580" s="18">
        <f t="shared" si="4"/>
        <v>1</v>
      </c>
      <c r="AD580" s="18">
        <f t="shared" si="5"/>
        <v>1</v>
      </c>
      <c r="AE580" s="18">
        <f t="shared" si="6"/>
        <v>1</v>
      </c>
    </row>
    <row r="581">
      <c r="A581" s="9">
        <f>IF(E581="","", IF('Global Precios'!B582="",0,'Global Precios'!B582))</f>
        <v>0</v>
      </c>
      <c r="B581" s="14" t="str">
        <f>IF('Global Precios'!B582="","",'Global Precios'!B582)</f>
        <v/>
      </c>
      <c r="C581" s="18">
        <f>IF('Global Precios'!A582="","",'Global Precios'!A582)</f>
        <v>612</v>
      </c>
      <c r="D581" s="18"/>
      <c r="E581" s="25" t="str">
        <f>IF('Global Precios'!D582="","",'Global Precios'!D582)</f>
        <v>PRETAL NYLON N°7</v>
      </c>
      <c r="F581" s="18"/>
      <c r="G581" s="25" t="str">
        <f>IFERROR(VLOOKUP(C581,'BuscarV Stock'!$A$2:$C$478,3,0),"AAA")</f>
        <v>AAA</v>
      </c>
      <c r="H581" s="25">
        <f t="shared" si="1"/>
        <v>0.21</v>
      </c>
      <c r="I581" s="30">
        <f>IF('Global Precios'!H582="","",'Global Precios'!H582)</f>
        <v>2413.22314</v>
      </c>
      <c r="J581" s="82">
        <f>IF('Global Precios'!K582="","",'Global Precios'!K582)</f>
        <v>0.8</v>
      </c>
      <c r="K581" s="30">
        <f>IF('Global Precios'!Z582="Desactivado",0,IF('Global Precios'!L582="","",'Global Precios'!L582))</f>
        <v>5500</v>
      </c>
      <c r="L581" s="18"/>
      <c r="M581" s="18"/>
      <c r="N581" s="18"/>
      <c r="O581" s="18"/>
      <c r="P581" s="18"/>
      <c r="Q581" s="18"/>
      <c r="R581" s="18" t="str">
        <f>IF('Global Precios'!F582="","",'Global Precios'!F582)</f>
        <v>Pet-shop</v>
      </c>
      <c r="S581" s="18"/>
      <c r="T581" s="18" t="str">
        <f>IF('Global Precios'!E582="","",'Global Precios'!E582)</f>
        <v/>
      </c>
      <c r="U581" s="18"/>
      <c r="V581" s="18">
        <f t="shared" si="2"/>
        <v>0</v>
      </c>
      <c r="W581" s="18"/>
      <c r="X581" s="18"/>
      <c r="Y581" s="18"/>
      <c r="Z581" s="18"/>
      <c r="AA581" s="18"/>
      <c r="AB581" s="18">
        <f t="shared" si="3"/>
        <v>1</v>
      </c>
      <c r="AC581" s="18">
        <f t="shared" si="4"/>
        <v>1</v>
      </c>
      <c r="AD581" s="18">
        <f t="shared" si="5"/>
        <v>1</v>
      </c>
      <c r="AE581" s="18">
        <f t="shared" si="6"/>
        <v>1</v>
      </c>
    </row>
    <row r="582">
      <c r="A582" s="9">
        <f>IF(E582="","", IF('Global Precios'!B583="",0,'Global Precios'!B583))</f>
        <v>0</v>
      </c>
      <c r="B582" s="14" t="str">
        <f>IF('Global Precios'!B583="","",'Global Precios'!B583)</f>
        <v/>
      </c>
      <c r="C582" s="18">
        <f>IF('Global Precios'!A583="","",'Global Precios'!A583)</f>
        <v>613</v>
      </c>
      <c r="D582" s="18"/>
      <c r="E582" s="25" t="str">
        <f>IF('Global Precios'!D583="","",'Global Precios'!D583)</f>
        <v>PALITA</v>
      </c>
      <c r="F582" s="18"/>
      <c r="G582" s="25" t="str">
        <f>IFERROR(VLOOKUP(C582,'BuscarV Stock'!$A$2:$C$478,3,0),"AAA")</f>
        <v>AAA</v>
      </c>
      <c r="H582" s="25">
        <f t="shared" si="1"/>
        <v>0.21</v>
      </c>
      <c r="I582" s="30">
        <f>IF('Global Precios'!H583="","",'Global Precios'!H583)</f>
        <v>319.8347107</v>
      </c>
      <c r="J582" s="82">
        <f>IF('Global Precios'!K583="","",'Global Precios'!K583)</f>
        <v>1</v>
      </c>
      <c r="K582" s="30">
        <f>IF('Global Precios'!Z583="Desactivado",0,IF('Global Precios'!L583="","",'Global Precios'!L583))</f>
        <v>1000</v>
      </c>
      <c r="L582" s="18"/>
      <c r="M582" s="18"/>
      <c r="N582" s="18"/>
      <c r="O582" s="18"/>
      <c r="P582" s="18"/>
      <c r="Q582" s="18"/>
      <c r="R582" s="18" t="str">
        <f>IF('Global Precios'!F583="","",'Global Precios'!F583)</f>
        <v>Pet-shop</v>
      </c>
      <c r="S582" s="18"/>
      <c r="T582" s="18" t="str">
        <f>IF('Global Precios'!E583="","",'Global Precios'!E583)</f>
        <v/>
      </c>
      <c r="U582" s="18"/>
      <c r="V582" s="18">
        <f t="shared" si="2"/>
        <v>0</v>
      </c>
      <c r="W582" s="18"/>
      <c r="X582" s="18"/>
      <c r="Y582" s="18"/>
      <c r="Z582" s="18"/>
      <c r="AA582" s="18"/>
      <c r="AB582" s="18">
        <f t="shared" si="3"/>
        <v>1</v>
      </c>
      <c r="AC582" s="18">
        <f t="shared" si="4"/>
        <v>1</v>
      </c>
      <c r="AD582" s="18">
        <f t="shared" si="5"/>
        <v>1</v>
      </c>
      <c r="AE582" s="18">
        <f t="shared" si="6"/>
        <v>1</v>
      </c>
    </row>
    <row r="583">
      <c r="A583" s="9">
        <f>IF(E583="","", IF('Global Precios'!B584="",0,'Global Precios'!B584))</f>
        <v>0</v>
      </c>
      <c r="B583" s="14" t="str">
        <f>IF('Global Precios'!B584="","",'Global Precios'!B584)</f>
        <v/>
      </c>
      <c r="C583" s="18">
        <f>IF('Global Precios'!A584="","",'Global Precios'!A584)</f>
        <v>614</v>
      </c>
      <c r="D583" s="18"/>
      <c r="E583" s="25" t="str">
        <f>IF('Global Precios'!D584="","",'Global Precios'!D584)</f>
        <v>LIMPIAOREJAS RUMINAL X 35 ML</v>
      </c>
      <c r="F583" s="18"/>
      <c r="G583" s="25" t="str">
        <f>IFERROR(VLOOKUP(C583,'BuscarV Stock'!$A$2:$C$478,3,0),"AAA")</f>
        <v>AAA</v>
      </c>
      <c r="H583" s="25">
        <f t="shared" si="1"/>
        <v>0.21</v>
      </c>
      <c r="I583" s="30">
        <f>IF('Global Precios'!H584="","",'Global Precios'!H584)</f>
        <v>2385.123967</v>
      </c>
      <c r="J583" s="82">
        <f>IF('Global Precios'!K584="","",'Global Precios'!K584)</f>
        <v>0.8</v>
      </c>
      <c r="K583" s="30">
        <f>IF('Global Precios'!Z584="Desactivado",0,IF('Global Precios'!L584="","",'Global Precios'!L584))</f>
        <v>5000</v>
      </c>
      <c r="L583" s="18"/>
      <c r="M583" s="18"/>
      <c r="N583" s="18"/>
      <c r="O583" s="18"/>
      <c r="P583" s="18"/>
      <c r="Q583" s="18"/>
      <c r="R583" s="18" t="str">
        <f>IF('Global Precios'!F584="","",'Global Precios'!F584)</f>
        <v>Medicamentos</v>
      </c>
      <c r="S583" s="18"/>
      <c r="T583" s="18" t="str">
        <f>IF('Global Precios'!E584="","",'Global Precios'!E584)</f>
        <v/>
      </c>
      <c r="U583" s="18"/>
      <c r="V583" s="18">
        <f t="shared" si="2"/>
        <v>0</v>
      </c>
      <c r="W583" s="18"/>
      <c r="X583" s="18"/>
      <c r="Y583" s="18"/>
      <c r="Z583" s="18"/>
      <c r="AA583" s="18"/>
      <c r="AB583" s="18">
        <f t="shared" si="3"/>
        <v>1</v>
      </c>
      <c r="AC583" s="18">
        <f t="shared" si="4"/>
        <v>1</v>
      </c>
      <c r="AD583" s="18">
        <f t="shared" si="5"/>
        <v>1</v>
      </c>
      <c r="AE583" s="18">
        <f t="shared" si="6"/>
        <v>1</v>
      </c>
    </row>
    <row r="584">
      <c r="A584" s="9">
        <f>IF(E584="","", IF('Global Precios'!B585="",0,'Global Precios'!B585))</f>
        <v>0</v>
      </c>
      <c r="B584" s="14" t="str">
        <f>IF('Global Precios'!B585="","",'Global Precios'!B585)</f>
        <v/>
      </c>
      <c r="C584" s="18">
        <f>IF('Global Precios'!A585="","",'Global Precios'!A585)</f>
        <v>615</v>
      </c>
      <c r="D584" s="18"/>
      <c r="E584" s="25" t="str">
        <f>IF('Global Precios'!D585="","",'Global Precios'!D585)</f>
        <v>POWER COMPRIMIDOS 350MG 2,5 A 5 KG</v>
      </c>
      <c r="F584" s="18"/>
      <c r="G584" s="25" t="str">
        <f>IFERROR(VLOOKUP(C584,'BuscarV Stock'!$A$2:$C$478,3,0),"AAA")</f>
        <v>AAA</v>
      </c>
      <c r="H584" s="25">
        <f t="shared" si="1"/>
        <v>0.21</v>
      </c>
      <c r="I584" s="30">
        <f>IF('Global Precios'!H585="","",'Global Precios'!H585)</f>
        <v>4039.669421</v>
      </c>
      <c r="J584" s="82">
        <f>IF('Global Precios'!K585="","",'Global Precios'!K585)</f>
        <v>0.8</v>
      </c>
      <c r="K584" s="30">
        <f>IF('Global Precios'!Z585="Desactivado",0,IF('Global Precios'!L585="","",'Global Precios'!L585))</f>
        <v>9000</v>
      </c>
      <c r="L584" s="18"/>
      <c r="M584" s="18"/>
      <c r="N584" s="18"/>
      <c r="O584" s="18"/>
      <c r="P584" s="18"/>
      <c r="Q584" s="18"/>
      <c r="R584" s="18" t="str">
        <f>IF('Global Precios'!F585="","",'Global Precios'!F585)</f>
        <v>Medicamentos</v>
      </c>
      <c r="S584" s="18"/>
      <c r="T584" s="18" t="str">
        <f>IF('Global Precios'!E585="","",'Global Precios'!E585)</f>
        <v>Brouwer</v>
      </c>
      <c r="U584" s="18"/>
      <c r="V584" s="18">
        <f t="shared" si="2"/>
        <v>0</v>
      </c>
      <c r="W584" s="18"/>
      <c r="X584" s="18"/>
      <c r="Y584" s="18"/>
      <c r="Z584" s="18"/>
      <c r="AA584" s="18"/>
      <c r="AB584" s="18">
        <f t="shared" si="3"/>
        <v>1</v>
      </c>
      <c r="AC584" s="18">
        <f t="shared" si="4"/>
        <v>1</v>
      </c>
      <c r="AD584" s="18">
        <f t="shared" si="5"/>
        <v>1</v>
      </c>
      <c r="AE584" s="18">
        <f t="shared" si="6"/>
        <v>1</v>
      </c>
    </row>
    <row r="585">
      <c r="A585" s="9">
        <f>IF(E585="","", IF('Global Precios'!B586="",0,'Global Precios'!B586))</f>
        <v>0</v>
      </c>
      <c r="B585" s="14" t="str">
        <f>IF('Global Precios'!B586="","",'Global Precios'!B586)</f>
        <v/>
      </c>
      <c r="C585" s="18">
        <f>IF('Global Precios'!A586="","",'Global Precios'!A586)</f>
        <v>616</v>
      </c>
      <c r="D585" s="18"/>
      <c r="E585" s="25" t="str">
        <f>IF('Global Precios'!D586="","",'Global Precios'!D586)</f>
        <v>REPEXXIN COLLAR 4 A 25 KG</v>
      </c>
      <c r="F585" s="18"/>
      <c r="G585" s="25" t="str">
        <f>IFERROR(VLOOKUP(C585,'BuscarV Stock'!$A$2:$C$478,3,0),"AAA")</f>
        <v>AAA</v>
      </c>
      <c r="H585" s="25">
        <f t="shared" si="1"/>
        <v>0.21</v>
      </c>
      <c r="I585" s="30">
        <f>IF('Global Precios'!H586="","",'Global Precios'!H586)</f>
        <v>11991.73554</v>
      </c>
      <c r="J585" s="82">
        <f>IF('Global Precios'!K586="","",'Global Precios'!K586)</f>
        <v>0.8</v>
      </c>
      <c r="K585" s="30">
        <f>IF('Global Precios'!Z586="Desactivado",0,IF('Global Precios'!L586="","",'Global Precios'!L586))</f>
        <v>26000</v>
      </c>
      <c r="L585" s="18"/>
      <c r="M585" s="18"/>
      <c r="N585" s="18"/>
      <c r="O585" s="18"/>
      <c r="P585" s="18"/>
      <c r="Q585" s="18"/>
      <c r="R585" s="18" t="str">
        <f>IF('Global Precios'!F586="","",'Global Precios'!F586)</f>
        <v>Medicamentos</v>
      </c>
      <c r="S585" s="18"/>
      <c r="T585" s="18" t="str">
        <f>IF('Global Precios'!E586="","",'Global Precios'!E586)</f>
        <v>Koning</v>
      </c>
      <c r="U585" s="18"/>
      <c r="V585" s="18">
        <f t="shared" si="2"/>
        <v>0</v>
      </c>
      <c r="W585" s="18"/>
      <c r="X585" s="18"/>
      <c r="Y585" s="18"/>
      <c r="Z585" s="18"/>
      <c r="AA585" s="18"/>
      <c r="AB585" s="18">
        <f t="shared" si="3"/>
        <v>1</v>
      </c>
      <c r="AC585" s="18">
        <f t="shared" si="4"/>
        <v>1</v>
      </c>
      <c r="AD585" s="18">
        <f t="shared" si="5"/>
        <v>1</v>
      </c>
      <c r="AE585" s="18">
        <f t="shared" si="6"/>
        <v>1</v>
      </c>
    </row>
    <row r="586">
      <c r="A586" s="9">
        <f>IF(E586="","", IF('Global Precios'!B587="",0,'Global Precios'!B587))</f>
        <v>0</v>
      </c>
      <c r="B586" s="14" t="str">
        <f>IF('Global Precios'!B587="","",'Global Precios'!B587)</f>
        <v/>
      </c>
      <c r="C586" s="18" t="str">
        <f>IF('Global Precios'!A587="","",'Global Precios'!A587)</f>
        <v>617</v>
      </c>
      <c r="D586" s="18"/>
      <c r="E586" s="25" t="str">
        <f>IF('Global Precios'!D587="","",'Global Precios'!D587)</f>
        <v>INTERNACIÓN día completo hasta 10 kg+med.+descart</v>
      </c>
      <c r="F586" s="18"/>
      <c r="G586" s="25" t="str">
        <f>IFERROR(VLOOKUP(C586,'BuscarV Stock'!$A$2:$C$478,3,0),"AAA")</f>
        <v>AAA</v>
      </c>
      <c r="H586" s="25">
        <f t="shared" si="1"/>
        <v>0.21</v>
      </c>
      <c r="I586" s="30">
        <f>IF('Global Precios'!H587="","",'Global Precios'!H587)</f>
        <v>42121.4876</v>
      </c>
      <c r="J586" s="82">
        <f>IF('Global Precios'!K587="","",'Global Precios'!K587)</f>
        <v>0</v>
      </c>
      <c r="K586" s="30">
        <f>IF('Global Precios'!Z587="Desactivado",0,IF('Global Precios'!L587="","",'Global Precios'!L587))</f>
        <v>51000</v>
      </c>
      <c r="L586" s="18"/>
      <c r="M586" s="18"/>
      <c r="N586" s="18"/>
      <c r="O586" s="18"/>
      <c r="P586" s="18"/>
      <c r="Q586" s="18"/>
      <c r="R586" s="18" t="str">
        <f>IF('Global Precios'!F587="","",'Global Precios'!F587)</f>
        <v>Clinica</v>
      </c>
      <c r="S586" s="18"/>
      <c r="T586" s="18" t="str">
        <f>IF('Global Precios'!E587="","",'Global Precios'!E587)</f>
        <v/>
      </c>
      <c r="U586" s="18"/>
      <c r="V586" s="18">
        <f t="shared" si="2"/>
        <v>0</v>
      </c>
      <c r="W586" s="18"/>
      <c r="X586" s="18"/>
      <c r="Y586" s="18"/>
      <c r="Z586" s="18"/>
      <c r="AA586" s="18"/>
      <c r="AB586" s="18">
        <f t="shared" si="3"/>
        <v>1</v>
      </c>
      <c r="AC586" s="18">
        <f t="shared" si="4"/>
        <v>1</v>
      </c>
      <c r="AD586" s="18">
        <f t="shared" si="5"/>
        <v>1</v>
      </c>
      <c r="AE586" s="18">
        <f t="shared" si="6"/>
        <v>1</v>
      </c>
    </row>
    <row r="587">
      <c r="A587" s="9">
        <f>IF(E587="","", IF('Global Precios'!B588="",0,'Global Precios'!B588))</f>
        <v>0</v>
      </c>
      <c r="B587" s="14" t="str">
        <f>IF('Global Precios'!B588="","",'Global Precios'!B588)</f>
        <v/>
      </c>
      <c r="C587" s="18" t="str">
        <f>IF('Global Precios'!A588="","",'Global Precios'!A588)</f>
        <v>618</v>
      </c>
      <c r="D587" s="18"/>
      <c r="E587" s="25" t="str">
        <f>IF('Global Precios'!D588="","",'Global Precios'!D588)</f>
        <v>INTERNACIÓN medio día hasta 10 kg+consulta+med.+descart.</v>
      </c>
      <c r="F587" s="18"/>
      <c r="G587" s="25" t="str">
        <f>IFERROR(VLOOKUP(C587,'BuscarV Stock'!$A$2:$C$478,3,0),"AAA")</f>
        <v>AAA</v>
      </c>
      <c r="H587" s="25">
        <f t="shared" si="1"/>
        <v>0.21</v>
      </c>
      <c r="I587" s="30">
        <f>IF('Global Precios'!H588="","",'Global Precios'!H588)</f>
        <v>29484.29752</v>
      </c>
      <c r="J587" s="82">
        <f>IF('Global Precios'!K588="","",'Global Precios'!K588)</f>
        <v>0</v>
      </c>
      <c r="K587" s="30">
        <f>IF('Global Precios'!Z588="Desactivado",0,IF('Global Precios'!L588="","",'Global Precios'!L588))</f>
        <v>36000</v>
      </c>
      <c r="L587" s="18"/>
      <c r="M587" s="18"/>
      <c r="N587" s="18"/>
      <c r="O587" s="18"/>
      <c r="P587" s="18"/>
      <c r="Q587" s="18"/>
      <c r="R587" s="18" t="str">
        <f>IF('Global Precios'!F588="","",'Global Precios'!F588)</f>
        <v>Clinica</v>
      </c>
      <c r="S587" s="18"/>
      <c r="T587" s="18" t="str">
        <f>IF('Global Precios'!E588="","",'Global Precios'!E588)</f>
        <v/>
      </c>
      <c r="U587" s="18"/>
      <c r="V587" s="18">
        <f t="shared" si="2"/>
        <v>0</v>
      </c>
      <c r="W587" s="18"/>
      <c r="X587" s="18"/>
      <c r="Y587" s="18"/>
      <c r="Z587" s="18"/>
      <c r="AA587" s="18"/>
      <c r="AB587" s="18">
        <f t="shared" si="3"/>
        <v>1</v>
      </c>
      <c r="AC587" s="18">
        <f t="shared" si="4"/>
        <v>1</v>
      </c>
      <c r="AD587" s="18">
        <f t="shared" si="5"/>
        <v>1</v>
      </c>
      <c r="AE587" s="18">
        <f t="shared" si="6"/>
        <v>1</v>
      </c>
    </row>
    <row r="588">
      <c r="A588" s="9">
        <f>IF(E588="","", IF('Global Precios'!B589="",0,'Global Precios'!B589))</f>
        <v>0</v>
      </c>
      <c r="B588" s="14" t="str">
        <f>IF('Global Precios'!B589="","",'Global Precios'!B589)</f>
        <v/>
      </c>
      <c r="C588" s="18" t="str">
        <f>IF('Global Precios'!A589="","",'Global Precios'!A589)</f>
        <v>619</v>
      </c>
      <c r="D588" s="18"/>
      <c r="E588" s="25" t="str">
        <f>IF('Global Precios'!D589="","",'Global Precios'!D589)</f>
        <v>INTERNACIÓN día completo hasta 10 kg(s/c)+medic.+descart.</v>
      </c>
      <c r="F588" s="18"/>
      <c r="G588" s="25" t="str">
        <f>IFERROR(VLOOKUP(C588,'BuscarV Stock'!$A$2:$C$478,3,0),"AAA")</f>
        <v>AAA</v>
      </c>
      <c r="H588" s="25">
        <f t="shared" si="1"/>
        <v>0.21</v>
      </c>
      <c r="I588" s="30">
        <f>IF('Global Precios'!H589="","",'Global Precios'!H589)</f>
        <v>28345.45455</v>
      </c>
      <c r="J588" s="82">
        <f>IF('Global Precios'!K589="","",'Global Precios'!K589)</f>
        <v>0</v>
      </c>
      <c r="K588" s="30">
        <f>IF('Global Precios'!Z589="Desactivado",0,IF('Global Precios'!L589="","",'Global Precios'!L589))</f>
        <v>0</v>
      </c>
      <c r="L588" s="18"/>
      <c r="M588" s="18"/>
      <c r="N588" s="18"/>
      <c r="O588" s="18"/>
      <c r="P588" s="18"/>
      <c r="Q588" s="18"/>
      <c r="R588" s="18" t="str">
        <f>IF('Global Precios'!F589="","",'Global Precios'!F589)</f>
        <v>Clinica</v>
      </c>
      <c r="S588" s="18"/>
      <c r="T588" s="18" t="str">
        <f>IF('Global Precios'!E589="","",'Global Precios'!E589)</f>
        <v/>
      </c>
      <c r="U588" s="18"/>
      <c r="V588" s="18">
        <f t="shared" si="2"/>
        <v>0</v>
      </c>
      <c r="W588" s="18"/>
      <c r="X588" s="18"/>
      <c r="Y588" s="18"/>
      <c r="Z588" s="18"/>
      <c r="AA588" s="18"/>
      <c r="AB588" s="18">
        <f t="shared" si="3"/>
        <v>1</v>
      </c>
      <c r="AC588" s="18">
        <f t="shared" si="4"/>
        <v>1</v>
      </c>
      <c r="AD588" s="18">
        <f t="shared" si="5"/>
        <v>1</v>
      </c>
      <c r="AE588" s="18">
        <f t="shared" si="6"/>
        <v>1</v>
      </c>
    </row>
    <row r="589">
      <c r="A589" s="9">
        <f>IF(E589="","", IF('Global Precios'!B590="",0,'Global Precios'!B590))</f>
        <v>0</v>
      </c>
      <c r="B589" s="14" t="str">
        <f>IF('Global Precios'!B590="","",'Global Precios'!B590)</f>
        <v/>
      </c>
      <c r="C589" s="18" t="str">
        <f>IF('Global Precios'!A590="","",'Global Precios'!A590)</f>
        <v>620</v>
      </c>
      <c r="D589" s="18"/>
      <c r="E589" s="25" t="str">
        <f>IF('Global Precios'!D590="","",'Global Precios'!D590)</f>
        <v>INTERNACIÓN medio día hasta 10 kg(s/c)+medic.descart.</v>
      </c>
      <c r="F589" s="18"/>
      <c r="G589" s="25" t="str">
        <f>IFERROR(VLOOKUP(C589,'BuscarV Stock'!$A$2:$C$478,3,0),"AAA")</f>
        <v>AAA</v>
      </c>
      <c r="H589" s="25">
        <f t="shared" si="1"/>
        <v>0.21</v>
      </c>
      <c r="I589" s="30">
        <f>IF('Global Precios'!H590="","",'Global Precios'!H590)</f>
        <v>20246.28099</v>
      </c>
      <c r="J589" s="82">
        <f>IF('Global Precios'!K590="","",'Global Precios'!K590)</f>
        <v>0</v>
      </c>
      <c r="K589" s="30">
        <f>IF('Global Precios'!Z590="Desactivado",0,IF('Global Precios'!L590="","",'Global Precios'!L590))</f>
        <v>0</v>
      </c>
      <c r="L589" s="18"/>
      <c r="M589" s="18"/>
      <c r="N589" s="18"/>
      <c r="O589" s="18"/>
      <c r="P589" s="18"/>
      <c r="Q589" s="18"/>
      <c r="R589" s="18" t="str">
        <f>IF('Global Precios'!F590="","",'Global Precios'!F590)</f>
        <v>Clinica</v>
      </c>
      <c r="S589" s="18"/>
      <c r="T589" s="18" t="str">
        <f>IF('Global Precios'!E590="","",'Global Precios'!E590)</f>
        <v/>
      </c>
      <c r="U589" s="18"/>
      <c r="V589" s="18">
        <f t="shared" si="2"/>
        <v>0</v>
      </c>
      <c r="W589" s="18"/>
      <c r="X589" s="18"/>
      <c r="Y589" s="18"/>
      <c r="Z589" s="18"/>
      <c r="AA589" s="18"/>
      <c r="AB589" s="18">
        <f t="shared" si="3"/>
        <v>1</v>
      </c>
      <c r="AC589" s="18">
        <f t="shared" si="4"/>
        <v>1</v>
      </c>
      <c r="AD589" s="18">
        <f t="shared" si="5"/>
        <v>1</v>
      </c>
      <c r="AE589" s="18">
        <f t="shared" si="6"/>
        <v>1</v>
      </c>
    </row>
    <row r="590">
      <c r="A590" s="9">
        <f>IF(E590="","", IF('Global Precios'!B591="",0,'Global Precios'!B591))</f>
        <v>0</v>
      </c>
      <c r="B590" s="14" t="str">
        <f>IF('Global Precios'!B591="","",'Global Precios'!B591)</f>
        <v/>
      </c>
      <c r="C590" s="18" t="str">
        <f>IF('Global Precios'!A591="","",'Global Precios'!A591)</f>
        <v>621</v>
      </c>
      <c r="D590" s="18"/>
      <c r="E590" s="25" t="str">
        <f>IF('Global Precios'!D591="","",'Global Precios'!D591)</f>
        <v>INTERNACIÓN día completo más de 10 kg+Cons+medic+descar</v>
      </c>
      <c r="F590" s="18"/>
      <c r="G590" s="25" t="str">
        <f>IFERROR(VLOOKUP(C590,'BuscarV Stock'!$A$2:$C$478,3,0),"AAA")</f>
        <v>AAA</v>
      </c>
      <c r="H590" s="25">
        <f t="shared" si="1"/>
        <v>0.21</v>
      </c>
      <c r="I590" s="30">
        <f>IF('Global Precios'!H591="","",'Global Precios'!H591)</f>
        <v>44541.32231</v>
      </c>
      <c r="J590" s="82">
        <f>IF('Global Precios'!K591="","",'Global Precios'!K591)</f>
        <v>0</v>
      </c>
      <c r="K590" s="30">
        <f>IF('Global Precios'!Z591="Desactivado",0,IF('Global Precios'!L591="","",'Global Precios'!L591))</f>
        <v>0</v>
      </c>
      <c r="L590" s="18"/>
      <c r="M590" s="18"/>
      <c r="N590" s="18"/>
      <c r="O590" s="18"/>
      <c r="P590" s="18"/>
      <c r="Q590" s="18"/>
      <c r="R590" s="18" t="str">
        <f>IF('Global Precios'!F591="","",'Global Precios'!F591)</f>
        <v>Clinica</v>
      </c>
      <c r="S590" s="18"/>
      <c r="T590" s="18" t="str">
        <f>IF('Global Precios'!E591="","",'Global Precios'!E591)</f>
        <v/>
      </c>
      <c r="U590" s="18"/>
      <c r="V590" s="18">
        <f t="shared" si="2"/>
        <v>0</v>
      </c>
      <c r="W590" s="18"/>
      <c r="X590" s="18"/>
      <c r="Y590" s="18"/>
      <c r="Z590" s="18"/>
      <c r="AA590" s="18"/>
      <c r="AB590" s="18">
        <f t="shared" si="3"/>
        <v>1</v>
      </c>
      <c r="AC590" s="18">
        <f t="shared" si="4"/>
        <v>1</v>
      </c>
      <c r="AD590" s="18">
        <f t="shared" si="5"/>
        <v>1</v>
      </c>
      <c r="AE590" s="18">
        <f t="shared" si="6"/>
        <v>1</v>
      </c>
    </row>
    <row r="591">
      <c r="A591" s="9">
        <f>IF(E591="","", IF('Global Precios'!B592="",0,'Global Precios'!B592))</f>
        <v>0</v>
      </c>
      <c r="B591" s="14" t="str">
        <f>IF('Global Precios'!B592="","",'Global Precios'!B592)</f>
        <v/>
      </c>
      <c r="C591" s="18" t="str">
        <f>IF('Global Precios'!A592="","",'Global Precios'!A592)</f>
        <v>622</v>
      </c>
      <c r="D591" s="18"/>
      <c r="E591" s="25" t="str">
        <f>IF('Global Precios'!D592="","",'Global Precios'!D592)</f>
        <v>INTERNACIÓN medio día más de 10 kg+cons+medic+descar</v>
      </c>
      <c r="F591" s="18"/>
      <c r="G591" s="25" t="str">
        <f>IFERROR(VLOOKUP(C591,'BuscarV Stock'!$A$2:$C$478,3,0),"AAA")</f>
        <v>AAA</v>
      </c>
      <c r="H591" s="25">
        <f t="shared" si="1"/>
        <v>0.21</v>
      </c>
      <c r="I591" s="30">
        <f>IF('Global Precios'!H592="","",'Global Precios'!H592)</f>
        <v>48439.66942</v>
      </c>
      <c r="J591" s="82">
        <f>IF('Global Precios'!K592="","",'Global Precios'!K592)</f>
        <v>0</v>
      </c>
      <c r="K591" s="30">
        <f>IF('Global Precios'!Z592="Desactivado",0,IF('Global Precios'!L592="","",'Global Precios'!L592))</f>
        <v>59000</v>
      </c>
      <c r="L591" s="18"/>
      <c r="M591" s="18"/>
      <c r="N591" s="18"/>
      <c r="O591" s="18"/>
      <c r="P591" s="18"/>
      <c r="Q591" s="18"/>
      <c r="R591" s="18" t="str">
        <f>IF('Global Precios'!F592="","",'Global Precios'!F592)</f>
        <v>Clinica</v>
      </c>
      <c r="S591" s="18"/>
      <c r="T591" s="18" t="str">
        <f>IF('Global Precios'!E592="","",'Global Precios'!E592)</f>
        <v/>
      </c>
      <c r="U591" s="18"/>
      <c r="V591" s="18">
        <f t="shared" si="2"/>
        <v>0</v>
      </c>
      <c r="W591" s="18"/>
      <c r="X591" s="18"/>
      <c r="Y591" s="18"/>
      <c r="Z591" s="18"/>
      <c r="AA591" s="18"/>
      <c r="AB591" s="18">
        <f t="shared" si="3"/>
        <v>1</v>
      </c>
      <c r="AC591" s="18">
        <f t="shared" si="4"/>
        <v>1</v>
      </c>
      <c r="AD591" s="18">
        <f t="shared" si="5"/>
        <v>1</v>
      </c>
      <c r="AE591" s="18">
        <f t="shared" si="6"/>
        <v>1</v>
      </c>
    </row>
    <row r="592">
      <c r="A592" s="9">
        <f>IF(E592="","", IF('Global Precios'!B593="",0,'Global Precios'!B593))</f>
        <v>0</v>
      </c>
      <c r="B592" s="14" t="str">
        <f>IF('Global Precios'!B593="","",'Global Precios'!B593)</f>
        <v/>
      </c>
      <c r="C592" s="18" t="str">
        <f>IF('Global Precios'!A593="","",'Global Precios'!A593)</f>
        <v>623</v>
      </c>
      <c r="D592" s="18"/>
      <c r="E592" s="25" t="str">
        <f>IF('Global Precios'!D593="","",'Global Precios'!D593)</f>
        <v>INTERNACIÓN día completo más de 10 Kg (s/c)+med.+descar</v>
      </c>
      <c r="F592" s="18"/>
      <c r="G592" s="25" t="str">
        <f>IFERROR(VLOOKUP(C592,'BuscarV Stock'!$A$2:$C$478,3,0),"AAA")</f>
        <v>AAA</v>
      </c>
      <c r="H592" s="25">
        <f t="shared" si="1"/>
        <v>0.21</v>
      </c>
      <c r="I592" s="30">
        <f>IF('Global Precios'!H593="","",'Global Precios'!H593)</f>
        <v>36442.97521</v>
      </c>
      <c r="J592" s="82">
        <f>IF('Global Precios'!K593="","",'Global Precios'!K593)</f>
        <v>0</v>
      </c>
      <c r="K592" s="30">
        <f>IF('Global Precios'!Z593="Desactivado",0,IF('Global Precios'!L593="","",'Global Precios'!L593))</f>
        <v>0</v>
      </c>
      <c r="L592" s="18"/>
      <c r="M592" s="18"/>
      <c r="N592" s="18"/>
      <c r="O592" s="18"/>
      <c r="P592" s="18"/>
      <c r="Q592" s="18"/>
      <c r="R592" s="18" t="str">
        <f>IF('Global Precios'!F593="","",'Global Precios'!F593)</f>
        <v>Clinica</v>
      </c>
      <c r="S592" s="18"/>
      <c r="T592" s="18" t="str">
        <f>IF('Global Precios'!E593="","",'Global Precios'!E593)</f>
        <v/>
      </c>
      <c r="U592" s="18"/>
      <c r="V592" s="18">
        <f t="shared" si="2"/>
        <v>0</v>
      </c>
      <c r="W592" s="18"/>
      <c r="X592" s="18"/>
      <c r="Y592" s="18"/>
      <c r="Z592" s="18"/>
      <c r="AA592" s="18"/>
      <c r="AB592" s="18">
        <f t="shared" si="3"/>
        <v>1</v>
      </c>
      <c r="AC592" s="18">
        <f t="shared" si="4"/>
        <v>1</v>
      </c>
      <c r="AD592" s="18">
        <f t="shared" si="5"/>
        <v>1</v>
      </c>
      <c r="AE592" s="18">
        <f t="shared" si="6"/>
        <v>1</v>
      </c>
    </row>
    <row r="593">
      <c r="A593" s="9">
        <f>IF(E593="","", IF('Global Precios'!B594="",0,'Global Precios'!B594))</f>
        <v>0</v>
      </c>
      <c r="B593" s="14" t="str">
        <f>IF('Global Precios'!B594="","",'Global Precios'!B594)</f>
        <v/>
      </c>
      <c r="C593" s="18" t="str">
        <f>IF('Global Precios'!A594="","",'Global Precios'!A594)</f>
        <v>624</v>
      </c>
      <c r="D593" s="18"/>
      <c r="E593" s="25" t="str">
        <f>IF('Global Precios'!D594="","",'Global Precios'!D594)</f>
        <v>INTERNACIÓN medio día más de 10 Kg (s/c)+med.+descar</v>
      </c>
      <c r="F593" s="18"/>
      <c r="G593" s="25" t="str">
        <f>IFERROR(VLOOKUP(C593,'BuscarV Stock'!$A$2:$C$478,3,0),"AAA")</f>
        <v>AAA</v>
      </c>
      <c r="H593" s="25">
        <f t="shared" si="1"/>
        <v>0.21</v>
      </c>
      <c r="I593" s="30">
        <f>IF('Global Precios'!H594="","",'Global Precios'!H594)</f>
        <v>36856.19835</v>
      </c>
      <c r="J593" s="82">
        <f>IF('Global Precios'!K594="","",'Global Precios'!K594)</f>
        <v>0</v>
      </c>
      <c r="K593" s="30">
        <f>IF('Global Precios'!Z594="Desactivado",0,IF('Global Precios'!L594="","",'Global Precios'!L594))</f>
        <v>45000</v>
      </c>
      <c r="L593" s="18"/>
      <c r="M593" s="18"/>
      <c r="N593" s="18"/>
      <c r="O593" s="18"/>
      <c r="P593" s="18"/>
      <c r="Q593" s="18"/>
      <c r="R593" s="18" t="str">
        <f>IF('Global Precios'!F594="","",'Global Precios'!F594)</f>
        <v>Clinica</v>
      </c>
      <c r="S593" s="18"/>
      <c r="T593" s="18" t="str">
        <f>IF('Global Precios'!E594="","",'Global Precios'!E594)</f>
        <v/>
      </c>
      <c r="U593" s="18"/>
      <c r="V593" s="18">
        <f t="shared" si="2"/>
        <v>0</v>
      </c>
      <c r="W593" s="18"/>
      <c r="X593" s="18"/>
      <c r="Y593" s="18"/>
      <c r="Z593" s="18"/>
      <c r="AA593" s="18"/>
      <c r="AB593" s="18">
        <f t="shared" si="3"/>
        <v>1</v>
      </c>
      <c r="AC593" s="18">
        <f t="shared" si="4"/>
        <v>1</v>
      </c>
      <c r="AD593" s="18">
        <f t="shared" si="5"/>
        <v>1</v>
      </c>
      <c r="AE593" s="18">
        <f t="shared" si="6"/>
        <v>1</v>
      </c>
    </row>
    <row r="594">
      <c r="A594" s="9">
        <f>IF(E594="","", IF('Global Precios'!B595="",0,'Global Precios'!B595))</f>
        <v>0</v>
      </c>
      <c r="B594" s="14" t="str">
        <f>IF('Global Precios'!B595="","",'Global Precios'!B595)</f>
        <v/>
      </c>
      <c r="C594" s="18" t="str">
        <f>IF('Global Precios'!A595="","",'Global Precios'!A595)</f>
        <v>625</v>
      </c>
      <c r="D594" s="18"/>
      <c r="E594" s="25" t="str">
        <f>IF('Global Precios'!D595="","",'Global Precios'!D595)</f>
        <v>Baño hasta 5 kg pelo corto</v>
      </c>
      <c r="F594" s="18"/>
      <c r="G594" s="25" t="str">
        <f>IFERROR(VLOOKUP(C594,'BuscarV Stock'!$A$2:$C$478,3,0),"AAA")</f>
        <v>AAA</v>
      </c>
      <c r="H594" s="25">
        <f t="shared" si="1"/>
        <v>0.21</v>
      </c>
      <c r="I594" s="30">
        <f>IF('Global Precios'!H595="","",'Global Precios'!H595)</f>
        <v>8098.347107</v>
      </c>
      <c r="J594" s="82">
        <f>IF('Global Precios'!K595="","",'Global Precios'!K595)</f>
        <v>0</v>
      </c>
      <c r="K594" s="30">
        <f>IF('Global Precios'!Z595="Desactivado",0,IF('Global Precios'!L595="","",'Global Precios'!L595))</f>
        <v>0</v>
      </c>
      <c r="L594" s="18"/>
      <c r="M594" s="18"/>
      <c r="N594" s="18"/>
      <c r="O594" s="18"/>
      <c r="P594" s="18"/>
      <c r="Q594" s="18"/>
      <c r="R594" s="18" t="str">
        <f>IF('Global Precios'!F595="","",'Global Precios'!F595)</f>
        <v>Peluquería</v>
      </c>
      <c r="S594" s="18"/>
      <c r="T594" s="18" t="str">
        <f>IF('Global Precios'!E595="","",'Global Precios'!E595)</f>
        <v/>
      </c>
      <c r="U594" s="18"/>
      <c r="V594" s="18">
        <f t="shared" si="2"/>
        <v>0</v>
      </c>
      <c r="W594" s="18"/>
      <c r="X594" s="18"/>
      <c r="Y594" s="18"/>
      <c r="Z594" s="18"/>
      <c r="AA594" s="18"/>
      <c r="AB594" s="18">
        <f t="shared" si="3"/>
        <v>1</v>
      </c>
      <c r="AC594" s="18">
        <f t="shared" si="4"/>
        <v>1</v>
      </c>
      <c r="AD594" s="18">
        <f t="shared" si="5"/>
        <v>1</v>
      </c>
      <c r="AE594" s="18">
        <f t="shared" si="6"/>
        <v>1</v>
      </c>
    </row>
    <row r="595">
      <c r="A595" s="9">
        <f>IF(E595="","", IF('Global Precios'!B596="",0,'Global Precios'!B596))</f>
        <v>0</v>
      </c>
      <c r="B595" s="14" t="str">
        <f>IF('Global Precios'!B596="","",'Global Precios'!B596)</f>
        <v/>
      </c>
      <c r="C595" s="18" t="str">
        <f>IF('Global Precios'!A596="","",'Global Precios'!A596)</f>
        <v>626</v>
      </c>
      <c r="D595" s="18"/>
      <c r="E595" s="25" t="str">
        <f>IF('Global Precios'!D596="","",'Global Precios'!D596)</f>
        <v>Baño hasta 10 Kg pelo corto</v>
      </c>
      <c r="F595" s="18"/>
      <c r="G595" s="25" t="str">
        <f>IFERROR(VLOOKUP(C595,'BuscarV Stock'!$A$2:$C$478,3,0),"AAA")</f>
        <v>AAA</v>
      </c>
      <c r="H595" s="25">
        <f t="shared" si="1"/>
        <v>0.21</v>
      </c>
      <c r="I595" s="30">
        <f>IF('Global Precios'!H596="","",'Global Precios'!H596)</f>
        <v>9110.743802</v>
      </c>
      <c r="J595" s="82">
        <f>IF('Global Precios'!K596="","",'Global Precios'!K596)</f>
        <v>0</v>
      </c>
      <c r="K595" s="30">
        <f>IF('Global Precios'!Z596="Desactivado",0,IF('Global Precios'!L596="","",'Global Precios'!L596))</f>
        <v>0</v>
      </c>
      <c r="L595" s="18"/>
      <c r="M595" s="18"/>
      <c r="N595" s="18"/>
      <c r="O595" s="18"/>
      <c r="P595" s="18"/>
      <c r="Q595" s="18"/>
      <c r="R595" s="18" t="str">
        <f>IF('Global Precios'!F596="","",'Global Precios'!F596)</f>
        <v>Peluquería</v>
      </c>
      <c r="S595" s="18"/>
      <c r="T595" s="18" t="str">
        <f>IF('Global Precios'!E596="","",'Global Precios'!E596)</f>
        <v/>
      </c>
      <c r="U595" s="18"/>
      <c r="V595" s="18">
        <f t="shared" si="2"/>
        <v>0</v>
      </c>
      <c r="W595" s="18"/>
      <c r="X595" s="18"/>
      <c r="Y595" s="18"/>
      <c r="Z595" s="18"/>
      <c r="AA595" s="18"/>
      <c r="AB595" s="18">
        <f t="shared" si="3"/>
        <v>1</v>
      </c>
      <c r="AC595" s="18">
        <f t="shared" si="4"/>
        <v>1</v>
      </c>
      <c r="AD595" s="18">
        <f t="shared" si="5"/>
        <v>1</v>
      </c>
      <c r="AE595" s="18">
        <f t="shared" si="6"/>
        <v>1</v>
      </c>
    </row>
    <row r="596">
      <c r="A596" s="9">
        <f>IF(E596="","", IF('Global Precios'!B597="",0,'Global Precios'!B597))</f>
        <v>0</v>
      </c>
      <c r="B596" s="14" t="str">
        <f>IF('Global Precios'!B597="","",'Global Precios'!B597)</f>
        <v/>
      </c>
      <c r="C596" s="18" t="str">
        <f>IF('Global Precios'!A597="","",'Global Precios'!A597)</f>
        <v>627</v>
      </c>
      <c r="D596" s="18"/>
      <c r="E596" s="25" t="str">
        <f>IF('Global Precios'!D597="","",'Global Precios'!D597)</f>
        <v>Baño hasta 20 Kg pelo corto</v>
      </c>
      <c r="F596" s="18"/>
      <c r="G596" s="25" t="str">
        <f>IFERROR(VLOOKUP(C596,'BuscarV Stock'!$A$2:$C$478,3,0),"AAA")</f>
        <v>AAA</v>
      </c>
      <c r="H596" s="25">
        <f t="shared" si="1"/>
        <v>0.21</v>
      </c>
      <c r="I596" s="30">
        <f>IF('Global Precios'!H597="","",'Global Precios'!H597)</f>
        <v>12146.28099</v>
      </c>
      <c r="J596" s="82">
        <f>IF('Global Precios'!K597="","",'Global Precios'!K597)</f>
        <v>0</v>
      </c>
      <c r="K596" s="30">
        <f>IF('Global Precios'!Z597="Desactivado",0,IF('Global Precios'!L597="","",'Global Precios'!L597))</f>
        <v>0</v>
      </c>
      <c r="L596" s="18"/>
      <c r="M596" s="18"/>
      <c r="N596" s="18"/>
      <c r="O596" s="18"/>
      <c r="P596" s="18"/>
      <c r="Q596" s="18"/>
      <c r="R596" s="18" t="str">
        <f>IF('Global Precios'!F597="","",'Global Precios'!F597)</f>
        <v>Peluquería</v>
      </c>
      <c r="S596" s="18"/>
      <c r="T596" s="18" t="str">
        <f>IF('Global Precios'!E597="","",'Global Precios'!E597)</f>
        <v/>
      </c>
      <c r="U596" s="18"/>
      <c r="V596" s="18">
        <f t="shared" si="2"/>
        <v>0</v>
      </c>
      <c r="W596" s="18"/>
      <c r="X596" s="18"/>
      <c r="Y596" s="18"/>
      <c r="Z596" s="18"/>
      <c r="AA596" s="18"/>
      <c r="AB596" s="18">
        <f t="shared" si="3"/>
        <v>1</v>
      </c>
      <c r="AC596" s="18">
        <f t="shared" si="4"/>
        <v>1</v>
      </c>
      <c r="AD596" s="18">
        <f t="shared" si="5"/>
        <v>1</v>
      </c>
      <c r="AE596" s="18">
        <f t="shared" si="6"/>
        <v>1</v>
      </c>
    </row>
    <row r="597">
      <c r="A597" s="9">
        <f>IF(E597="","", IF('Global Precios'!B598="",0,'Global Precios'!B598))</f>
        <v>0</v>
      </c>
      <c r="B597" s="14" t="str">
        <f>IF('Global Precios'!B598="","",'Global Precios'!B598)</f>
        <v/>
      </c>
      <c r="C597" s="18" t="str">
        <f>IF('Global Precios'!A598="","",'Global Precios'!A598)</f>
        <v>628</v>
      </c>
      <c r="D597" s="18"/>
      <c r="E597" s="25" t="str">
        <f>IF('Global Precios'!D598="","",'Global Precios'!D598)</f>
        <v>Baño hasta 30 Kg pelo corto</v>
      </c>
      <c r="F597" s="18"/>
      <c r="G597" s="25" t="str">
        <f>IFERROR(VLOOKUP(C597,'BuscarV Stock'!$A$2:$C$478,3,0),"AAA")</f>
        <v>AAA</v>
      </c>
      <c r="H597" s="25">
        <f t="shared" si="1"/>
        <v>0.21</v>
      </c>
      <c r="I597" s="30">
        <f>IF('Global Precios'!H598="","",'Global Precios'!H598)</f>
        <v>17210.7438</v>
      </c>
      <c r="J597" s="82">
        <f>IF('Global Precios'!K598="","",'Global Precios'!K598)</f>
        <v>0</v>
      </c>
      <c r="K597" s="30">
        <f>IF('Global Precios'!Z598="Desactivado",0,IF('Global Precios'!L598="","",'Global Precios'!L598))</f>
        <v>0</v>
      </c>
      <c r="L597" s="18"/>
      <c r="M597" s="18"/>
      <c r="N597" s="18"/>
      <c r="O597" s="18"/>
      <c r="P597" s="18"/>
      <c r="Q597" s="18"/>
      <c r="R597" s="18" t="str">
        <f>IF('Global Precios'!F598="","",'Global Precios'!F598)</f>
        <v>Peluquería</v>
      </c>
      <c r="S597" s="18"/>
      <c r="T597" s="18" t="str">
        <f>IF('Global Precios'!E598="","",'Global Precios'!E598)</f>
        <v/>
      </c>
      <c r="U597" s="18"/>
      <c r="V597" s="18">
        <f t="shared" si="2"/>
        <v>0</v>
      </c>
      <c r="W597" s="18"/>
      <c r="X597" s="18"/>
      <c r="Y597" s="18"/>
      <c r="Z597" s="18"/>
      <c r="AA597" s="18"/>
      <c r="AB597" s="18">
        <f t="shared" si="3"/>
        <v>1</v>
      </c>
      <c r="AC597" s="18">
        <f t="shared" si="4"/>
        <v>1</v>
      </c>
      <c r="AD597" s="18">
        <f t="shared" si="5"/>
        <v>1</v>
      </c>
      <c r="AE597" s="18">
        <f t="shared" si="6"/>
        <v>1</v>
      </c>
    </row>
    <row r="598">
      <c r="A598" s="9">
        <f>IF(E598="","", IF('Global Precios'!B599="",0,'Global Precios'!B599))</f>
        <v>0</v>
      </c>
      <c r="B598" s="14" t="str">
        <f>IF('Global Precios'!B599="","",'Global Precios'!B599)</f>
        <v/>
      </c>
      <c r="C598" s="18" t="str">
        <f>IF('Global Precios'!A599="","",'Global Precios'!A599)</f>
        <v>629</v>
      </c>
      <c r="D598" s="18"/>
      <c r="E598" s="25" t="str">
        <f>IF('Global Precios'!D599="","",'Global Precios'!D599)</f>
        <v>Baño más de 30 Kg pelo corto</v>
      </c>
      <c r="F598" s="18"/>
      <c r="G598" s="25" t="str">
        <f>IFERROR(VLOOKUP(C598,'BuscarV Stock'!$A$2:$C$478,3,0),"AAA")</f>
        <v>AAA</v>
      </c>
      <c r="H598" s="25">
        <f t="shared" si="1"/>
        <v>0.21</v>
      </c>
      <c r="I598" s="30">
        <f>IF('Global Precios'!H599="","",'Global Precios'!H599)</f>
        <v>19234.71074</v>
      </c>
      <c r="J598" s="82">
        <f>IF('Global Precios'!K599="","",'Global Precios'!K599)</f>
        <v>0</v>
      </c>
      <c r="K598" s="30">
        <f>IF('Global Precios'!Z599="Desactivado",0,IF('Global Precios'!L599="","",'Global Precios'!L599))</f>
        <v>0</v>
      </c>
      <c r="L598" s="18"/>
      <c r="M598" s="18"/>
      <c r="N598" s="18"/>
      <c r="O598" s="18"/>
      <c r="P598" s="18"/>
      <c r="Q598" s="18"/>
      <c r="R598" s="18" t="str">
        <f>IF('Global Precios'!F599="","",'Global Precios'!F599)</f>
        <v>Peluquería</v>
      </c>
      <c r="S598" s="18"/>
      <c r="T598" s="18" t="str">
        <f>IF('Global Precios'!E599="","",'Global Precios'!E599)</f>
        <v/>
      </c>
      <c r="U598" s="18"/>
      <c r="V598" s="18">
        <f t="shared" si="2"/>
        <v>0</v>
      </c>
      <c r="W598" s="18"/>
      <c r="X598" s="18"/>
      <c r="Y598" s="18"/>
      <c r="Z598" s="18"/>
      <c r="AA598" s="18"/>
      <c r="AB598" s="18">
        <f t="shared" si="3"/>
        <v>1</v>
      </c>
      <c r="AC598" s="18">
        <f t="shared" si="4"/>
        <v>1</v>
      </c>
      <c r="AD598" s="18">
        <f t="shared" si="5"/>
        <v>1</v>
      </c>
      <c r="AE598" s="18">
        <f t="shared" si="6"/>
        <v>1</v>
      </c>
    </row>
    <row r="599">
      <c r="A599" s="9">
        <f>IF(E599="","", IF('Global Precios'!B600="",0,'Global Precios'!B600))</f>
        <v>0</v>
      </c>
      <c r="B599" s="14" t="str">
        <f>IF('Global Precios'!B600="","",'Global Precios'!B600)</f>
        <v/>
      </c>
      <c r="C599" s="18" t="str">
        <f>IF('Global Precios'!A600="","",'Global Precios'!A600)</f>
        <v>630</v>
      </c>
      <c r="D599" s="18"/>
      <c r="E599" s="25" t="str">
        <f>IF('Global Precios'!D600="","",'Global Precios'!D600)</f>
        <v>Baño hasta 5 kg pelo largo</v>
      </c>
      <c r="F599" s="18"/>
      <c r="G599" s="25" t="str">
        <f>IFERROR(VLOOKUP(C599,'BuscarV Stock'!$A$2:$C$478,3,0),"AAA")</f>
        <v>AAA</v>
      </c>
      <c r="H599" s="25">
        <f t="shared" si="1"/>
        <v>0.21</v>
      </c>
      <c r="I599" s="30">
        <f>IF('Global Precios'!H600="","",'Global Precios'!H600)</f>
        <v>9110.743802</v>
      </c>
      <c r="J599" s="82">
        <f>IF('Global Precios'!K600="","",'Global Precios'!K600)</f>
        <v>0</v>
      </c>
      <c r="K599" s="30">
        <f>IF('Global Precios'!Z600="Desactivado",0,IF('Global Precios'!L600="","",'Global Precios'!L600))</f>
        <v>0</v>
      </c>
      <c r="L599" s="18"/>
      <c r="M599" s="18"/>
      <c r="N599" s="18"/>
      <c r="O599" s="18"/>
      <c r="P599" s="18"/>
      <c r="Q599" s="18"/>
      <c r="R599" s="18" t="str">
        <f>IF('Global Precios'!F600="","",'Global Precios'!F600)</f>
        <v>Peluquería</v>
      </c>
      <c r="S599" s="18"/>
      <c r="T599" s="18" t="str">
        <f>IF('Global Precios'!E600="","",'Global Precios'!E600)</f>
        <v/>
      </c>
      <c r="U599" s="18"/>
      <c r="V599" s="18">
        <f t="shared" si="2"/>
        <v>0</v>
      </c>
      <c r="W599" s="18"/>
      <c r="X599" s="18"/>
      <c r="Y599" s="18"/>
      <c r="Z599" s="18"/>
      <c r="AA599" s="18"/>
      <c r="AB599" s="18">
        <f t="shared" si="3"/>
        <v>1</v>
      </c>
      <c r="AC599" s="18">
        <f t="shared" si="4"/>
        <v>1</v>
      </c>
      <c r="AD599" s="18">
        <f t="shared" si="5"/>
        <v>1</v>
      </c>
      <c r="AE599" s="18">
        <f t="shared" si="6"/>
        <v>1</v>
      </c>
    </row>
    <row r="600">
      <c r="A600" s="9">
        <f>IF(E600="","", IF('Global Precios'!B601="",0,'Global Precios'!B601))</f>
        <v>0</v>
      </c>
      <c r="B600" s="14" t="str">
        <f>IF('Global Precios'!B601="","",'Global Precios'!B601)</f>
        <v/>
      </c>
      <c r="C600" s="18" t="str">
        <f>IF('Global Precios'!A601="","",'Global Precios'!A601)</f>
        <v>631</v>
      </c>
      <c r="D600" s="18"/>
      <c r="E600" s="25" t="str">
        <f>IF('Global Precios'!D601="","",'Global Precios'!D601)</f>
        <v>Baño hasta 10 Kg pelo largo</v>
      </c>
      <c r="F600" s="18"/>
      <c r="G600" s="25" t="str">
        <f>IFERROR(VLOOKUP(C600,'BuscarV Stock'!$A$2:$C$478,3,0),"AAA")</f>
        <v>AAA</v>
      </c>
      <c r="H600" s="25">
        <f t="shared" si="1"/>
        <v>0.21</v>
      </c>
      <c r="I600" s="30">
        <f>IF('Global Precios'!H601="","",'Global Precios'!H601)</f>
        <v>11134.71074</v>
      </c>
      <c r="J600" s="82">
        <f>IF('Global Precios'!K601="","",'Global Precios'!K601)</f>
        <v>0</v>
      </c>
      <c r="K600" s="30">
        <f>IF('Global Precios'!Z601="Desactivado",0,IF('Global Precios'!L601="","",'Global Precios'!L601))</f>
        <v>0</v>
      </c>
      <c r="L600" s="18"/>
      <c r="M600" s="18"/>
      <c r="N600" s="18"/>
      <c r="O600" s="18"/>
      <c r="P600" s="18"/>
      <c r="Q600" s="18"/>
      <c r="R600" s="18" t="str">
        <f>IF('Global Precios'!F601="","",'Global Precios'!F601)</f>
        <v>Peluquería</v>
      </c>
      <c r="S600" s="18"/>
      <c r="T600" s="18" t="str">
        <f>IF('Global Precios'!E601="","",'Global Precios'!E601)</f>
        <v/>
      </c>
      <c r="U600" s="18"/>
      <c r="V600" s="18">
        <f t="shared" si="2"/>
        <v>0</v>
      </c>
      <c r="W600" s="18"/>
      <c r="X600" s="18"/>
      <c r="Y600" s="18"/>
      <c r="Z600" s="18"/>
      <c r="AA600" s="18"/>
      <c r="AB600" s="18">
        <f t="shared" si="3"/>
        <v>1</v>
      </c>
      <c r="AC600" s="18">
        <f t="shared" si="4"/>
        <v>1</v>
      </c>
      <c r="AD600" s="18">
        <f t="shared" si="5"/>
        <v>1</v>
      </c>
      <c r="AE600" s="18">
        <f t="shared" si="6"/>
        <v>1</v>
      </c>
    </row>
    <row r="601">
      <c r="A601" s="9">
        <f>IF(E601="","", IF('Global Precios'!B602="",0,'Global Precios'!B602))</f>
        <v>0</v>
      </c>
      <c r="B601" s="14" t="str">
        <f>IF('Global Precios'!B602="","",'Global Precios'!B602)</f>
        <v/>
      </c>
      <c r="C601" s="18" t="str">
        <f>IF('Global Precios'!A602="","",'Global Precios'!A602)</f>
        <v>632</v>
      </c>
      <c r="D601" s="18"/>
      <c r="E601" s="25" t="str">
        <f>IF('Global Precios'!D602="","",'Global Precios'!D602)</f>
        <v>Baño hasta 20 Kg pelo largo</v>
      </c>
      <c r="F601" s="18"/>
      <c r="G601" s="25" t="str">
        <f>IFERROR(VLOOKUP(C601,'BuscarV Stock'!$A$2:$C$478,3,0),"AAA")</f>
        <v>AAA</v>
      </c>
      <c r="H601" s="25">
        <f t="shared" si="1"/>
        <v>0.21</v>
      </c>
      <c r="I601" s="30">
        <f>IF('Global Precios'!H602="","",'Global Precios'!H602)</f>
        <v>15184.29752</v>
      </c>
      <c r="J601" s="82">
        <f>IF('Global Precios'!K602="","",'Global Precios'!K602)</f>
        <v>0</v>
      </c>
      <c r="K601" s="30">
        <f>IF('Global Precios'!Z602="Desactivado",0,IF('Global Precios'!L602="","",'Global Precios'!L602))</f>
        <v>0</v>
      </c>
      <c r="L601" s="18"/>
      <c r="M601" s="18"/>
      <c r="N601" s="18"/>
      <c r="O601" s="18"/>
      <c r="P601" s="18"/>
      <c r="Q601" s="18"/>
      <c r="R601" s="18" t="str">
        <f>IF('Global Precios'!F602="","",'Global Precios'!F602)</f>
        <v>Peluquería</v>
      </c>
      <c r="S601" s="18"/>
      <c r="T601" s="18" t="str">
        <f>IF('Global Precios'!E602="","",'Global Precios'!E602)</f>
        <v/>
      </c>
      <c r="U601" s="18"/>
      <c r="V601" s="18">
        <f t="shared" si="2"/>
        <v>0</v>
      </c>
      <c r="W601" s="18"/>
      <c r="X601" s="18"/>
      <c r="Y601" s="18"/>
      <c r="Z601" s="18"/>
      <c r="AA601" s="18"/>
      <c r="AB601" s="18">
        <f t="shared" si="3"/>
        <v>1</v>
      </c>
      <c r="AC601" s="18">
        <f t="shared" si="4"/>
        <v>1</v>
      </c>
      <c r="AD601" s="18">
        <f t="shared" si="5"/>
        <v>1</v>
      </c>
      <c r="AE601" s="18">
        <f t="shared" si="6"/>
        <v>1</v>
      </c>
    </row>
    <row r="602">
      <c r="A602" s="9">
        <f>IF(E602="","", IF('Global Precios'!B603="",0,'Global Precios'!B603))</f>
        <v>0</v>
      </c>
      <c r="B602" s="14" t="str">
        <f>IF('Global Precios'!B603="","",'Global Precios'!B603)</f>
        <v/>
      </c>
      <c r="C602" s="18" t="str">
        <f>IF('Global Precios'!A603="","",'Global Precios'!A603)</f>
        <v>633</v>
      </c>
      <c r="D602" s="18"/>
      <c r="E602" s="25" t="str">
        <f>IF('Global Precios'!D603="","",'Global Precios'!D603)</f>
        <v>Baño hasta 30 Kg pelo largo</v>
      </c>
      <c r="F602" s="18"/>
      <c r="G602" s="25" t="str">
        <f>IFERROR(VLOOKUP(C602,'BuscarV Stock'!$A$2:$C$478,3,0),"AAA")</f>
        <v>AAA</v>
      </c>
      <c r="H602" s="25">
        <f t="shared" si="1"/>
        <v>0.21</v>
      </c>
      <c r="I602" s="30">
        <f>IF('Global Precios'!H603="","",'Global Precios'!H603)</f>
        <v>19638.01653</v>
      </c>
      <c r="J602" s="82">
        <f>IF('Global Precios'!K603="","",'Global Precios'!K603)</f>
        <v>0</v>
      </c>
      <c r="K602" s="30">
        <f>IF('Global Precios'!Z603="Desactivado",0,IF('Global Precios'!L603="","",'Global Precios'!L603))</f>
        <v>0</v>
      </c>
      <c r="L602" s="18"/>
      <c r="M602" s="18"/>
      <c r="N602" s="18"/>
      <c r="O602" s="18"/>
      <c r="P602" s="18"/>
      <c r="Q602" s="18"/>
      <c r="R602" s="18" t="str">
        <f>IF('Global Precios'!F603="","",'Global Precios'!F603)</f>
        <v>Peluquería</v>
      </c>
      <c r="S602" s="18"/>
      <c r="T602" s="18" t="str">
        <f>IF('Global Precios'!E603="","",'Global Precios'!E603)</f>
        <v/>
      </c>
      <c r="U602" s="18"/>
      <c r="V602" s="18">
        <f t="shared" si="2"/>
        <v>0</v>
      </c>
      <c r="W602" s="18"/>
      <c r="X602" s="18"/>
      <c r="Y602" s="18"/>
      <c r="Z602" s="18"/>
      <c r="AA602" s="18"/>
      <c r="AB602" s="18">
        <f t="shared" si="3"/>
        <v>1</v>
      </c>
      <c r="AC602" s="18">
        <f t="shared" si="4"/>
        <v>1</v>
      </c>
      <c r="AD602" s="18">
        <f t="shared" si="5"/>
        <v>1</v>
      </c>
      <c r="AE602" s="18">
        <f t="shared" si="6"/>
        <v>1</v>
      </c>
    </row>
    <row r="603">
      <c r="A603" s="9">
        <f>IF(E603="","", IF('Global Precios'!B604="",0,'Global Precios'!B604))</f>
        <v>0</v>
      </c>
      <c r="B603" s="14" t="str">
        <f>IF('Global Precios'!B604="","",'Global Precios'!B604)</f>
        <v/>
      </c>
      <c r="C603" s="18" t="str">
        <f>IF('Global Precios'!A604="","",'Global Precios'!A604)</f>
        <v>634</v>
      </c>
      <c r="D603" s="18"/>
      <c r="E603" s="25" t="str">
        <f>IF('Global Precios'!D604="","",'Global Precios'!D604)</f>
        <v>Baño hasta 30 Kg pelo largo</v>
      </c>
      <c r="F603" s="18"/>
      <c r="G603" s="25" t="str">
        <f>IFERROR(VLOOKUP(C603,'BuscarV Stock'!$A$2:$C$478,3,0),"AAA")</f>
        <v>AAA</v>
      </c>
      <c r="H603" s="25">
        <f t="shared" si="1"/>
        <v>0.21</v>
      </c>
      <c r="I603" s="30">
        <f>IF('Global Precios'!H604="","",'Global Precios'!H604)</f>
        <v>21663.63636</v>
      </c>
      <c r="J603" s="82">
        <f>IF('Global Precios'!K604="","",'Global Precios'!K604)</f>
        <v>0</v>
      </c>
      <c r="K603" s="30">
        <f>IF('Global Precios'!Z604="Desactivado",0,IF('Global Precios'!L604="","",'Global Precios'!L604))</f>
        <v>0</v>
      </c>
      <c r="L603" s="18"/>
      <c r="M603" s="18"/>
      <c r="N603" s="18"/>
      <c r="O603" s="18"/>
      <c r="P603" s="18"/>
      <c r="Q603" s="18"/>
      <c r="R603" s="18" t="str">
        <f>IF('Global Precios'!F604="","",'Global Precios'!F604)</f>
        <v>Peluquería</v>
      </c>
      <c r="S603" s="18"/>
      <c r="T603" s="18" t="str">
        <f>IF('Global Precios'!E604="","",'Global Precios'!E604)</f>
        <v/>
      </c>
      <c r="U603" s="18"/>
      <c r="V603" s="18">
        <f t="shared" si="2"/>
        <v>0</v>
      </c>
      <c r="W603" s="18"/>
      <c r="X603" s="18"/>
      <c r="Y603" s="18"/>
      <c r="Z603" s="18"/>
      <c r="AA603" s="18"/>
      <c r="AB603" s="18">
        <f t="shared" si="3"/>
        <v>1</v>
      </c>
      <c r="AC603" s="18">
        <f t="shared" si="4"/>
        <v>1</v>
      </c>
      <c r="AD603" s="18">
        <f t="shared" si="5"/>
        <v>1</v>
      </c>
      <c r="AE603" s="18">
        <f t="shared" si="6"/>
        <v>1</v>
      </c>
    </row>
    <row r="604">
      <c r="A604" s="9">
        <f>IF(E604="","", IF('Global Precios'!B605="",0,'Global Precios'!B605))</f>
        <v>0</v>
      </c>
      <c r="B604" s="14" t="str">
        <f>IF('Global Precios'!B605="","",'Global Precios'!B605)</f>
        <v/>
      </c>
      <c r="C604" s="18" t="str">
        <f>IF('Global Precios'!A605="","",'Global Precios'!A605)</f>
        <v>635</v>
      </c>
      <c r="D604" s="18"/>
      <c r="E604" s="25" t="str">
        <f>IF('Global Precios'!D605="","",'Global Precios'!D605)</f>
        <v>Corte y Baño hasta 5 kg</v>
      </c>
      <c r="F604" s="18"/>
      <c r="G604" s="25" t="str">
        <f>IFERROR(VLOOKUP(C604,'BuscarV Stock'!$A$2:$C$478,3,0),"AAA")</f>
        <v>AAA</v>
      </c>
      <c r="H604" s="25">
        <f t="shared" si="1"/>
        <v>0.21</v>
      </c>
      <c r="I604" s="30">
        <f>IF('Global Precios'!H605="","",'Global Precios'!H605)</f>
        <v>13564.46281</v>
      </c>
      <c r="J604" s="82">
        <f>IF('Global Precios'!K605="","",'Global Precios'!K605)</f>
        <v>0</v>
      </c>
      <c r="K604" s="30">
        <f>IF('Global Precios'!Z605="Desactivado",0,IF('Global Precios'!L605="","",'Global Precios'!L605))</f>
        <v>0</v>
      </c>
      <c r="L604" s="18"/>
      <c r="M604" s="18"/>
      <c r="N604" s="18"/>
      <c r="O604" s="18"/>
      <c r="P604" s="18"/>
      <c r="Q604" s="18"/>
      <c r="R604" s="18" t="str">
        <f>IF('Global Precios'!F605="","",'Global Precios'!F605)</f>
        <v>Peluquería</v>
      </c>
      <c r="S604" s="18"/>
      <c r="T604" s="18" t="str">
        <f>IF('Global Precios'!E605="","",'Global Precios'!E605)</f>
        <v/>
      </c>
      <c r="U604" s="18"/>
      <c r="V604" s="18">
        <f t="shared" si="2"/>
        <v>0</v>
      </c>
      <c r="W604" s="18"/>
      <c r="X604" s="18"/>
      <c r="Y604" s="18"/>
      <c r="Z604" s="18"/>
      <c r="AA604" s="18"/>
      <c r="AB604" s="18">
        <f t="shared" si="3"/>
        <v>1</v>
      </c>
      <c r="AC604" s="18">
        <f t="shared" si="4"/>
        <v>1</v>
      </c>
      <c r="AD604" s="18">
        <f t="shared" si="5"/>
        <v>1</v>
      </c>
      <c r="AE604" s="18">
        <f t="shared" si="6"/>
        <v>1</v>
      </c>
    </row>
    <row r="605">
      <c r="A605" s="9">
        <f>IF(E605="","", IF('Global Precios'!B606="",0,'Global Precios'!B606))</f>
        <v>0</v>
      </c>
      <c r="B605" s="14" t="str">
        <f>IF('Global Precios'!B606="","",'Global Precios'!B606)</f>
        <v/>
      </c>
      <c r="C605" s="18" t="str">
        <f>IF('Global Precios'!A606="","",'Global Precios'!A606)</f>
        <v>636</v>
      </c>
      <c r="D605" s="18"/>
      <c r="E605" s="25" t="str">
        <f>IF('Global Precios'!D606="","",'Global Precios'!D606)</f>
        <v>Corte y Baño hasta 10 kg</v>
      </c>
      <c r="F605" s="18"/>
      <c r="G605" s="25" t="str">
        <f>IFERROR(VLOOKUP(C605,'BuscarV Stock'!$A$2:$C$478,3,0),"AAA")</f>
        <v>AAA</v>
      </c>
      <c r="H605" s="25">
        <f t="shared" si="1"/>
        <v>0.21</v>
      </c>
      <c r="I605" s="30">
        <f>IF('Global Precios'!H606="","",'Global Precios'!H606)</f>
        <v>14982.64463</v>
      </c>
      <c r="J605" s="82">
        <f>IF('Global Precios'!K606="","",'Global Precios'!K606)</f>
        <v>0</v>
      </c>
      <c r="K605" s="30">
        <f>IF('Global Precios'!Z606="Desactivado",0,IF('Global Precios'!L606="","",'Global Precios'!L606))</f>
        <v>0</v>
      </c>
      <c r="L605" s="18"/>
      <c r="M605" s="18"/>
      <c r="N605" s="18"/>
      <c r="O605" s="18"/>
      <c r="P605" s="18"/>
      <c r="Q605" s="18"/>
      <c r="R605" s="18" t="str">
        <f>IF('Global Precios'!F606="","",'Global Precios'!F606)</f>
        <v>Peluquería</v>
      </c>
      <c r="S605" s="18"/>
      <c r="T605" s="18" t="str">
        <f>IF('Global Precios'!E606="","",'Global Precios'!E606)</f>
        <v/>
      </c>
      <c r="U605" s="18"/>
      <c r="V605" s="18">
        <f t="shared" si="2"/>
        <v>0</v>
      </c>
      <c r="W605" s="18"/>
      <c r="X605" s="18"/>
      <c r="Y605" s="18"/>
      <c r="Z605" s="18"/>
      <c r="AA605" s="18"/>
      <c r="AB605" s="18">
        <f t="shared" si="3"/>
        <v>1</v>
      </c>
      <c r="AC605" s="18">
        <f t="shared" si="4"/>
        <v>1</v>
      </c>
      <c r="AD605" s="18">
        <f t="shared" si="5"/>
        <v>1</v>
      </c>
      <c r="AE605" s="18">
        <f t="shared" si="6"/>
        <v>1</v>
      </c>
    </row>
    <row r="606">
      <c r="A606" s="9">
        <f>IF(E606="","", IF('Global Precios'!B607="",0,'Global Precios'!B607))</f>
        <v>0</v>
      </c>
      <c r="B606" s="14" t="str">
        <f>IF('Global Precios'!B607="","",'Global Precios'!B607)</f>
        <v/>
      </c>
      <c r="C606" s="18" t="str">
        <f>IF('Global Precios'!A607="","",'Global Precios'!A607)</f>
        <v>637</v>
      </c>
      <c r="D606" s="18"/>
      <c r="E606" s="25" t="str">
        <f>IF('Global Precios'!D607="","",'Global Precios'!D607)</f>
        <v>Corte y Baño hasta 20 kg</v>
      </c>
      <c r="F606" s="18"/>
      <c r="G606" s="25" t="str">
        <f>IFERROR(VLOOKUP(C606,'BuscarV Stock'!$A$2:$C$478,3,0),"AAA")</f>
        <v>AAA</v>
      </c>
      <c r="H606" s="25">
        <f t="shared" si="1"/>
        <v>0.21</v>
      </c>
      <c r="I606" s="30">
        <f>IF('Global Precios'!H607="","",'Global Precios'!H607)</f>
        <v>17614.04959</v>
      </c>
      <c r="J606" s="82">
        <f>IF('Global Precios'!K607="","",'Global Precios'!K607)</f>
        <v>0</v>
      </c>
      <c r="K606" s="30">
        <f>IF('Global Precios'!Z607="Desactivado",0,IF('Global Precios'!L607="","",'Global Precios'!L607))</f>
        <v>0</v>
      </c>
      <c r="L606" s="18"/>
      <c r="M606" s="18"/>
      <c r="N606" s="18"/>
      <c r="O606" s="18"/>
      <c r="P606" s="18"/>
      <c r="Q606" s="18"/>
      <c r="R606" s="18" t="str">
        <f>IF('Global Precios'!F607="","",'Global Precios'!F607)</f>
        <v>Peluquería</v>
      </c>
      <c r="S606" s="18"/>
      <c r="T606" s="18" t="str">
        <f>IF('Global Precios'!E607="","",'Global Precios'!E607)</f>
        <v/>
      </c>
      <c r="U606" s="18"/>
      <c r="V606" s="18">
        <f t="shared" si="2"/>
        <v>0</v>
      </c>
      <c r="W606" s="18"/>
      <c r="X606" s="18"/>
      <c r="Y606" s="18"/>
      <c r="Z606" s="18"/>
      <c r="AA606" s="18"/>
      <c r="AB606" s="18">
        <f t="shared" si="3"/>
        <v>1</v>
      </c>
      <c r="AC606" s="18">
        <f t="shared" si="4"/>
        <v>1</v>
      </c>
      <c r="AD606" s="18">
        <f t="shared" si="5"/>
        <v>1</v>
      </c>
      <c r="AE606" s="18">
        <f t="shared" si="6"/>
        <v>1</v>
      </c>
    </row>
    <row r="607">
      <c r="A607" s="9">
        <f>IF(E607="","", IF('Global Precios'!B608="",0,'Global Precios'!B608))</f>
        <v>0</v>
      </c>
      <c r="B607" s="14" t="str">
        <f>IF('Global Precios'!B608="","",'Global Precios'!B608)</f>
        <v/>
      </c>
      <c r="C607" s="18" t="str">
        <f>IF('Global Precios'!A608="","",'Global Precios'!A608)</f>
        <v>638</v>
      </c>
      <c r="D607" s="18"/>
      <c r="E607" s="25" t="str">
        <f>IF('Global Precios'!D608="","",'Global Precios'!D608)</f>
        <v>Corte y Baño hasta 30 kg</v>
      </c>
      <c r="F607" s="18"/>
      <c r="G607" s="25" t="str">
        <f>IFERROR(VLOOKUP(C607,'BuscarV Stock'!$A$2:$C$478,3,0),"AAA")</f>
        <v>AAA</v>
      </c>
      <c r="H607" s="25">
        <f t="shared" si="1"/>
        <v>0.21</v>
      </c>
      <c r="I607" s="30">
        <f>IF('Global Precios'!H608="","",'Global Precios'!H608)</f>
        <v>22270.24793</v>
      </c>
      <c r="J607" s="82">
        <f>IF('Global Precios'!K608="","",'Global Precios'!K608)</f>
        <v>0</v>
      </c>
      <c r="K607" s="30">
        <f>IF('Global Precios'!Z608="Desactivado",0,IF('Global Precios'!L608="","",'Global Precios'!L608))</f>
        <v>0</v>
      </c>
      <c r="L607" s="18"/>
      <c r="M607" s="18"/>
      <c r="N607" s="18"/>
      <c r="O607" s="18"/>
      <c r="P607" s="18"/>
      <c r="Q607" s="18"/>
      <c r="R607" s="18" t="str">
        <f>IF('Global Precios'!F608="","",'Global Precios'!F608)</f>
        <v>Peluquería</v>
      </c>
      <c r="S607" s="18"/>
      <c r="T607" s="18" t="str">
        <f>IF('Global Precios'!E608="","",'Global Precios'!E608)</f>
        <v/>
      </c>
      <c r="U607" s="18"/>
      <c r="V607" s="18">
        <f t="shared" si="2"/>
        <v>0</v>
      </c>
      <c r="W607" s="18"/>
      <c r="X607" s="18"/>
      <c r="Y607" s="18"/>
      <c r="Z607" s="18"/>
      <c r="AA607" s="18"/>
      <c r="AB607" s="18">
        <f t="shared" si="3"/>
        <v>1</v>
      </c>
      <c r="AC607" s="18">
        <f t="shared" si="4"/>
        <v>1</v>
      </c>
      <c r="AD607" s="18">
        <f t="shared" si="5"/>
        <v>1</v>
      </c>
      <c r="AE607" s="18">
        <f t="shared" si="6"/>
        <v>1</v>
      </c>
    </row>
    <row r="608">
      <c r="A608" s="9">
        <f>IF(E608="","", IF('Global Precios'!B609="",0,'Global Precios'!B609))</f>
        <v>0</v>
      </c>
      <c r="B608" s="14" t="str">
        <f>IF('Global Precios'!B609="","",'Global Precios'!B609)</f>
        <v/>
      </c>
      <c r="C608" s="18" t="str">
        <f>IF('Global Precios'!A609="","",'Global Precios'!A609)</f>
        <v>639</v>
      </c>
      <c r="D608" s="18"/>
      <c r="E608" s="25" t="str">
        <f>IF('Global Precios'!D609="","",'Global Precios'!D609)</f>
        <v>Corte y Baño más de 30 kg</v>
      </c>
      <c r="F608" s="18"/>
      <c r="G608" s="25" t="str">
        <f>IFERROR(VLOOKUP(C608,'BuscarV Stock'!$A$2:$C$478,3,0),"AAA")</f>
        <v>AAA</v>
      </c>
      <c r="H608" s="25">
        <f t="shared" si="1"/>
        <v>0.21</v>
      </c>
      <c r="I608" s="30">
        <f>IF('Global Precios'!H609="","",'Global Precios'!H609)</f>
        <v>28345.45455</v>
      </c>
      <c r="J608" s="82">
        <f>IF('Global Precios'!K609="","",'Global Precios'!K609)</f>
        <v>0</v>
      </c>
      <c r="K608" s="30">
        <f>IF('Global Precios'!Z609="Desactivado",0,IF('Global Precios'!L609="","",'Global Precios'!L609))</f>
        <v>0</v>
      </c>
      <c r="L608" s="18"/>
      <c r="M608" s="18"/>
      <c r="N608" s="18"/>
      <c r="O608" s="18"/>
      <c r="P608" s="18"/>
      <c r="Q608" s="18"/>
      <c r="R608" s="18" t="str">
        <f>IF('Global Precios'!F609="","",'Global Precios'!F609)</f>
        <v>Peluquería</v>
      </c>
      <c r="S608" s="18"/>
      <c r="T608" s="18" t="str">
        <f>IF('Global Precios'!E609="","",'Global Precios'!E609)</f>
        <v/>
      </c>
      <c r="U608" s="18"/>
      <c r="V608" s="18">
        <f t="shared" si="2"/>
        <v>0</v>
      </c>
      <c r="W608" s="18"/>
      <c r="X608" s="18"/>
      <c r="Y608" s="18"/>
      <c r="Z608" s="18"/>
      <c r="AA608" s="18"/>
      <c r="AB608" s="18">
        <f t="shared" si="3"/>
        <v>1</v>
      </c>
      <c r="AC608" s="18">
        <f t="shared" si="4"/>
        <v>1</v>
      </c>
      <c r="AD608" s="18">
        <f t="shared" si="5"/>
        <v>1</v>
      </c>
      <c r="AE608" s="18">
        <f t="shared" si="6"/>
        <v>1</v>
      </c>
    </row>
    <row r="609">
      <c r="A609" s="9">
        <f>IF(E609="","", IF('Global Precios'!B610="",0,'Global Precios'!B610))</f>
        <v>0</v>
      </c>
      <c r="B609" s="14" t="str">
        <f>IF('Global Precios'!B610="","",'Global Precios'!B610)</f>
        <v/>
      </c>
      <c r="C609" s="18" t="str">
        <f>IF('Global Precios'!A610="","",'Global Precios'!A610)</f>
        <v>640</v>
      </c>
      <c r="D609" s="18"/>
      <c r="E609" s="25" t="str">
        <f>IF('Global Precios'!D610="","",'Global Precios'!D610)</f>
        <v>Ferroglobin x 90 ml</v>
      </c>
      <c r="F609" s="18"/>
      <c r="G609" s="25" t="str">
        <f>IFERROR(VLOOKUP(C609,'BuscarV Stock'!$A$2:$C$478,3,0),"AAA")</f>
        <v>AAA</v>
      </c>
      <c r="H609" s="25">
        <f t="shared" si="1"/>
        <v>0.21</v>
      </c>
      <c r="I609" s="30">
        <f>IF('Global Precios'!H610="","",'Global Precios'!H610)</f>
        <v>7213.22314</v>
      </c>
      <c r="J609" s="82">
        <f>IF('Global Precios'!K610="","",'Global Precios'!K610)</f>
        <v>0.7</v>
      </c>
      <c r="K609" s="30">
        <f>IF('Global Precios'!Z610="Desactivado",0,IF('Global Precios'!L610="","",'Global Precios'!L610))</f>
        <v>0</v>
      </c>
      <c r="L609" s="18"/>
      <c r="M609" s="18"/>
      <c r="N609" s="18"/>
      <c r="O609" s="18"/>
      <c r="P609" s="18"/>
      <c r="Q609" s="18"/>
      <c r="R609" s="18" t="str">
        <f>IF('Global Precios'!F610="","",'Global Precios'!F610)</f>
        <v>Medicamentos</v>
      </c>
      <c r="S609" s="18"/>
      <c r="T609" s="18" t="str">
        <f>IF('Global Precios'!E610="","",'Global Precios'!E610)</f>
        <v>Jenner</v>
      </c>
      <c r="U609" s="18"/>
      <c r="V609" s="18">
        <f t="shared" si="2"/>
        <v>0</v>
      </c>
      <c r="W609" s="18"/>
      <c r="X609" s="18"/>
      <c r="Y609" s="18"/>
      <c r="Z609" s="18"/>
      <c r="AA609" s="18"/>
      <c r="AB609" s="18">
        <f t="shared" si="3"/>
        <v>1</v>
      </c>
      <c r="AC609" s="18">
        <f t="shared" si="4"/>
        <v>1</v>
      </c>
      <c r="AD609" s="18">
        <f t="shared" si="5"/>
        <v>1</v>
      </c>
      <c r="AE609" s="18">
        <f t="shared" si="6"/>
        <v>1</v>
      </c>
    </row>
    <row r="610">
      <c r="A610" s="9">
        <f>IF(E610="","", IF('Global Precios'!B611="",0,'Global Precios'!B611))</f>
        <v>0</v>
      </c>
      <c r="B610" s="14" t="str">
        <f>IF('Global Precios'!B611="","",'Global Precios'!B611)</f>
        <v/>
      </c>
      <c r="C610" s="18" t="str">
        <f>IF('Global Precios'!A611="","",'Global Precios'!A611)</f>
        <v>641</v>
      </c>
      <c r="D610" s="18"/>
      <c r="E610" s="25" t="str">
        <f>IF('Global Precios'!D611="","",'Global Precios'!D611)</f>
        <v>POWER COMPRIMIDOS 700MG 5 A 10 KG</v>
      </c>
      <c r="F610" s="18"/>
      <c r="G610" s="25" t="str">
        <f>IFERROR(VLOOKUP(C610,'BuscarV Stock'!$A$2:$C$478,3,0),"AAA")</f>
        <v>AAA</v>
      </c>
      <c r="H610" s="25">
        <f t="shared" si="1"/>
        <v>0.21</v>
      </c>
      <c r="I610" s="30">
        <f>IF('Global Precios'!H611="","",'Global Precios'!H611)</f>
        <v>4508.264463</v>
      </c>
      <c r="J610" s="82">
        <f>IF('Global Precios'!K611="","",'Global Precios'!K611)</f>
        <v>0.8</v>
      </c>
      <c r="K610" s="30">
        <f>IF('Global Precios'!Z611="Desactivado",0,IF('Global Precios'!L611="","",'Global Precios'!L611))</f>
        <v>10000</v>
      </c>
      <c r="L610" s="18"/>
      <c r="M610" s="18"/>
      <c r="N610" s="18"/>
      <c r="O610" s="18"/>
      <c r="P610" s="18"/>
      <c r="Q610" s="18"/>
      <c r="R610" s="18" t="str">
        <f>IF('Global Precios'!F611="","",'Global Precios'!F611)</f>
        <v>Medicamentos</v>
      </c>
      <c r="S610" s="18"/>
      <c r="T610" s="18" t="str">
        <f>IF('Global Precios'!E611="","",'Global Precios'!E611)</f>
        <v>Brouwer</v>
      </c>
      <c r="U610" s="18"/>
      <c r="V610" s="18">
        <f t="shared" si="2"/>
        <v>0</v>
      </c>
      <c r="W610" s="18"/>
      <c r="X610" s="18"/>
      <c r="Y610" s="18"/>
      <c r="Z610" s="18"/>
      <c r="AA610" s="18"/>
      <c r="AB610" s="18">
        <f t="shared" si="3"/>
        <v>1</v>
      </c>
      <c r="AC610" s="18">
        <f t="shared" si="4"/>
        <v>1</v>
      </c>
      <c r="AD610" s="18">
        <f t="shared" si="5"/>
        <v>1</v>
      </c>
      <c r="AE610" s="18">
        <f t="shared" si="6"/>
        <v>1</v>
      </c>
    </row>
    <row r="611">
      <c r="A611" s="9">
        <f>IF(E611="","", IF('Global Precios'!B612="",0,'Global Precios'!B612))</f>
        <v>0</v>
      </c>
      <c r="B611" s="14" t="str">
        <f>IF('Global Precios'!B612="","",'Global Precios'!B612)</f>
        <v/>
      </c>
      <c r="C611" s="18" t="str">
        <f>IF('Global Precios'!A612="","",'Global Precios'!A612)</f>
        <v>642</v>
      </c>
      <c r="D611" s="18"/>
      <c r="E611" s="25" t="str">
        <f>IF('Global Precios'!D612="","",'Global Precios'!D612)</f>
        <v>PERFOS TALCO X 100 GRS</v>
      </c>
      <c r="F611" s="18"/>
      <c r="G611" s="25" t="str">
        <f>IFERROR(VLOOKUP(C611,'BuscarV Stock'!$A$2:$C$478,3,0),"AAA")</f>
        <v>AAA</v>
      </c>
      <c r="H611" s="25">
        <f t="shared" si="1"/>
        <v>0.21</v>
      </c>
      <c r="I611" s="30">
        <f>IF('Global Precios'!H612="","",'Global Precios'!H612)</f>
        <v>2100.826446</v>
      </c>
      <c r="J611" s="82">
        <f>IF('Global Precios'!K612="","",'Global Precios'!K612)</f>
        <v>0.8</v>
      </c>
      <c r="K611" s="30">
        <f>IF('Global Precios'!Z612="Desactivado",0,IF('Global Precios'!L612="","",'Global Precios'!L612))</f>
        <v>4500</v>
      </c>
      <c r="L611" s="18"/>
      <c r="M611" s="18"/>
      <c r="N611" s="18"/>
      <c r="O611" s="18"/>
      <c r="P611" s="18"/>
      <c r="Q611" s="18"/>
      <c r="R611" s="18" t="str">
        <f>IF('Global Precios'!F612="","",'Global Precios'!F612)</f>
        <v>Medicamentos</v>
      </c>
      <c r="S611" s="18"/>
      <c r="T611" s="18" t="str">
        <f>IF('Global Precios'!E612="","",'Global Precios'!E612)</f>
        <v>Perfos</v>
      </c>
      <c r="U611" s="18"/>
      <c r="V611" s="18">
        <f t="shared" si="2"/>
        <v>0</v>
      </c>
      <c r="W611" s="18"/>
      <c r="X611" s="18"/>
      <c r="Y611" s="18"/>
      <c r="Z611" s="18"/>
      <c r="AA611" s="18"/>
      <c r="AB611" s="18">
        <f t="shared" si="3"/>
        <v>1</v>
      </c>
      <c r="AC611" s="18">
        <f t="shared" si="4"/>
        <v>1</v>
      </c>
      <c r="AD611" s="18">
        <f t="shared" si="5"/>
        <v>1</v>
      </c>
      <c r="AE611" s="18">
        <f t="shared" si="6"/>
        <v>1</v>
      </c>
    </row>
    <row r="612">
      <c r="A612" s="9">
        <f>IF(E612="","", IF('Global Precios'!B613="",0,'Global Precios'!B613))</f>
        <v>0</v>
      </c>
      <c r="B612" s="14" t="str">
        <f>IF('Global Precios'!B613="","",'Global Precios'!B613)</f>
        <v/>
      </c>
      <c r="C612" s="18" t="str">
        <f>IF('Global Precios'!A613="","",'Global Precios'!A613)</f>
        <v>643</v>
      </c>
      <c r="D612" s="18"/>
      <c r="E612" s="25" t="str">
        <f>IF('Global Precios'!D613="","",'Global Precios'!D613)</f>
        <v>TRIVERMEX PREMIUM 60 KG x 1 COMPRIMIDO</v>
      </c>
      <c r="F612" s="18"/>
      <c r="G612" s="25" t="str">
        <f>IFERROR(VLOOKUP(C612,'BuscarV Stock'!$A$2:$C$478,3,0),"AAA")</f>
        <v>AAA</v>
      </c>
      <c r="H612" s="25">
        <f t="shared" si="1"/>
        <v>0.21</v>
      </c>
      <c r="I612" s="30">
        <f>IF('Global Precios'!H613="","",'Global Precios'!H613)</f>
        <v>809.9173554</v>
      </c>
      <c r="J612" s="82">
        <f>IF('Global Precios'!K613="","",'Global Precios'!K613)</f>
        <v>1</v>
      </c>
      <c r="K612" s="30">
        <f>IF('Global Precios'!Z613="Desactivado",0,IF('Global Precios'!L613="","",'Global Precios'!L613))</f>
        <v>2000</v>
      </c>
      <c r="L612" s="18"/>
      <c r="M612" s="18"/>
      <c r="N612" s="18"/>
      <c r="O612" s="18"/>
      <c r="P612" s="18"/>
      <c r="Q612" s="18"/>
      <c r="R612" s="18" t="str">
        <f>IF('Global Precios'!F613="","",'Global Precios'!F613)</f>
        <v>Medicamentos</v>
      </c>
      <c r="S612" s="18"/>
      <c r="T612" s="18" t="str">
        <f>IF('Global Precios'!E613="","",'Global Precios'!E613)</f>
        <v>Zoovet</v>
      </c>
      <c r="U612" s="18"/>
      <c r="V612" s="18">
        <f t="shared" si="2"/>
        <v>0</v>
      </c>
      <c r="W612" s="18"/>
      <c r="X612" s="18"/>
      <c r="Y612" s="18"/>
      <c r="Z612" s="18"/>
      <c r="AA612" s="18"/>
      <c r="AB612" s="18">
        <f t="shared" si="3"/>
        <v>1</v>
      </c>
      <c r="AC612" s="18">
        <f t="shared" si="4"/>
        <v>1</v>
      </c>
      <c r="AD612" s="18">
        <f t="shared" si="5"/>
        <v>1</v>
      </c>
      <c r="AE612" s="18">
        <f t="shared" si="6"/>
        <v>1</v>
      </c>
    </row>
    <row r="613">
      <c r="A613" s="9">
        <f>IF(E613="","", IF('Global Precios'!B614="",0,'Global Precios'!B614))</f>
        <v>0</v>
      </c>
      <c r="B613" s="14" t="str">
        <f>IF('Global Precios'!B614="","",'Global Precios'!B614)</f>
        <v/>
      </c>
      <c r="C613" s="18" t="str">
        <f>IF('Global Precios'!A614="","",'Global Precios'!A614)</f>
        <v>644</v>
      </c>
      <c r="D613" s="18"/>
      <c r="E613" s="25" t="str">
        <f>IF('Global Precios'!D614="","",'Global Precios'!D614)</f>
        <v>CLAVAMOX 250 MG X 10 COMPRIMIDOS</v>
      </c>
      <c r="F613" s="18"/>
      <c r="G613" s="25" t="str">
        <f>IFERROR(VLOOKUP(C613,'BuscarV Stock'!$A$2:$C$478,3,0),"AAA")</f>
        <v>AAA</v>
      </c>
      <c r="H613" s="25">
        <f t="shared" si="1"/>
        <v>0.21</v>
      </c>
      <c r="I613" s="30">
        <f>IF('Global Precios'!H614="","",'Global Precios'!H614)</f>
        <v>4214.876033</v>
      </c>
      <c r="J613" s="82">
        <f>IF('Global Precios'!K614="","",'Global Precios'!K614)</f>
        <v>0.8</v>
      </c>
      <c r="K613" s="30">
        <f>IF('Global Precios'!Z614="Desactivado",0,IF('Global Precios'!L614="","",'Global Precios'!L614))</f>
        <v>9000</v>
      </c>
      <c r="L613" s="18"/>
      <c r="M613" s="18"/>
      <c r="N613" s="18"/>
      <c r="O613" s="18"/>
      <c r="P613" s="18"/>
      <c r="Q613" s="18"/>
      <c r="R613" s="18" t="str">
        <f>IF('Global Precios'!F614="","",'Global Precios'!F614)</f>
        <v>Medicamentos</v>
      </c>
      <c r="S613" s="18"/>
      <c r="T613" s="18" t="str">
        <f>IF('Global Precios'!E614="","",'Global Precios'!E614)</f>
        <v>Zoetis</v>
      </c>
      <c r="U613" s="18"/>
      <c r="V613" s="18">
        <f t="shared" si="2"/>
        <v>0</v>
      </c>
      <c r="W613" s="18"/>
      <c r="X613" s="18"/>
      <c r="Y613" s="18"/>
      <c r="Z613" s="18"/>
      <c r="AA613" s="18"/>
      <c r="AB613" s="18">
        <f t="shared" si="3"/>
        <v>1</v>
      </c>
      <c r="AC613" s="18">
        <f t="shared" si="4"/>
        <v>1</v>
      </c>
      <c r="AD613" s="18">
        <f t="shared" si="5"/>
        <v>1</v>
      </c>
      <c r="AE613" s="18">
        <f t="shared" si="6"/>
        <v>1</v>
      </c>
    </row>
    <row r="614">
      <c r="A614" s="9">
        <f>IF(E614="","", IF('Global Precios'!B615="",0,'Global Precios'!B615))</f>
        <v>0</v>
      </c>
      <c r="B614" s="14" t="str">
        <f>IF('Global Precios'!B615="","",'Global Precios'!B615)</f>
        <v/>
      </c>
      <c r="C614" s="18" t="str">
        <f>IF('Global Precios'!A615="","",'Global Precios'!A615)</f>
        <v>645</v>
      </c>
      <c r="D614" s="18"/>
      <c r="E614" s="25" t="str">
        <f>IF('Global Precios'!D615="","",'Global Precios'!D615)</f>
        <v>CORREA EXTENSIBLE FLOREADA 3 MTS</v>
      </c>
      <c r="F614" s="18"/>
      <c r="G614" s="25" t="str">
        <f>IFERROR(VLOOKUP(C614,'BuscarV Stock'!$A$2:$C$478,3,0),"AAA")</f>
        <v>AAA</v>
      </c>
      <c r="H614" s="25">
        <f t="shared" si="1"/>
        <v>0.21</v>
      </c>
      <c r="I614" s="30">
        <f>IF('Global Precios'!H615="","",'Global Precios'!H615)</f>
        <v>5414.876033</v>
      </c>
      <c r="J614" s="82">
        <f>IF('Global Precios'!K615="","",'Global Precios'!K615)</f>
        <v>0.8</v>
      </c>
      <c r="K614" s="30">
        <f>IF('Global Precios'!Z615="Desactivado",0,IF('Global Precios'!L615="","",'Global Precios'!L615))</f>
        <v>12000</v>
      </c>
      <c r="L614" s="18"/>
      <c r="M614" s="18"/>
      <c r="N614" s="18"/>
      <c r="O614" s="18"/>
      <c r="P614" s="18"/>
      <c r="Q614" s="18"/>
      <c r="R614" s="18" t="str">
        <f>IF('Global Precios'!F615="","",'Global Precios'!F615)</f>
        <v>Pet-shop</v>
      </c>
      <c r="S614" s="18"/>
      <c r="T614" s="18" t="str">
        <f>IF('Global Precios'!E615="","",'Global Precios'!E615)</f>
        <v/>
      </c>
      <c r="U614" s="18"/>
      <c r="V614" s="18">
        <f t="shared" si="2"/>
        <v>0</v>
      </c>
      <c r="W614" s="18"/>
      <c r="X614" s="18"/>
      <c r="Y614" s="18"/>
      <c r="Z614" s="18"/>
      <c r="AA614" s="18"/>
      <c r="AB614" s="18">
        <f t="shared" si="3"/>
        <v>1</v>
      </c>
      <c r="AC614" s="18">
        <f t="shared" si="4"/>
        <v>1</v>
      </c>
      <c r="AD614" s="18">
        <f t="shared" si="5"/>
        <v>1</v>
      </c>
      <c r="AE614" s="18">
        <f t="shared" si="6"/>
        <v>1</v>
      </c>
    </row>
    <row r="615">
      <c r="A615" s="9">
        <f>IF(E615="","", IF('Global Precios'!B616="",0,'Global Precios'!B616))</f>
        <v>0</v>
      </c>
      <c r="B615" s="14" t="str">
        <f>IF('Global Precios'!B616="","",'Global Precios'!B616)</f>
        <v/>
      </c>
      <c r="C615" s="18" t="str">
        <f>IF('Global Precios'!A616="","",'Global Precios'!A616)</f>
        <v>646</v>
      </c>
      <c r="D615" s="18"/>
      <c r="E615" s="25" t="str">
        <f>IF('Global Precios'!D616="","",'Global Precios'!D616)</f>
        <v>COLCHONETA ANTIDES.CON AILVER 60X80</v>
      </c>
      <c r="F615" s="18"/>
      <c r="G615" s="25" t="str">
        <f>IFERROR(VLOOKUP(C615,'BuscarV Stock'!$A$2:$C$478,3,0),"AAA")</f>
        <v>AAA</v>
      </c>
      <c r="H615" s="25">
        <f t="shared" si="1"/>
        <v>0.21</v>
      </c>
      <c r="I615" s="30">
        <f>IF('Global Precios'!H616="","",'Global Precios'!H616)</f>
        <v>10001.65289</v>
      </c>
      <c r="J615" s="82">
        <f>IF('Global Precios'!K616="","",'Global Precios'!K616)</f>
        <v>0.6</v>
      </c>
      <c r="K615" s="30">
        <f>IF('Global Precios'!Z616="Desactivado",0,IF('Global Precios'!L616="","",'Global Precios'!L616))</f>
        <v>19000</v>
      </c>
      <c r="L615" s="18"/>
      <c r="M615" s="18"/>
      <c r="N615" s="18"/>
      <c r="O615" s="18"/>
      <c r="P615" s="18"/>
      <c r="Q615" s="18"/>
      <c r="R615" s="18" t="str">
        <f>IF('Global Precios'!F616="","",'Global Precios'!F616)</f>
        <v>Pet-shop</v>
      </c>
      <c r="S615" s="18"/>
      <c r="T615" s="18" t="str">
        <f>IF('Global Precios'!E616="","",'Global Precios'!E616)</f>
        <v/>
      </c>
      <c r="U615" s="18"/>
      <c r="V615" s="18">
        <f t="shared" si="2"/>
        <v>0</v>
      </c>
      <c r="W615" s="18"/>
      <c r="X615" s="18"/>
      <c r="Y615" s="18"/>
      <c r="Z615" s="18"/>
      <c r="AA615" s="18"/>
      <c r="AB615" s="18">
        <f t="shared" si="3"/>
        <v>1</v>
      </c>
      <c r="AC615" s="18">
        <f t="shared" si="4"/>
        <v>1</v>
      </c>
      <c r="AD615" s="18">
        <f t="shared" si="5"/>
        <v>1</v>
      </c>
      <c r="AE615" s="18">
        <f t="shared" si="6"/>
        <v>1</v>
      </c>
    </row>
    <row r="616">
      <c r="A616" s="9">
        <f>IF(E616="","", IF('Global Precios'!B617="",0,'Global Precios'!B617))</f>
        <v>0</v>
      </c>
      <c r="B616" s="14" t="str">
        <f>IF('Global Precios'!B617="","",'Global Precios'!B617)</f>
        <v/>
      </c>
      <c r="C616" s="18" t="str">
        <f>IF('Global Precios'!A617="","",'Global Precios'!A617)</f>
        <v>647</v>
      </c>
      <c r="D616" s="18"/>
      <c r="E616" s="25" t="str">
        <f>IF('Global Precios'!D617="","",'Global Precios'!D617)</f>
        <v>COLCHONETA DESMONTABLE</v>
      </c>
      <c r="F616" s="18"/>
      <c r="G616" s="25" t="str">
        <f>IFERROR(VLOOKUP(C616,'BuscarV Stock'!$A$2:$C$478,3,0),"AAA")</f>
        <v>AAA</v>
      </c>
      <c r="H616" s="25">
        <f t="shared" si="1"/>
        <v>0.21</v>
      </c>
      <c r="I616" s="30">
        <f>IF('Global Precios'!H617="","",'Global Precios'!H617)</f>
        <v>11628.92562</v>
      </c>
      <c r="J616" s="82">
        <f>IF('Global Precios'!K617="","",'Global Precios'!K617)</f>
        <v>0.6</v>
      </c>
      <c r="K616" s="30">
        <f>IF('Global Precios'!Z617="Desactivado",0,IF('Global Precios'!L617="","",'Global Precios'!L617))</f>
        <v>23000</v>
      </c>
      <c r="L616" s="18"/>
      <c r="M616" s="18"/>
      <c r="N616" s="18"/>
      <c r="O616" s="18"/>
      <c r="P616" s="18"/>
      <c r="Q616" s="18"/>
      <c r="R616" s="18" t="str">
        <f>IF('Global Precios'!F617="","",'Global Precios'!F617)</f>
        <v>Pet-shop</v>
      </c>
      <c r="S616" s="18"/>
      <c r="T616" s="18" t="str">
        <f>IF('Global Precios'!E617="","",'Global Precios'!E617)</f>
        <v/>
      </c>
      <c r="U616" s="18"/>
      <c r="V616" s="18">
        <f t="shared" si="2"/>
        <v>0</v>
      </c>
      <c r="W616" s="18"/>
      <c r="X616" s="18"/>
      <c r="Y616" s="18"/>
      <c r="Z616" s="18"/>
      <c r="AA616" s="18"/>
      <c r="AB616" s="18">
        <f t="shared" si="3"/>
        <v>1</v>
      </c>
      <c r="AC616" s="18">
        <f t="shared" si="4"/>
        <v>1</v>
      </c>
      <c r="AD616" s="18">
        <f t="shared" si="5"/>
        <v>1</v>
      </c>
      <c r="AE616" s="18">
        <f t="shared" si="6"/>
        <v>1</v>
      </c>
    </row>
    <row r="617">
      <c r="A617" s="9">
        <f>IF(E617="","", IF('Global Precios'!B618="",0,'Global Precios'!B618))</f>
        <v>0</v>
      </c>
      <c r="B617" s="14" t="str">
        <f>IF('Global Precios'!B618="","",'Global Precios'!B618)</f>
        <v/>
      </c>
      <c r="C617" s="18" t="str">
        <f>IF('Global Precios'!A618="","",'Global Precios'!A618)</f>
        <v>648</v>
      </c>
      <c r="D617" s="18"/>
      <c r="E617" s="25" t="str">
        <f>IF('Global Precios'!D618="","",'Global Precios'!D618)</f>
        <v>JASPE AD PREMIUM MT X 20 KG</v>
      </c>
      <c r="F617" s="18"/>
      <c r="G617" s="25" t="str">
        <f>IFERROR(VLOOKUP(C617,'BuscarV Stock'!$A$2:$C$478,3,0),"AAA")</f>
        <v>AAA</v>
      </c>
      <c r="H617" s="25">
        <f t="shared" si="1"/>
        <v>0.21</v>
      </c>
      <c r="I617" s="30">
        <f>IF('Global Precios'!H618="","",'Global Precios'!H618)</f>
        <v>29355.3719</v>
      </c>
      <c r="J617" s="82">
        <f>IF('Global Precios'!K618="","",'Global Precios'!K618)</f>
        <v>0.5</v>
      </c>
      <c r="K617" s="30">
        <f>IF('Global Precios'!Z618="Desactivado",0,IF('Global Precios'!L618="","",'Global Precios'!L618))</f>
        <v>0</v>
      </c>
      <c r="L617" s="18"/>
      <c r="M617" s="18"/>
      <c r="N617" s="18"/>
      <c r="O617" s="18"/>
      <c r="P617" s="18"/>
      <c r="Q617" s="18"/>
      <c r="R617" s="18" t="str">
        <f>IF('Global Precios'!F618="","",'Global Precios'!F618)</f>
        <v>Alimentos</v>
      </c>
      <c r="S617" s="18"/>
      <c r="T617" s="18" t="str">
        <f>IF('Global Precios'!E618="","",'Global Precios'!E618)</f>
        <v>Jaspe</v>
      </c>
      <c r="U617" s="18"/>
      <c r="V617" s="18">
        <f t="shared" si="2"/>
        <v>0</v>
      </c>
      <c r="W617" s="18"/>
      <c r="X617" s="18"/>
      <c r="Y617" s="18"/>
      <c r="Z617" s="18"/>
      <c r="AA617" s="18"/>
      <c r="AB617" s="18">
        <f t="shared" si="3"/>
        <v>1</v>
      </c>
      <c r="AC617" s="18">
        <f t="shared" si="4"/>
        <v>1</v>
      </c>
      <c r="AD617" s="18">
        <f t="shared" si="5"/>
        <v>1</v>
      </c>
      <c r="AE617" s="18">
        <f t="shared" si="6"/>
        <v>1</v>
      </c>
    </row>
    <row r="618">
      <c r="A618" s="9">
        <f>IF(E618="","", IF('Global Precios'!B619="",0,'Global Precios'!B619))</f>
        <v>0</v>
      </c>
      <c r="B618" s="14" t="str">
        <f>IF('Global Precios'!B619="","",'Global Precios'!B619)</f>
        <v/>
      </c>
      <c r="C618" s="18" t="str">
        <f>IF('Global Precios'!A619="","",'Global Precios'!A619)</f>
        <v>649</v>
      </c>
      <c r="D618" s="18"/>
      <c r="E618" s="25" t="str">
        <f>IF('Global Precios'!D619="","",'Global Precios'!D619)</f>
        <v>INYECT. PERRO/GATO CHICO</v>
      </c>
      <c r="F618" s="18"/>
      <c r="G618" s="25" t="str">
        <f>IFERROR(VLOOKUP(C618,'BuscarV Stock'!$A$2:$C$478,3,0),"AAA")</f>
        <v>AAA</v>
      </c>
      <c r="H618" s="25">
        <f t="shared" si="1"/>
        <v>0.21</v>
      </c>
      <c r="I618" s="30">
        <f>IF('Global Precios'!H619="","",'Global Precios'!H619)</f>
        <v>3793.38843</v>
      </c>
      <c r="J618" s="82">
        <f>IF('Global Precios'!K619="","",'Global Precios'!K619)</f>
        <v>0</v>
      </c>
      <c r="K618" s="30">
        <f>IF('Global Precios'!Z619="Desactivado",0,IF('Global Precios'!L619="","",'Global Precios'!L619))</f>
        <v>4500</v>
      </c>
      <c r="L618" s="18"/>
      <c r="M618" s="18"/>
      <c r="N618" s="18"/>
      <c r="O618" s="18"/>
      <c r="P618" s="18"/>
      <c r="Q618" s="18"/>
      <c r="R618" s="18" t="str">
        <f>IF('Global Precios'!F619="","",'Global Precios'!F619)</f>
        <v>Medicamentos</v>
      </c>
      <c r="S618" s="18"/>
      <c r="T618" s="18" t="str">
        <f>IF('Global Precios'!E619="","",'Global Precios'!E619)</f>
        <v/>
      </c>
      <c r="U618" s="18"/>
      <c r="V618" s="18">
        <f t="shared" si="2"/>
        <v>0</v>
      </c>
      <c r="W618" s="18"/>
      <c r="X618" s="18"/>
      <c r="Y618" s="18"/>
      <c r="Z618" s="18"/>
      <c r="AA618" s="18"/>
      <c r="AB618" s="18">
        <f t="shared" si="3"/>
        <v>1</v>
      </c>
      <c r="AC618" s="18">
        <f t="shared" si="4"/>
        <v>1</v>
      </c>
      <c r="AD618" s="18">
        <f t="shared" si="5"/>
        <v>1</v>
      </c>
      <c r="AE618" s="18">
        <f t="shared" si="6"/>
        <v>1</v>
      </c>
    </row>
    <row r="619">
      <c r="A619" s="9">
        <f>IF(E619="","", IF('Global Precios'!B620="",0,'Global Precios'!B620))</f>
        <v>0</v>
      </c>
      <c r="B619" s="14" t="str">
        <f>IF('Global Precios'!B620="","",'Global Precios'!B620)</f>
        <v/>
      </c>
      <c r="C619" s="18" t="str">
        <f>IF('Global Precios'!A620="","",'Global Precios'!A620)</f>
        <v>650</v>
      </c>
      <c r="D619" s="18"/>
      <c r="E619" s="25" t="str">
        <f>IF('Global Precios'!D620="","",'Global Precios'!D620)</f>
        <v>INYECT.PERRO MEDIANO</v>
      </c>
      <c r="F619" s="18"/>
      <c r="G619" s="25" t="str">
        <f>IFERROR(VLOOKUP(C619,'BuscarV Stock'!$A$2:$C$478,3,0),"AAA")</f>
        <v>AAA</v>
      </c>
      <c r="H619" s="25">
        <f t="shared" si="1"/>
        <v>0.21</v>
      </c>
      <c r="I619" s="30">
        <f>IF('Global Precios'!H620="","",'Global Precios'!H620)</f>
        <v>4214.876033</v>
      </c>
      <c r="J619" s="82">
        <f>IF('Global Precios'!K620="","",'Global Precios'!K620)</f>
        <v>0</v>
      </c>
      <c r="K619" s="30">
        <f>IF('Global Precios'!Z620="Desactivado",0,IF('Global Precios'!L620="","",'Global Precios'!L620))</f>
        <v>5000</v>
      </c>
      <c r="L619" s="18"/>
      <c r="M619" s="18"/>
      <c r="N619" s="18"/>
      <c r="O619" s="18"/>
      <c r="P619" s="18"/>
      <c r="Q619" s="18"/>
      <c r="R619" s="18" t="str">
        <f>IF('Global Precios'!F620="","",'Global Precios'!F620)</f>
        <v>Medicamentos</v>
      </c>
      <c r="S619" s="18"/>
      <c r="T619" s="18" t="str">
        <f>IF('Global Precios'!E620="","",'Global Precios'!E620)</f>
        <v/>
      </c>
      <c r="U619" s="18"/>
      <c r="V619" s="18">
        <f t="shared" si="2"/>
        <v>0</v>
      </c>
      <c r="W619" s="18"/>
      <c r="X619" s="18"/>
      <c r="Y619" s="18"/>
      <c r="Z619" s="18"/>
      <c r="AA619" s="18"/>
      <c r="AB619" s="18">
        <f t="shared" si="3"/>
        <v>1</v>
      </c>
      <c r="AC619" s="18">
        <f t="shared" si="4"/>
        <v>1</v>
      </c>
      <c r="AD619" s="18">
        <f t="shared" si="5"/>
        <v>1</v>
      </c>
      <c r="AE619" s="18">
        <f t="shared" si="6"/>
        <v>1</v>
      </c>
    </row>
    <row r="620">
      <c r="A620" s="9">
        <f>IF(E620="","", IF('Global Precios'!B621="",0,'Global Precios'!B621))</f>
        <v>0</v>
      </c>
      <c r="B620" s="14" t="str">
        <f>IF('Global Precios'!B621="","",'Global Precios'!B621)</f>
        <v/>
      </c>
      <c r="C620" s="18" t="str">
        <f>IF('Global Precios'!A621="","",'Global Precios'!A621)</f>
        <v>651</v>
      </c>
      <c r="D620" s="18"/>
      <c r="E620" s="25" t="str">
        <f>IF('Global Precios'!D621="","",'Global Precios'!D621)</f>
        <v>INYECT.PERRO GRANDE</v>
      </c>
      <c r="F620" s="18"/>
      <c r="G620" s="25" t="str">
        <f>IFERROR(VLOOKUP(C620,'BuscarV Stock'!$A$2:$C$478,3,0),"AAA")</f>
        <v>AAA</v>
      </c>
      <c r="H620" s="25">
        <f t="shared" si="1"/>
        <v>0.21</v>
      </c>
      <c r="I620" s="30">
        <f>IF('Global Precios'!H621="","",'Global Precios'!H621)</f>
        <v>4636.363636</v>
      </c>
      <c r="J620" s="82">
        <f>IF('Global Precios'!K621="","",'Global Precios'!K621)</f>
        <v>0</v>
      </c>
      <c r="K620" s="30">
        <f>IF('Global Precios'!Z621="Desactivado",0,IF('Global Precios'!L621="","",'Global Precios'!L621))</f>
        <v>5500</v>
      </c>
      <c r="L620" s="18"/>
      <c r="M620" s="18"/>
      <c r="N620" s="18"/>
      <c r="O620" s="18"/>
      <c r="P620" s="18"/>
      <c r="Q620" s="18"/>
      <c r="R620" s="18" t="str">
        <f>IF('Global Precios'!F621="","",'Global Precios'!F621)</f>
        <v>Medicamentos</v>
      </c>
      <c r="S620" s="18"/>
      <c r="T620" s="18" t="str">
        <f>IF('Global Precios'!E621="","",'Global Precios'!E621)</f>
        <v/>
      </c>
      <c r="U620" s="18"/>
      <c r="V620" s="18">
        <f t="shared" si="2"/>
        <v>0</v>
      </c>
      <c r="W620" s="18"/>
      <c r="X620" s="18"/>
      <c r="Y620" s="18"/>
      <c r="Z620" s="18"/>
      <c r="AA620" s="18"/>
      <c r="AB620" s="18">
        <f t="shared" si="3"/>
        <v>1</v>
      </c>
      <c r="AC620" s="18">
        <f t="shared" si="4"/>
        <v>1</v>
      </c>
      <c r="AD620" s="18">
        <f t="shared" si="5"/>
        <v>1</v>
      </c>
      <c r="AE620" s="18">
        <f t="shared" si="6"/>
        <v>1</v>
      </c>
    </row>
    <row r="621">
      <c r="A621" s="9">
        <f>IF(E621="","", IF('Global Precios'!B622="",0,'Global Precios'!B622))</f>
        <v>0</v>
      </c>
      <c r="B621" s="14" t="str">
        <f>IF('Global Precios'!B622="","",'Global Precios'!B622)</f>
        <v/>
      </c>
      <c r="C621" s="18" t="str">
        <f>IF('Global Precios'!A622="","",'Global Precios'!A622)</f>
        <v>652</v>
      </c>
      <c r="D621" s="18"/>
      <c r="E621" s="25" t="str">
        <f>IF('Global Precios'!D622="","",'Global Precios'!D622)</f>
        <v>RASPAJE/CROPRO</v>
      </c>
      <c r="F621" s="18"/>
      <c r="G621" s="25" t="str">
        <f>IFERROR(VLOOKUP(C621,'BuscarV Stock'!$A$2:$C$478,3,0),"AAA")</f>
        <v>AAA</v>
      </c>
      <c r="H621" s="25">
        <f t="shared" si="1"/>
        <v>0.21</v>
      </c>
      <c r="I621" s="30">
        <f>IF('Global Precios'!H622="","",'Global Precios'!H622)</f>
        <v>4132.231405</v>
      </c>
      <c r="J621" s="82">
        <f>IF('Global Precios'!K622="","",'Global Precios'!K622)</f>
        <v>0</v>
      </c>
      <c r="K621" s="30">
        <f>IF('Global Precios'!Z622="Desactivado",0,IF('Global Precios'!L622="","",'Global Precios'!L622))</f>
        <v>0</v>
      </c>
      <c r="L621" s="18"/>
      <c r="M621" s="18"/>
      <c r="N621" s="18"/>
      <c r="O621" s="18"/>
      <c r="P621" s="18"/>
      <c r="Q621" s="18"/>
      <c r="R621" s="18" t="str">
        <f>IF('Global Precios'!F622="","",'Global Precios'!F622)</f>
        <v>Medicamentos</v>
      </c>
      <c r="S621" s="18"/>
      <c r="T621" s="18" t="str">
        <f>IF('Global Precios'!E622="","",'Global Precios'!E622)</f>
        <v/>
      </c>
      <c r="U621" s="18"/>
      <c r="V621" s="18">
        <f t="shared" si="2"/>
        <v>0</v>
      </c>
      <c r="W621" s="18"/>
      <c r="X621" s="18"/>
      <c r="Y621" s="18"/>
      <c r="Z621" s="18"/>
      <c r="AA621" s="18"/>
      <c r="AB621" s="18">
        <f t="shared" si="3"/>
        <v>1</v>
      </c>
      <c r="AC621" s="18">
        <f t="shared" si="4"/>
        <v>1</v>
      </c>
      <c r="AD621" s="18">
        <f t="shared" si="5"/>
        <v>1</v>
      </c>
      <c r="AE621" s="18">
        <f t="shared" si="6"/>
        <v>1</v>
      </c>
    </row>
    <row r="622">
      <c r="A622" s="9">
        <f>IF(E622="","", IF('Global Precios'!B623="",0,'Global Precios'!B623))</f>
        <v>0</v>
      </c>
      <c r="B622" s="14" t="str">
        <f>IF('Global Precios'!B623="","",'Global Precios'!B623)</f>
        <v/>
      </c>
      <c r="C622" s="18" t="str">
        <f>IF('Global Precios'!A623="","",'Global Precios'!A623)</f>
        <v>653</v>
      </c>
      <c r="D622" s="18"/>
      <c r="E622" s="25" t="str">
        <f>IF('Global Precios'!D623="","",'Global Precios'!D623)</f>
        <v>PONCHO N°12</v>
      </c>
      <c r="F622" s="18"/>
      <c r="G622" s="25" t="str">
        <f>IFERROR(VLOOKUP(C622,'BuscarV Stock'!$A$2:$C$478,3,0),"AAA")</f>
        <v>AAA</v>
      </c>
      <c r="H622" s="25">
        <f t="shared" si="1"/>
        <v>0.21</v>
      </c>
      <c r="I622" s="30">
        <f>IF('Global Precios'!H623="","",'Global Precios'!H623)</f>
        <v>4259.504132</v>
      </c>
      <c r="J622" s="82">
        <f>IF('Global Precios'!K623="","",'Global Precios'!K623)</f>
        <v>1</v>
      </c>
      <c r="K622" s="30">
        <f>IF('Global Precios'!Z623="Desactivado",0,IF('Global Precios'!L623="","",'Global Precios'!L623))</f>
        <v>10000</v>
      </c>
      <c r="L622" s="18"/>
      <c r="M622" s="18"/>
      <c r="N622" s="18"/>
      <c r="O622" s="18"/>
      <c r="P622" s="18"/>
      <c r="Q622" s="18"/>
      <c r="R622" s="18" t="str">
        <f>IF('Global Precios'!F623="","",'Global Precios'!F623)</f>
        <v>Pet-shop</v>
      </c>
      <c r="S622" s="18"/>
      <c r="T622" s="18" t="str">
        <f>IF('Global Precios'!E623="","",'Global Precios'!E623)</f>
        <v/>
      </c>
      <c r="U622" s="18"/>
      <c r="V622" s="18">
        <f t="shared" si="2"/>
        <v>0</v>
      </c>
      <c r="W622" s="18"/>
      <c r="X622" s="18"/>
      <c r="Y622" s="18"/>
      <c r="Z622" s="18"/>
      <c r="AA622" s="18"/>
      <c r="AB622" s="18">
        <f t="shared" si="3"/>
        <v>1</v>
      </c>
      <c r="AC622" s="18">
        <f t="shared" si="4"/>
        <v>1</v>
      </c>
      <c r="AD622" s="18">
        <f t="shared" si="5"/>
        <v>1</v>
      </c>
      <c r="AE622" s="18">
        <f t="shared" si="6"/>
        <v>1</v>
      </c>
    </row>
    <row r="623">
      <c r="A623" s="9">
        <f>IF(E623="","", IF('Global Precios'!B624="",0,'Global Precios'!B624))</f>
        <v>0</v>
      </c>
      <c r="B623" s="14" t="str">
        <f>IF('Global Precios'!B624="","",'Global Precios'!B624)</f>
        <v/>
      </c>
      <c r="C623" s="18" t="str">
        <f>IF('Global Precios'!A624="","",'Global Precios'!A624)</f>
        <v>654</v>
      </c>
      <c r="D623" s="18"/>
      <c r="E623" s="25" t="str">
        <f>IF('Global Precios'!D624="","",'Global Precios'!D624)</f>
        <v>EXCELLENT REDUCED CALORIE X 3 KG</v>
      </c>
      <c r="F623" s="18"/>
      <c r="G623" s="25" t="str">
        <f>IFERROR(VLOOKUP(C623,'BuscarV Stock'!$A$2:$C$478,3,0),"AAA")</f>
        <v>AAA</v>
      </c>
      <c r="H623" s="25">
        <f t="shared" si="1"/>
        <v>0.21</v>
      </c>
      <c r="I623" s="30">
        <f>IF('Global Precios'!H624="","",'Global Precios'!H624)</f>
        <v>12892.56198</v>
      </c>
      <c r="J623" s="82">
        <f>IF('Global Precios'!K624="","",'Global Precios'!K624)</f>
        <v>0.4</v>
      </c>
      <c r="K623" s="30">
        <f>IF('Global Precios'!Z624="Desactivado",0,IF('Global Precios'!L624="","",'Global Precios'!L624))</f>
        <v>0</v>
      </c>
      <c r="L623" s="18"/>
      <c r="M623" s="18"/>
      <c r="N623" s="18"/>
      <c r="O623" s="18"/>
      <c r="P623" s="18"/>
      <c r="Q623" s="18"/>
      <c r="R623" s="18" t="str">
        <f>IF('Global Precios'!F624="","",'Global Precios'!F624)</f>
        <v>Alimentos</v>
      </c>
      <c r="S623" s="18"/>
      <c r="T623" s="18" t="str">
        <f>IF('Global Precios'!E624="","",'Global Precios'!E624)</f>
        <v>EXCELLENT</v>
      </c>
      <c r="U623" s="18"/>
      <c r="V623" s="18">
        <f t="shared" si="2"/>
        <v>0</v>
      </c>
      <c r="W623" s="18"/>
      <c r="X623" s="18"/>
      <c r="Y623" s="18"/>
      <c r="Z623" s="18"/>
      <c r="AA623" s="18"/>
      <c r="AB623" s="18">
        <f t="shared" si="3"/>
        <v>1</v>
      </c>
      <c r="AC623" s="18">
        <f t="shared" si="4"/>
        <v>1</v>
      </c>
      <c r="AD623" s="18">
        <f t="shared" si="5"/>
        <v>1</v>
      </c>
      <c r="AE623" s="18">
        <f t="shared" si="6"/>
        <v>1</v>
      </c>
    </row>
    <row r="624">
      <c r="A624" s="9">
        <f>IF(E624="","", IF('Global Precios'!B625="",0,'Global Precios'!B625))</f>
        <v>0</v>
      </c>
      <c r="B624" s="14" t="str">
        <f>IF('Global Precios'!B625="","",'Global Precios'!B625)</f>
        <v/>
      </c>
      <c r="C624" s="18" t="str">
        <f>IF('Global Precios'!A625="","",'Global Precios'!A625)</f>
        <v>655</v>
      </c>
      <c r="D624" s="18"/>
      <c r="E624" s="25" t="str">
        <f>IF('Global Precios'!D625="","",'Global Precios'!D625)</f>
        <v>SOGA 2 NUDOS MEDIANA</v>
      </c>
      <c r="F624" s="18"/>
      <c r="G624" s="25" t="str">
        <f>IFERROR(VLOOKUP(C624,'BuscarV Stock'!$A$2:$C$478,3,0),"AAA")</f>
        <v>AAA</v>
      </c>
      <c r="H624" s="25">
        <f t="shared" si="1"/>
        <v>0.21</v>
      </c>
      <c r="I624" s="30">
        <f>IF('Global Precios'!H625="","",'Global Precios'!H625)</f>
        <v>2107.438017</v>
      </c>
      <c r="J624" s="82">
        <f>IF('Global Precios'!K625="","",'Global Precios'!K625)</f>
        <v>1</v>
      </c>
      <c r="K624" s="30">
        <f>IF('Global Precios'!Z625="Desactivado",0,IF('Global Precios'!L625="","",'Global Precios'!L625))</f>
        <v>5000</v>
      </c>
      <c r="L624" s="18"/>
      <c r="M624" s="18"/>
      <c r="N624" s="18"/>
      <c r="O624" s="18"/>
      <c r="P624" s="18"/>
      <c r="Q624" s="18"/>
      <c r="R624" s="18" t="str">
        <f>IF('Global Precios'!F625="","",'Global Precios'!F625)</f>
        <v>Pet-shop</v>
      </c>
      <c r="S624" s="18"/>
      <c r="T624" s="18" t="str">
        <f>IF('Global Precios'!E625="","",'Global Precios'!E625)</f>
        <v/>
      </c>
      <c r="U624" s="18"/>
      <c r="V624" s="18">
        <f t="shared" si="2"/>
        <v>0</v>
      </c>
      <c r="W624" s="18"/>
      <c r="X624" s="18"/>
      <c r="Y624" s="18"/>
      <c r="Z624" s="18"/>
      <c r="AA624" s="18"/>
      <c r="AB624" s="18">
        <f t="shared" si="3"/>
        <v>1</v>
      </c>
      <c r="AC624" s="18">
        <f t="shared" si="4"/>
        <v>1</v>
      </c>
      <c r="AD624" s="18">
        <f t="shared" si="5"/>
        <v>1</v>
      </c>
      <c r="AE624" s="18">
        <f t="shared" si="6"/>
        <v>1</v>
      </c>
    </row>
    <row r="625">
      <c r="A625" s="9">
        <f>IF(E625="","", IF('Global Precios'!B626="",0,'Global Precios'!B626))</f>
        <v>0</v>
      </c>
      <c r="B625" s="14" t="str">
        <f>IF('Global Precios'!B626="","",'Global Precios'!B626)</f>
        <v/>
      </c>
      <c r="C625" s="18" t="str">
        <f>IF('Global Precios'!A626="","",'Global Precios'!A626)</f>
        <v>656</v>
      </c>
      <c r="D625" s="18"/>
      <c r="E625" s="25" t="str">
        <f>IF('Global Precios'!D626="","",'Global Precios'!D626)</f>
        <v>MV PERRO CARDIACO X 2 KG</v>
      </c>
      <c r="F625" s="18"/>
      <c r="G625" s="25" t="str">
        <f>IFERROR(VLOOKUP(C625,'BuscarV Stock'!$A$2:$C$478,3,0),"AAA")</f>
        <v>AAA</v>
      </c>
      <c r="H625" s="25">
        <f t="shared" si="1"/>
        <v>0.21</v>
      </c>
      <c r="I625" s="30">
        <f>IF('Global Precios'!H626="","",'Global Precios'!H626)</f>
        <v>12929.75207</v>
      </c>
      <c r="J625" s="82">
        <f>IF('Global Precios'!K626="","",'Global Precios'!K626)</f>
        <v>0.4</v>
      </c>
      <c r="K625" s="30">
        <f>IF('Global Precios'!Z626="Desactivado",0,IF('Global Precios'!L626="","",'Global Precios'!L626))</f>
        <v>22000</v>
      </c>
      <c r="L625" s="18"/>
      <c r="M625" s="18"/>
      <c r="N625" s="18"/>
      <c r="O625" s="18"/>
      <c r="P625" s="18"/>
      <c r="Q625" s="18"/>
      <c r="R625" s="18" t="str">
        <f>IF('Global Precios'!F626="","",'Global Precios'!F626)</f>
        <v>Alimentos</v>
      </c>
      <c r="S625" s="18"/>
      <c r="T625" s="18" t="str">
        <f>IF('Global Precios'!E626="","",'Global Precios'!E626)</f>
        <v>Mv</v>
      </c>
      <c r="U625" s="18"/>
      <c r="V625" s="18">
        <f t="shared" si="2"/>
        <v>0</v>
      </c>
      <c r="W625" s="18"/>
      <c r="X625" s="18"/>
      <c r="Y625" s="18"/>
      <c r="Z625" s="18"/>
      <c r="AA625" s="18"/>
      <c r="AB625" s="18">
        <f t="shared" si="3"/>
        <v>1</v>
      </c>
      <c r="AC625" s="18">
        <f t="shared" si="4"/>
        <v>1</v>
      </c>
      <c r="AD625" s="18">
        <f t="shared" si="5"/>
        <v>1</v>
      </c>
      <c r="AE625" s="18">
        <f t="shared" si="6"/>
        <v>1</v>
      </c>
    </row>
    <row r="626">
      <c r="A626" s="9">
        <f>IF(E626="","", IF('Global Precios'!B627="",0,'Global Precios'!B627))</f>
        <v>0</v>
      </c>
      <c r="B626" s="14" t="str">
        <f>IF('Global Precios'!B627="","",'Global Precios'!B627)</f>
        <v/>
      </c>
      <c r="C626" s="18" t="str">
        <f>IF('Global Precios'!A627="","",'Global Precios'!A627)</f>
        <v>657</v>
      </c>
      <c r="D626" s="18"/>
      <c r="E626" s="25" t="str">
        <f>IF('Global Precios'!D627="","",'Global Precios'!D627)</f>
        <v>EXCELLENT GATO ADULTO X 3 KG</v>
      </c>
      <c r="F626" s="18"/>
      <c r="G626" s="25" t="str">
        <f>IFERROR(VLOOKUP(C626,'BuscarV Stock'!$A$2:$C$478,3,0),"AAA")</f>
        <v>AAA</v>
      </c>
      <c r="H626" s="25">
        <f t="shared" si="1"/>
        <v>0.21</v>
      </c>
      <c r="I626" s="30">
        <f>IF('Global Precios'!H627="","",'Global Precios'!H627)</f>
        <v>18284.29752</v>
      </c>
      <c r="J626" s="82">
        <f>IF('Global Precios'!K627="","",'Global Precios'!K627)</f>
        <v>0.33</v>
      </c>
      <c r="K626" s="30">
        <f>IF('Global Precios'!Z627="Desactivado",0,IF('Global Precios'!L627="","",'Global Precios'!L627))</f>
        <v>29000</v>
      </c>
      <c r="L626" s="18"/>
      <c r="M626" s="18"/>
      <c r="N626" s="18"/>
      <c r="O626" s="18"/>
      <c r="P626" s="18"/>
      <c r="Q626" s="18"/>
      <c r="R626" s="18" t="str">
        <f>IF('Global Precios'!F627="","",'Global Precios'!F627)</f>
        <v>Alimentos</v>
      </c>
      <c r="S626" s="18"/>
      <c r="T626" s="18" t="str">
        <f>IF('Global Precios'!E627="","",'Global Precios'!E627)</f>
        <v/>
      </c>
      <c r="U626" s="18"/>
      <c r="V626" s="18">
        <f t="shared" si="2"/>
        <v>0</v>
      </c>
      <c r="W626" s="18"/>
      <c r="X626" s="18"/>
      <c r="Y626" s="18"/>
      <c r="Z626" s="18"/>
      <c r="AA626" s="18"/>
      <c r="AB626" s="18">
        <f t="shared" si="3"/>
        <v>1</v>
      </c>
      <c r="AC626" s="18">
        <f t="shared" si="4"/>
        <v>1</v>
      </c>
      <c r="AD626" s="18">
        <f t="shared" si="5"/>
        <v>1</v>
      </c>
      <c r="AE626" s="18">
        <f t="shared" si="6"/>
        <v>1</v>
      </c>
    </row>
    <row r="627">
      <c r="A627" s="9">
        <f>IF(E627="","", IF('Global Precios'!B628="",0,'Global Precios'!B628))</f>
        <v>0</v>
      </c>
      <c r="B627" s="14" t="str">
        <f>IF('Global Precios'!B628="","",'Global Precios'!B628)</f>
        <v/>
      </c>
      <c r="C627" s="18" t="str">
        <f>IF('Global Precios'!A628="","",'Global Precios'!A628)</f>
        <v>658</v>
      </c>
      <c r="D627" s="18"/>
      <c r="E627" s="25" t="str">
        <f>IF('Global Precios'!D628="","",'Global Precios'!D628)</f>
        <v>APRAX SUSPENSION X 20 ML</v>
      </c>
      <c r="F627" s="18"/>
      <c r="G627" s="25" t="str">
        <f>IFERROR(VLOOKUP(C627,'BuscarV Stock'!$A$2:$C$478,3,0),"AAA")</f>
        <v>AAA</v>
      </c>
      <c r="H627" s="25">
        <f t="shared" si="1"/>
        <v>0.21</v>
      </c>
      <c r="I627" s="30">
        <f>IF('Global Precios'!H628="","",'Global Precios'!H628)</f>
        <v>2950.413223</v>
      </c>
      <c r="J627" s="82">
        <f>IF('Global Precios'!K628="","",'Global Precios'!K628)</f>
        <v>1</v>
      </c>
      <c r="K627" s="30">
        <f>IF('Global Precios'!Z628="Desactivado",0,IF('Global Precios'!L628="","",'Global Precios'!L628))</f>
        <v>7000</v>
      </c>
      <c r="L627" s="18"/>
      <c r="M627" s="18"/>
      <c r="N627" s="18"/>
      <c r="O627" s="18"/>
      <c r="P627" s="18"/>
      <c r="Q627" s="18"/>
      <c r="R627" s="18" t="str">
        <f>IF('Global Precios'!F628="","",'Global Precios'!F628)</f>
        <v>Medicamentos</v>
      </c>
      <c r="S627" s="18"/>
      <c r="T627" s="18" t="str">
        <f>IF('Global Precios'!E628="","",'Global Precios'!E628)</f>
        <v/>
      </c>
      <c r="U627" s="18"/>
      <c r="V627" s="18">
        <f t="shared" si="2"/>
        <v>0</v>
      </c>
      <c r="W627" s="18"/>
      <c r="X627" s="18"/>
      <c r="Y627" s="18"/>
      <c r="Z627" s="18"/>
      <c r="AA627" s="18"/>
      <c r="AB627" s="18">
        <f t="shared" si="3"/>
        <v>1</v>
      </c>
      <c r="AC627" s="18">
        <f t="shared" si="4"/>
        <v>1</v>
      </c>
      <c r="AD627" s="18">
        <f t="shared" si="5"/>
        <v>1</v>
      </c>
      <c r="AE627" s="18">
        <f t="shared" si="6"/>
        <v>1</v>
      </c>
    </row>
    <row r="628">
      <c r="A628" s="9">
        <f>IF(E628="","", IF('Global Precios'!B629="",0,'Global Precios'!B629))</f>
        <v>0</v>
      </c>
      <c r="B628" s="14" t="str">
        <f>IF('Global Precios'!B629="","",'Global Precios'!B629)</f>
        <v/>
      </c>
      <c r="C628" s="18" t="str">
        <f>IF('Global Precios'!A629="","",'Global Precios'!A629)</f>
        <v>659</v>
      </c>
      <c r="D628" s="18"/>
      <c r="E628" s="25" t="str">
        <f>IF('Global Precios'!D629="","",'Global Precios'!D629)</f>
        <v>POWER GOLD 10 A 20 KG</v>
      </c>
      <c r="F628" s="18"/>
      <c r="G628" s="25" t="str">
        <f>IFERROR(VLOOKUP(C628,'BuscarV Stock'!$A$2:$C$478,3,0),"AAA")</f>
        <v>AAA</v>
      </c>
      <c r="H628" s="25">
        <f t="shared" si="1"/>
        <v>0.21</v>
      </c>
      <c r="I628" s="30">
        <f>IF('Global Precios'!H629="","",'Global Precios'!H629)</f>
        <v>12396.69421</v>
      </c>
      <c r="J628" s="82">
        <f>IF('Global Precios'!K629="","",'Global Precios'!K629)</f>
        <v>0.5</v>
      </c>
      <c r="K628" s="30">
        <f>IF('Global Precios'!Z629="Desactivado",0,IF('Global Precios'!L629="","",'Global Precios'!L629))</f>
        <v>23000</v>
      </c>
      <c r="L628" s="18"/>
      <c r="M628" s="18"/>
      <c r="N628" s="18"/>
      <c r="O628" s="18"/>
      <c r="P628" s="18"/>
      <c r="Q628" s="18"/>
      <c r="R628" s="18" t="str">
        <f>IF('Global Precios'!F629="","",'Global Precios'!F629)</f>
        <v>Medicamentos</v>
      </c>
      <c r="S628" s="18"/>
      <c r="T628" s="18" t="str">
        <f>IF('Global Precios'!E629="","",'Global Precios'!E629)</f>
        <v/>
      </c>
      <c r="U628" s="18"/>
      <c r="V628" s="18">
        <f t="shared" si="2"/>
        <v>0</v>
      </c>
      <c r="W628" s="18"/>
      <c r="X628" s="18"/>
      <c r="Y628" s="18"/>
      <c r="Z628" s="18"/>
      <c r="AA628" s="18"/>
      <c r="AB628" s="18">
        <f t="shared" si="3"/>
        <v>1</v>
      </c>
      <c r="AC628" s="18">
        <f t="shared" si="4"/>
        <v>1</v>
      </c>
      <c r="AD628" s="18">
        <f t="shared" si="5"/>
        <v>1</v>
      </c>
      <c r="AE628" s="18">
        <f t="shared" si="6"/>
        <v>1</v>
      </c>
    </row>
    <row r="629">
      <c r="A629" s="9">
        <f>IF(E629="","", IF('Global Precios'!B630="",0,'Global Precios'!B630))</f>
        <v>0</v>
      </c>
      <c r="B629" s="14" t="str">
        <f>IF('Global Precios'!B630="","",'Global Precios'!B630)</f>
        <v/>
      </c>
      <c r="C629" s="18" t="str">
        <f>IF('Global Precios'!A630="","",'Global Precios'!A630)</f>
        <v>660</v>
      </c>
      <c r="D629" s="18"/>
      <c r="E629" s="25" t="str">
        <f>IF('Global Precios'!D630="","",'Global Precios'!D630)</f>
        <v>POWER GOLD 20 A 40 KG</v>
      </c>
      <c r="F629" s="18"/>
      <c r="G629" s="25" t="str">
        <f>IFERROR(VLOOKUP(C629,'BuscarV Stock'!$A$2:$C$478,3,0),"AAA")</f>
        <v>AAA</v>
      </c>
      <c r="H629" s="25">
        <f t="shared" si="1"/>
        <v>0.21</v>
      </c>
      <c r="I629" s="30">
        <f>IF('Global Precios'!H630="","",'Global Precios'!H630)</f>
        <v>22414.87603</v>
      </c>
      <c r="J629" s="82">
        <f>IF('Global Precios'!K630="","",'Global Precios'!K630)</f>
        <v>0.5</v>
      </c>
      <c r="K629" s="30">
        <f>IF('Global Precios'!Z630="Desactivado",0,IF('Global Precios'!L630="","",'Global Precios'!L630))</f>
        <v>41000</v>
      </c>
      <c r="L629" s="18"/>
      <c r="M629" s="18"/>
      <c r="N629" s="18"/>
      <c r="O629" s="18"/>
      <c r="P629" s="18"/>
      <c r="Q629" s="18"/>
      <c r="R629" s="18" t="str">
        <f>IF('Global Precios'!F630="","",'Global Precios'!F630)</f>
        <v>Medicamentos</v>
      </c>
      <c r="S629" s="18"/>
      <c r="T629" s="18" t="str">
        <f>IF('Global Precios'!E630="","",'Global Precios'!E630)</f>
        <v/>
      </c>
      <c r="U629" s="18"/>
      <c r="V629" s="18">
        <f t="shared" si="2"/>
        <v>0</v>
      </c>
      <c r="W629" s="18"/>
      <c r="X629" s="18"/>
      <c r="Y629" s="18"/>
      <c r="Z629" s="18"/>
      <c r="AA629" s="18"/>
      <c r="AB629" s="18">
        <f t="shared" si="3"/>
        <v>1</v>
      </c>
      <c r="AC629" s="18">
        <f t="shared" si="4"/>
        <v>1</v>
      </c>
      <c r="AD629" s="18">
        <f t="shared" si="5"/>
        <v>1</v>
      </c>
      <c r="AE629" s="18">
        <f t="shared" si="6"/>
        <v>1</v>
      </c>
    </row>
    <row r="630">
      <c r="A630" s="9">
        <f>IF(E630="","", IF('Global Precios'!B631="",0,'Global Precios'!B631))</f>
        <v>0</v>
      </c>
      <c r="B630" s="14" t="str">
        <f>IF('Global Precios'!B631="","",'Global Precios'!B631)</f>
        <v/>
      </c>
      <c r="C630" s="18" t="str">
        <f>IF('Global Precios'!A631="","",'Global Precios'!A631)</f>
        <v>661</v>
      </c>
      <c r="D630" s="18"/>
      <c r="E630" s="25" t="str">
        <f>IF('Global Precios'!D631="","",'Global Precios'!D631)</f>
        <v>POWER GOLD 40 A 56 KG</v>
      </c>
      <c r="F630" s="18"/>
      <c r="G630" s="25" t="str">
        <f>IFERROR(VLOOKUP(C630,'BuscarV Stock'!$A$2:$C$478,3,0),"AAA")</f>
        <v>AAA</v>
      </c>
      <c r="H630" s="25">
        <f t="shared" si="1"/>
        <v>0.21</v>
      </c>
      <c r="I630" s="30">
        <f>IF('Global Precios'!H631="","",'Global Precios'!H631)</f>
        <v>22760.33058</v>
      </c>
      <c r="J630" s="82">
        <f>IF('Global Precios'!K631="","",'Global Precios'!K631)</f>
        <v>0.5</v>
      </c>
      <c r="K630" s="30">
        <f>IF('Global Precios'!Z631="Desactivado",0,IF('Global Precios'!L631="","",'Global Precios'!L631))</f>
        <v>41000</v>
      </c>
      <c r="L630" s="18"/>
      <c r="M630" s="18"/>
      <c r="N630" s="18"/>
      <c r="O630" s="18"/>
      <c r="P630" s="18"/>
      <c r="Q630" s="18"/>
      <c r="R630" s="18" t="str">
        <f>IF('Global Precios'!F631="","",'Global Precios'!F631)</f>
        <v>Medicamentos</v>
      </c>
      <c r="S630" s="18"/>
      <c r="T630" s="18" t="str">
        <f>IF('Global Precios'!E631="","",'Global Precios'!E631)</f>
        <v/>
      </c>
      <c r="U630" s="18"/>
      <c r="V630" s="18">
        <f t="shared" si="2"/>
        <v>0</v>
      </c>
      <c r="W630" s="18"/>
      <c r="X630" s="18"/>
      <c r="Y630" s="18"/>
      <c r="Z630" s="18"/>
      <c r="AA630" s="18"/>
      <c r="AB630" s="18">
        <f t="shared" si="3"/>
        <v>1</v>
      </c>
      <c r="AC630" s="18">
        <f t="shared" si="4"/>
        <v>1</v>
      </c>
      <c r="AD630" s="18">
        <f t="shared" si="5"/>
        <v>1</v>
      </c>
      <c r="AE630" s="18">
        <f t="shared" si="6"/>
        <v>1</v>
      </c>
    </row>
    <row r="631">
      <c r="A631" s="9">
        <f>IF(E631="","", IF('Global Precios'!B632="",0,'Global Precios'!B632))</f>
        <v>0</v>
      </c>
      <c r="B631" s="14" t="str">
        <f>IF('Global Precios'!B632="","",'Global Precios'!B632)</f>
        <v/>
      </c>
      <c r="C631" s="18" t="str">
        <f>IF('Global Precios'!A632="","",'Global Precios'!A632)</f>
        <v>662</v>
      </c>
      <c r="D631" s="18"/>
      <c r="E631" s="25" t="str">
        <f>IF('Global Precios'!D632="","",'Global Precios'!D632)</f>
        <v>EXCELLENT GATO STERILIZED X 1 KG</v>
      </c>
      <c r="F631" s="18"/>
      <c r="G631" s="25" t="str">
        <f>IFERROR(VLOOKUP(C631,'BuscarV Stock'!$A$2:$C$478,3,0),"AAA")</f>
        <v>AAA</v>
      </c>
      <c r="H631" s="25">
        <f t="shared" si="1"/>
        <v>0.21</v>
      </c>
      <c r="I631" s="30">
        <f>IF('Global Precios'!H632="","",'Global Precios'!H632)</f>
        <v>7768.595041</v>
      </c>
      <c r="J631" s="82">
        <f>IF('Global Precios'!K632="","",'Global Precios'!K632)</f>
        <v>0.33</v>
      </c>
      <c r="K631" s="30">
        <f>IF('Global Precios'!Z632="Desactivado",0,IF('Global Precios'!L632="","",'Global Precios'!L632))</f>
        <v>0</v>
      </c>
      <c r="L631" s="18"/>
      <c r="M631" s="18"/>
      <c r="N631" s="18"/>
      <c r="O631" s="18"/>
      <c r="P631" s="18"/>
      <c r="Q631" s="18"/>
      <c r="R631" s="18" t="str">
        <f>IF('Global Precios'!F632="","",'Global Precios'!F632)</f>
        <v>Alimentos</v>
      </c>
      <c r="S631" s="18"/>
      <c r="T631" s="18" t="str">
        <f>IF('Global Precios'!E632="","",'Global Precios'!E632)</f>
        <v>Purina</v>
      </c>
      <c r="U631" s="18"/>
      <c r="V631" s="18">
        <f t="shared" si="2"/>
        <v>0</v>
      </c>
      <c r="W631" s="18"/>
      <c r="X631" s="18"/>
      <c r="Y631" s="18"/>
      <c r="Z631" s="18"/>
      <c r="AA631" s="18"/>
      <c r="AB631" s="18">
        <f t="shared" si="3"/>
        <v>1</v>
      </c>
      <c r="AC631" s="18">
        <f t="shared" si="4"/>
        <v>1</v>
      </c>
      <c r="AD631" s="18">
        <f t="shared" si="5"/>
        <v>1</v>
      </c>
      <c r="AE631" s="18">
        <f t="shared" si="6"/>
        <v>1</v>
      </c>
    </row>
    <row r="632">
      <c r="A632" s="9">
        <f>IF(E632="","", IF('Global Precios'!B633="",0,'Global Precios'!B633))</f>
        <v>0</v>
      </c>
      <c r="B632" s="14" t="str">
        <f>IF('Global Precios'!B633="","",'Global Precios'!B633)</f>
        <v/>
      </c>
      <c r="C632" s="18" t="str">
        <f>IF('Global Precios'!A633="","",'Global Precios'!A633)</f>
        <v>663</v>
      </c>
      <c r="D632" s="18"/>
      <c r="E632" s="25" t="str">
        <f>IF('Global Precios'!D633="","",'Global Precios'!D633)</f>
        <v>FRONTLINE SPOT-ON PERRO MEDIANO</v>
      </c>
      <c r="F632" s="18"/>
      <c r="G632" s="25" t="str">
        <f>IFERROR(VLOOKUP(C632,'BuscarV Stock'!$A$2:$C$478,3,0),"AAA")</f>
        <v>AAA</v>
      </c>
      <c r="H632" s="25">
        <f t="shared" si="1"/>
        <v>0.21</v>
      </c>
      <c r="I632" s="30">
        <f>IF('Global Precios'!H633="","",'Global Precios'!H633)</f>
        <v>3553.719008</v>
      </c>
      <c r="J632" s="82">
        <f>IF('Global Precios'!K633="","",'Global Precios'!K633)</f>
        <v>0.8</v>
      </c>
      <c r="K632" s="30">
        <f>IF('Global Precios'!Z633="Desactivado",0,IF('Global Precios'!L633="","",'Global Precios'!L633))</f>
        <v>7500</v>
      </c>
      <c r="L632" s="18"/>
      <c r="M632" s="18"/>
      <c r="N632" s="18"/>
      <c r="O632" s="18"/>
      <c r="P632" s="18"/>
      <c r="Q632" s="18"/>
      <c r="R632" s="18" t="str">
        <f>IF('Global Precios'!F633="","",'Global Precios'!F633)</f>
        <v>Medicamentos</v>
      </c>
      <c r="S632" s="18"/>
      <c r="T632" s="18" t="str">
        <f>IF('Global Precios'!E633="","",'Global Precios'!E633)</f>
        <v>Behringer pequeños</v>
      </c>
      <c r="U632" s="18"/>
      <c r="V632" s="18">
        <f t="shared" si="2"/>
        <v>0</v>
      </c>
      <c r="W632" s="18"/>
      <c r="X632" s="18"/>
      <c r="Y632" s="18"/>
      <c r="Z632" s="18"/>
      <c r="AA632" s="18"/>
      <c r="AB632" s="18">
        <f t="shared" si="3"/>
        <v>1</v>
      </c>
      <c r="AC632" s="18">
        <f t="shared" si="4"/>
        <v>1</v>
      </c>
      <c r="AD632" s="18">
        <f t="shared" si="5"/>
        <v>1</v>
      </c>
      <c r="AE632" s="18">
        <f t="shared" si="6"/>
        <v>1</v>
      </c>
    </row>
    <row r="633">
      <c r="A633" s="9">
        <f>IF(E633="","", IF('Global Precios'!B634="",0,'Global Precios'!B634))</f>
        <v>0</v>
      </c>
      <c r="B633" s="14" t="str">
        <f>IF('Global Precios'!B634="","",'Global Precios'!B634)</f>
        <v/>
      </c>
      <c r="C633" s="18" t="str">
        <f>IF('Global Precios'!A634="","",'Global Precios'!A634)</f>
        <v>664</v>
      </c>
      <c r="D633" s="18"/>
      <c r="E633" s="25" t="str">
        <f>IF('Global Precios'!D634="","",'Global Precios'!D634)</f>
        <v>CISTICALM X 10 CAPSULAS</v>
      </c>
      <c r="F633" s="18"/>
      <c r="G633" s="25" t="str">
        <f>IFERROR(VLOOKUP(C633,'BuscarV Stock'!$A$2:$C$478,3,0),"AAA")</f>
        <v>AAA</v>
      </c>
      <c r="H633" s="25">
        <f t="shared" si="1"/>
        <v>0.21</v>
      </c>
      <c r="I633" s="30">
        <f>IF('Global Precios'!H634="","",'Global Precios'!H634)</f>
        <v>1735.53719</v>
      </c>
      <c r="J633" s="82">
        <f>IF('Global Precios'!K634="","",'Global Precios'!K634)</f>
        <v>1</v>
      </c>
      <c r="K633" s="30">
        <f>IF('Global Precios'!Z634="Desactivado",0,IF('Global Precios'!L634="","",'Global Precios'!L634))</f>
        <v>0</v>
      </c>
      <c r="L633" s="18"/>
      <c r="M633" s="18"/>
      <c r="N633" s="18"/>
      <c r="O633" s="18"/>
      <c r="P633" s="18"/>
      <c r="Q633" s="18"/>
      <c r="R633" s="18" t="str">
        <f>IF('Global Precios'!F634="","",'Global Precios'!F634)</f>
        <v>Medicamentos</v>
      </c>
      <c r="S633" s="18"/>
      <c r="T633" s="18" t="str">
        <f>IF('Global Precios'!E634="","",'Global Precios'!E634)</f>
        <v/>
      </c>
      <c r="U633" s="18"/>
      <c r="V633" s="18">
        <f t="shared" si="2"/>
        <v>0</v>
      </c>
      <c r="W633" s="18"/>
      <c r="X633" s="18"/>
      <c r="Y633" s="18"/>
      <c r="Z633" s="18"/>
      <c r="AA633" s="18"/>
      <c r="AB633" s="18">
        <f t="shared" si="3"/>
        <v>1</v>
      </c>
      <c r="AC633" s="18">
        <f t="shared" si="4"/>
        <v>1</v>
      </c>
      <c r="AD633" s="18">
        <f t="shared" si="5"/>
        <v>1</v>
      </c>
      <c r="AE633" s="18">
        <f t="shared" si="6"/>
        <v>1</v>
      </c>
    </row>
    <row r="634">
      <c r="A634" s="9">
        <f>IF(E634="","", IF('Global Precios'!B635="",0,'Global Precios'!B635))</f>
        <v>0</v>
      </c>
      <c r="B634" s="14" t="str">
        <f>IF('Global Precios'!B635="","",'Global Precios'!B635)</f>
        <v/>
      </c>
      <c r="C634" s="18" t="str">
        <f>IF('Global Precios'!A635="","",'Global Precios'!A635)</f>
        <v>665</v>
      </c>
      <c r="D634" s="18"/>
      <c r="E634" s="25" t="str">
        <f>IF('Global Precios'!D635="","",'Global Precios'!D635)</f>
        <v>CISTICALM X 60 CAPSULAS x 10 comprimidos</v>
      </c>
      <c r="F634" s="18"/>
      <c r="G634" s="25" t="str">
        <f>IFERROR(VLOOKUP(C634,'BuscarV Stock'!$A$2:$C$478,3,0),"AAA")</f>
        <v>AAA</v>
      </c>
      <c r="H634" s="25">
        <f t="shared" si="1"/>
        <v>0.21</v>
      </c>
      <c r="I634" s="30">
        <f>IF('Global Precios'!H635="","",'Global Precios'!H635)</f>
        <v>2107.438017</v>
      </c>
      <c r="J634" s="82">
        <f>IF('Global Precios'!K635="","",'Global Precios'!K635)</f>
        <v>1</v>
      </c>
      <c r="K634" s="30">
        <f>IF('Global Precios'!Z635="Desactivado",0,IF('Global Precios'!L635="","",'Global Precios'!L635))</f>
        <v>5100</v>
      </c>
      <c r="L634" s="18"/>
      <c r="M634" s="18"/>
      <c r="N634" s="18"/>
      <c r="O634" s="18"/>
      <c r="P634" s="18"/>
      <c r="Q634" s="18"/>
      <c r="R634" s="18" t="str">
        <f>IF('Global Precios'!F635="","",'Global Precios'!F635)</f>
        <v>Medicamentos</v>
      </c>
      <c r="S634" s="18"/>
      <c r="T634" s="18" t="str">
        <f>IF('Global Precios'!E635="","",'Global Precios'!E635)</f>
        <v>Bechlab</v>
      </c>
      <c r="U634" s="18"/>
      <c r="V634" s="18">
        <f t="shared" si="2"/>
        <v>0</v>
      </c>
      <c r="W634" s="18"/>
      <c r="X634" s="18"/>
      <c r="Y634" s="18"/>
      <c r="Z634" s="18"/>
      <c r="AA634" s="18"/>
      <c r="AB634" s="18">
        <f t="shared" si="3"/>
        <v>1</v>
      </c>
      <c r="AC634" s="18">
        <f t="shared" si="4"/>
        <v>1</v>
      </c>
      <c r="AD634" s="18">
        <f t="shared" si="5"/>
        <v>1</v>
      </c>
      <c r="AE634" s="18">
        <f t="shared" si="6"/>
        <v>1</v>
      </c>
    </row>
    <row r="635">
      <c r="A635" s="9">
        <f>IF(E635="","", IF('Global Precios'!B636="",0,'Global Precios'!B636))</f>
        <v>0</v>
      </c>
      <c r="B635" s="14" t="str">
        <f>IF('Global Precios'!B636="","",'Global Precios'!B636)</f>
        <v/>
      </c>
      <c r="C635" s="18" t="str">
        <f>IF('Global Precios'!A636="","",'Global Precios'!A636)</f>
        <v>666</v>
      </c>
      <c r="D635" s="18"/>
      <c r="E635" s="25" t="str">
        <f>IF('Global Precios'!D636="","",'Global Precios'!D636)</f>
        <v>NEURO GREEN X 16 COMPR</v>
      </c>
      <c r="F635" s="18"/>
      <c r="G635" s="25" t="str">
        <f>IFERROR(VLOOKUP(C635,'BuscarV Stock'!$A$2:$C$478,3,0),"AAA")</f>
        <v>AAA</v>
      </c>
      <c r="H635" s="25">
        <f t="shared" si="1"/>
        <v>0.21</v>
      </c>
      <c r="I635" s="30">
        <f>IF('Global Precios'!H636="","",'Global Precios'!H636)</f>
        <v>3600</v>
      </c>
      <c r="J635" s="82">
        <f>IF('Global Precios'!K636="","",'Global Precios'!K636)</f>
        <v>0.8</v>
      </c>
      <c r="K635" s="30">
        <f>IF('Global Precios'!Z636="Desactivado",0,IF('Global Precios'!L636="","",'Global Precios'!L636))</f>
        <v>7800</v>
      </c>
      <c r="L635" s="18"/>
      <c r="M635" s="18"/>
      <c r="N635" s="18"/>
      <c r="O635" s="18"/>
      <c r="P635" s="18"/>
      <c r="Q635" s="18"/>
      <c r="R635" s="18" t="str">
        <f>IF('Global Precios'!F636="","",'Global Precios'!F636)</f>
        <v>Medicamentos</v>
      </c>
      <c r="S635" s="18"/>
      <c r="T635" s="18" t="str">
        <f>IF('Global Precios'!E636="","",'Global Precios'!E636)</f>
        <v>Janvier</v>
      </c>
      <c r="U635" s="18"/>
      <c r="V635" s="18">
        <f t="shared" si="2"/>
        <v>0</v>
      </c>
      <c r="W635" s="18"/>
      <c r="X635" s="18"/>
      <c r="Y635" s="18"/>
      <c r="Z635" s="18"/>
      <c r="AA635" s="18"/>
      <c r="AB635" s="18">
        <f t="shared" si="3"/>
        <v>1</v>
      </c>
      <c r="AC635" s="18">
        <f t="shared" si="4"/>
        <v>1</v>
      </c>
      <c r="AD635" s="18">
        <f t="shared" si="5"/>
        <v>1</v>
      </c>
      <c r="AE635" s="18">
        <f t="shared" si="6"/>
        <v>1</v>
      </c>
    </row>
    <row r="636">
      <c r="A636" s="9">
        <f>IF(E636="","", IF('Global Precios'!B637="",0,'Global Precios'!B637))</f>
        <v>0</v>
      </c>
      <c r="B636" s="14" t="str">
        <f>IF('Global Precios'!B637="","",'Global Precios'!B637)</f>
        <v/>
      </c>
      <c r="C636" s="18" t="str">
        <f>IF('Global Precios'!A637="","",'Global Precios'!A637)</f>
        <v>667</v>
      </c>
      <c r="D636" s="18"/>
      <c r="E636" s="25" t="str">
        <f>IF('Global Precios'!D637="","",'Global Precios'!D637)</f>
        <v>PEP 90 DE 10 A 20 KG</v>
      </c>
      <c r="F636" s="18"/>
      <c r="G636" s="25" t="str">
        <f>IFERROR(VLOOKUP(C636,'BuscarV Stock'!$A$2:$C$478,3,0),"AAA")</f>
        <v>AAA</v>
      </c>
      <c r="H636" s="25">
        <f t="shared" si="1"/>
        <v>0.21</v>
      </c>
      <c r="I636" s="30">
        <f>IF('Global Precios'!H637="","",'Global Precios'!H637)</f>
        <v>16590.08264</v>
      </c>
      <c r="J636" s="82">
        <f>IF('Global Precios'!K637="","",'Global Precios'!K637)</f>
        <v>0.8</v>
      </c>
      <c r="K636" s="30">
        <f>IF('Global Precios'!Z637="Desactivado",0,IF('Global Precios'!L637="","",'Global Precios'!L637))</f>
        <v>36100</v>
      </c>
      <c r="L636" s="18"/>
      <c r="M636" s="18"/>
      <c r="N636" s="18"/>
      <c r="O636" s="18"/>
      <c r="P636" s="18"/>
      <c r="Q636" s="18"/>
      <c r="R636" s="18" t="str">
        <f>IF('Global Precios'!F637="","",'Global Precios'!F637)</f>
        <v>Medicamentos</v>
      </c>
      <c r="S636" s="18"/>
      <c r="T636" s="18" t="str">
        <f>IF('Global Precios'!E637="","",'Global Precios'!E637)</f>
        <v>Zoovet</v>
      </c>
      <c r="U636" s="18"/>
      <c r="V636" s="18">
        <f t="shared" si="2"/>
        <v>0</v>
      </c>
      <c r="W636" s="18"/>
      <c r="X636" s="18"/>
      <c r="Y636" s="18"/>
      <c r="Z636" s="18"/>
      <c r="AA636" s="18"/>
      <c r="AB636" s="18">
        <f t="shared" si="3"/>
        <v>1</v>
      </c>
      <c r="AC636" s="18">
        <f t="shared" si="4"/>
        <v>1</v>
      </c>
      <c r="AD636" s="18">
        <f t="shared" si="5"/>
        <v>1</v>
      </c>
      <c r="AE636" s="18">
        <f t="shared" si="6"/>
        <v>1</v>
      </c>
    </row>
    <row r="637">
      <c r="A637" s="9">
        <f>IF(E637="","", IF('Global Precios'!B638="",0,'Global Precios'!B638))</f>
        <v>0</v>
      </c>
      <c r="B637" s="14" t="str">
        <f>IF('Global Precios'!B638="","",'Global Precios'!B638)</f>
        <v/>
      </c>
      <c r="C637" s="18" t="str">
        <f>IF('Global Precios'!A638="","",'Global Precios'!A638)</f>
        <v>668</v>
      </c>
      <c r="D637" s="18"/>
      <c r="E637" s="25" t="str">
        <f>IF('Global Precios'!D638="","",'Global Precios'!D638)</f>
        <v>PEP 90 DE 20 A 32 KG</v>
      </c>
      <c r="F637" s="18"/>
      <c r="G637" s="25" t="str">
        <f>IFERROR(VLOOKUP(C637,'BuscarV Stock'!$A$2:$C$478,3,0),"AAA")</f>
        <v>AAA</v>
      </c>
      <c r="H637" s="25">
        <f t="shared" si="1"/>
        <v>0.21</v>
      </c>
      <c r="I637" s="30">
        <f>IF('Global Precios'!H638="","",'Global Precios'!H638)</f>
        <v>20231.40496</v>
      </c>
      <c r="J637" s="82">
        <f>IF('Global Precios'!K638="","",'Global Precios'!K638)</f>
        <v>0.8</v>
      </c>
      <c r="K637" s="30">
        <f>IF('Global Precios'!Z638="Desactivado",0,IF('Global Precios'!L638="","",'Global Precios'!L638))</f>
        <v>44100</v>
      </c>
      <c r="L637" s="18"/>
      <c r="M637" s="18"/>
      <c r="N637" s="18"/>
      <c r="O637" s="18"/>
      <c r="P637" s="18"/>
      <c r="Q637" s="18"/>
      <c r="R637" s="18" t="str">
        <f>IF('Global Precios'!F638="","",'Global Precios'!F638)</f>
        <v>Medicamentos</v>
      </c>
      <c r="S637" s="18"/>
      <c r="T637" s="18" t="str">
        <f>IF('Global Precios'!E638="","",'Global Precios'!E638)</f>
        <v>Zoovet</v>
      </c>
      <c r="U637" s="18"/>
      <c r="V637" s="18">
        <f t="shared" si="2"/>
        <v>0</v>
      </c>
      <c r="W637" s="18"/>
      <c r="X637" s="18"/>
      <c r="Y637" s="18"/>
      <c r="Z637" s="18"/>
      <c r="AA637" s="18"/>
      <c r="AB637" s="18">
        <f t="shared" si="3"/>
        <v>1</v>
      </c>
      <c r="AC637" s="18">
        <f t="shared" si="4"/>
        <v>1</v>
      </c>
      <c r="AD637" s="18">
        <f t="shared" si="5"/>
        <v>1</v>
      </c>
      <c r="AE637" s="18">
        <f t="shared" si="6"/>
        <v>1</v>
      </c>
    </row>
    <row r="638">
      <c r="A638" s="9">
        <f>IF(E638="","", IF('Global Precios'!B639="",0,'Global Precios'!B639))</f>
        <v>0</v>
      </c>
      <c r="B638" s="14" t="str">
        <f>IF('Global Precios'!B639="","",'Global Precios'!B639)</f>
        <v/>
      </c>
      <c r="C638" s="18" t="str">
        <f>IF('Global Precios'!A639="","",'Global Precios'!A639)</f>
        <v>669</v>
      </c>
      <c r="D638" s="18"/>
      <c r="E638" s="25" t="str">
        <f>IF('Global Precios'!D639="","",'Global Precios'!D639)</f>
        <v>PEP 90 DE 32 A 64 KG</v>
      </c>
      <c r="F638" s="18"/>
      <c r="G638" s="25" t="str">
        <f>IFERROR(VLOOKUP(C638,'BuscarV Stock'!$A$2:$C$478,3,0),"AAA")</f>
        <v>AAA</v>
      </c>
      <c r="H638" s="25">
        <f t="shared" si="1"/>
        <v>0.21</v>
      </c>
      <c r="I638" s="30">
        <f>IF('Global Precios'!H639="","",'Global Precios'!H639)</f>
        <v>26300.82645</v>
      </c>
      <c r="J638" s="82">
        <f>IF('Global Precios'!K639="","",'Global Precios'!K639)</f>
        <v>0.8</v>
      </c>
      <c r="K638" s="30">
        <f>IF('Global Precios'!Z639="Desactivado",0,IF('Global Precios'!L639="","",'Global Precios'!L639))</f>
        <v>57300</v>
      </c>
      <c r="L638" s="18"/>
      <c r="M638" s="18"/>
      <c r="N638" s="18"/>
      <c r="O638" s="18"/>
      <c r="P638" s="18"/>
      <c r="Q638" s="18"/>
      <c r="R638" s="18" t="str">
        <f>IF('Global Precios'!F639="","",'Global Precios'!F639)</f>
        <v>Medicamentos</v>
      </c>
      <c r="S638" s="18"/>
      <c r="T638" s="18" t="str">
        <f>IF('Global Precios'!E639="","",'Global Precios'!E639)</f>
        <v>Zoovet</v>
      </c>
      <c r="U638" s="18"/>
      <c r="V638" s="18">
        <f t="shared" si="2"/>
        <v>0</v>
      </c>
      <c r="W638" s="18"/>
      <c r="X638" s="18"/>
      <c r="Y638" s="18"/>
      <c r="Z638" s="18"/>
      <c r="AA638" s="18"/>
      <c r="AB638" s="18">
        <f t="shared" si="3"/>
        <v>1</v>
      </c>
      <c r="AC638" s="18">
        <f t="shared" si="4"/>
        <v>1</v>
      </c>
      <c r="AD638" s="18">
        <f t="shared" si="5"/>
        <v>1</v>
      </c>
      <c r="AE638" s="18">
        <f t="shared" si="6"/>
        <v>1</v>
      </c>
    </row>
    <row r="639">
      <c r="A639" s="9">
        <f>IF(E639="","", IF('Global Precios'!B640="",0,'Global Precios'!B640))</f>
        <v>0</v>
      </c>
      <c r="B639" s="14" t="str">
        <f>IF('Global Precios'!B640="","",'Global Precios'!B640)</f>
        <v/>
      </c>
      <c r="C639" s="18" t="str">
        <f>IF('Global Precios'!A640="","",'Global Precios'!A640)</f>
        <v>670</v>
      </c>
      <c r="D639" s="18"/>
      <c r="E639" s="25" t="str">
        <f>IF('Global Precios'!D640="","",'Global Precios'!D640)</f>
        <v>DEFENDER TOP 90 4 A 10 KG</v>
      </c>
      <c r="F639" s="18"/>
      <c r="G639" s="25" t="str">
        <f>IFERROR(VLOOKUP(C639,'BuscarV Stock'!$A$2:$C$478,3,0),"AAA")</f>
        <v>AAA</v>
      </c>
      <c r="H639" s="25">
        <f t="shared" si="1"/>
        <v>0.21</v>
      </c>
      <c r="I639" s="30">
        <f>IF('Global Precios'!H640="","",'Global Precios'!H640)</f>
        <v>11464.46281</v>
      </c>
      <c r="J639" s="82">
        <f>IF('Global Precios'!K640="","",'Global Precios'!K640)</f>
        <v>0.8</v>
      </c>
      <c r="K639" s="30">
        <f>IF('Global Precios'!Z640="Desactivado",0,IF('Global Precios'!L640="","",'Global Precios'!L640))</f>
        <v>25000</v>
      </c>
      <c r="L639" s="18"/>
      <c r="M639" s="18"/>
      <c r="N639" s="18"/>
      <c r="O639" s="18"/>
      <c r="P639" s="18"/>
      <c r="Q639" s="18"/>
      <c r="R639" s="18" t="str">
        <f>IF('Global Precios'!F640="","",'Global Precios'!F640)</f>
        <v>Medicamentos</v>
      </c>
      <c r="S639" s="18"/>
      <c r="T639" s="18" t="str">
        <f>IF('Global Precios'!E640="","",'Global Precios'!E640)</f>
        <v>León pharma</v>
      </c>
      <c r="U639" s="18"/>
      <c r="V639" s="18">
        <f t="shared" si="2"/>
        <v>0</v>
      </c>
      <c r="W639" s="18"/>
      <c r="X639" s="18"/>
      <c r="Y639" s="18"/>
      <c r="Z639" s="18"/>
      <c r="AA639" s="18"/>
      <c r="AB639" s="18">
        <f t="shared" si="3"/>
        <v>1</v>
      </c>
      <c r="AC639" s="18">
        <f t="shared" si="4"/>
        <v>1</v>
      </c>
      <c r="AD639" s="18">
        <f t="shared" si="5"/>
        <v>1</v>
      </c>
      <c r="AE639" s="18">
        <f t="shared" si="6"/>
        <v>1</v>
      </c>
    </row>
    <row r="640">
      <c r="A640" s="9">
        <f>IF(E640="","", IF('Global Precios'!B641="",0,'Global Precios'!B641))</f>
        <v>0</v>
      </c>
      <c r="B640" s="14" t="str">
        <f>IF('Global Precios'!B641="","",'Global Precios'!B641)</f>
        <v/>
      </c>
      <c r="C640" s="18" t="str">
        <f>IF('Global Precios'!A641="","",'Global Precios'!A641)</f>
        <v>671</v>
      </c>
      <c r="D640" s="18"/>
      <c r="E640" s="25" t="str">
        <f>IF('Global Precios'!D641="","",'Global Precios'!D641)</f>
        <v>DEFENDER TOP 90 10 A 20 KG</v>
      </c>
      <c r="F640" s="18"/>
      <c r="G640" s="25" t="str">
        <f>IFERROR(VLOOKUP(C640,'BuscarV Stock'!$A$2:$C$478,3,0),"AAA")</f>
        <v>AAA</v>
      </c>
      <c r="H640" s="25">
        <f t="shared" si="1"/>
        <v>0.21</v>
      </c>
      <c r="I640" s="30">
        <f>IF('Global Precios'!H641="","",'Global Precios'!H641)</f>
        <v>15426.44628</v>
      </c>
      <c r="J640" s="82">
        <f>IF('Global Precios'!K641="","",'Global Precios'!K641)</f>
        <v>0.8</v>
      </c>
      <c r="K640" s="30">
        <f>IF('Global Precios'!Z641="Desactivado",0,IF('Global Precios'!L641="","",'Global Precios'!L641))</f>
        <v>33600</v>
      </c>
      <c r="L640" s="18"/>
      <c r="M640" s="18"/>
      <c r="N640" s="18"/>
      <c r="O640" s="18"/>
      <c r="P640" s="18"/>
      <c r="Q640" s="18"/>
      <c r="R640" s="18" t="str">
        <f>IF('Global Precios'!F641="","",'Global Precios'!F641)</f>
        <v>Medicamentos</v>
      </c>
      <c r="S640" s="18"/>
      <c r="T640" s="18" t="str">
        <f>IF('Global Precios'!E641="","",'Global Precios'!E641)</f>
        <v>León pharma</v>
      </c>
      <c r="U640" s="18"/>
      <c r="V640" s="18">
        <f t="shared" si="2"/>
        <v>0</v>
      </c>
      <c r="W640" s="18"/>
      <c r="X640" s="18"/>
      <c r="Y640" s="18"/>
      <c r="Z640" s="18"/>
      <c r="AA640" s="18"/>
      <c r="AB640" s="18">
        <f t="shared" si="3"/>
        <v>1</v>
      </c>
      <c r="AC640" s="18">
        <f t="shared" si="4"/>
        <v>1</v>
      </c>
      <c r="AD640" s="18">
        <f t="shared" si="5"/>
        <v>1</v>
      </c>
      <c r="AE640" s="18">
        <f t="shared" si="6"/>
        <v>1</v>
      </c>
    </row>
    <row r="641">
      <c r="A641" s="9">
        <f>IF(E641="","", IF('Global Precios'!B642="",0,'Global Precios'!B642))</f>
        <v>0</v>
      </c>
      <c r="B641" s="14" t="str">
        <f>IF('Global Precios'!B642="","",'Global Precios'!B642)</f>
        <v/>
      </c>
      <c r="C641" s="18" t="str">
        <f>IF('Global Precios'!A642="","",'Global Precios'!A642)</f>
        <v>672</v>
      </c>
      <c r="D641" s="18"/>
      <c r="E641" s="25" t="str">
        <f>IF('Global Precios'!D642="","",'Global Precios'!D642)</f>
        <v>DEFENDER TOP 90 20 A 32 KG</v>
      </c>
      <c r="F641" s="18"/>
      <c r="G641" s="25" t="str">
        <f>IFERROR(VLOOKUP(C641,'BuscarV Stock'!$A$2:$C$478,3,0),"AAA")</f>
        <v>AAA</v>
      </c>
      <c r="H641" s="25">
        <f t="shared" si="1"/>
        <v>0.21</v>
      </c>
      <c r="I641" s="30">
        <f>IF('Global Precios'!H642="","",'Global Precios'!H642)</f>
        <v>18292.56198</v>
      </c>
      <c r="J641" s="82">
        <f>IF('Global Precios'!K642="","",'Global Precios'!K642)</f>
        <v>0.8</v>
      </c>
      <c r="K641" s="30">
        <f>IF('Global Precios'!Z642="Desactivado",0,IF('Global Precios'!L642="","",'Global Precios'!L642))</f>
        <v>39800</v>
      </c>
      <c r="L641" s="18"/>
      <c r="M641" s="18"/>
      <c r="N641" s="18"/>
      <c r="O641" s="18"/>
      <c r="P641" s="18"/>
      <c r="Q641" s="18"/>
      <c r="R641" s="18" t="str">
        <f>IF('Global Precios'!F642="","",'Global Precios'!F642)</f>
        <v>Medicamentos</v>
      </c>
      <c r="S641" s="18"/>
      <c r="T641" s="18" t="str">
        <f>IF('Global Precios'!E642="","",'Global Precios'!E642)</f>
        <v>León pharma</v>
      </c>
      <c r="U641" s="18"/>
      <c r="V641" s="18">
        <f t="shared" si="2"/>
        <v>0</v>
      </c>
      <c r="W641" s="18"/>
      <c r="X641" s="18"/>
      <c r="Y641" s="18"/>
      <c r="Z641" s="18"/>
      <c r="AA641" s="18"/>
      <c r="AB641" s="18">
        <f t="shared" si="3"/>
        <v>1</v>
      </c>
      <c r="AC641" s="18">
        <f t="shared" si="4"/>
        <v>1</v>
      </c>
      <c r="AD641" s="18">
        <f t="shared" si="5"/>
        <v>1</v>
      </c>
      <c r="AE641" s="18">
        <f t="shared" si="6"/>
        <v>1</v>
      </c>
    </row>
    <row r="642">
      <c r="A642" s="9">
        <f>IF(E642="","", IF('Global Precios'!B643="",0,'Global Precios'!B643))</f>
        <v>0</v>
      </c>
      <c r="B642" s="14" t="str">
        <f>IF('Global Precios'!B643="","",'Global Precios'!B643)</f>
        <v/>
      </c>
      <c r="C642" s="18" t="str">
        <f>IF('Global Precios'!A643="","",'Global Precios'!A643)</f>
        <v>673</v>
      </c>
      <c r="D642" s="18"/>
      <c r="E642" s="25" t="str">
        <f>IF('Global Precios'!D643="","",'Global Precios'!D643)</f>
        <v>DEFENDER TOP 90 32 A 64 KG</v>
      </c>
      <c r="F642" s="18"/>
      <c r="G642" s="25" t="str">
        <f>IFERROR(VLOOKUP(C642,'BuscarV Stock'!$A$2:$C$478,3,0),"AAA")</f>
        <v>AAA</v>
      </c>
      <c r="H642" s="25">
        <f t="shared" si="1"/>
        <v>0.21</v>
      </c>
      <c r="I642" s="30">
        <f>IF('Global Precios'!H643="","",'Global Precios'!H643)</f>
        <v>22844.6281</v>
      </c>
      <c r="J642" s="82">
        <f>IF('Global Precios'!K643="","",'Global Precios'!K643)</f>
        <v>0.8</v>
      </c>
      <c r="K642" s="30">
        <f>IF('Global Precios'!Z643="Desactivado",0,IF('Global Precios'!L643="","",'Global Precios'!L643))</f>
        <v>49800</v>
      </c>
      <c r="L642" s="18"/>
      <c r="M642" s="18"/>
      <c r="N642" s="18"/>
      <c r="O642" s="18"/>
      <c r="P642" s="18"/>
      <c r="Q642" s="18"/>
      <c r="R642" s="18" t="str">
        <f>IF('Global Precios'!F643="","",'Global Precios'!F643)</f>
        <v>Medicamentos</v>
      </c>
      <c r="S642" s="18"/>
      <c r="T642" s="18" t="str">
        <f>IF('Global Precios'!E643="","",'Global Precios'!E643)</f>
        <v>León pharma</v>
      </c>
      <c r="U642" s="18"/>
      <c r="V642" s="18">
        <f t="shared" si="2"/>
        <v>0</v>
      </c>
      <c r="W642" s="18"/>
      <c r="X642" s="18"/>
      <c r="Y642" s="18"/>
      <c r="Z642" s="18"/>
      <c r="AA642" s="18"/>
      <c r="AB642" s="18">
        <f t="shared" si="3"/>
        <v>1</v>
      </c>
      <c r="AC642" s="18">
        <f t="shared" si="4"/>
        <v>1</v>
      </c>
      <c r="AD642" s="18">
        <f t="shared" si="5"/>
        <v>1</v>
      </c>
      <c r="AE642" s="18">
        <f t="shared" si="6"/>
        <v>1</v>
      </c>
    </row>
    <row r="643">
      <c r="A643" s="9">
        <f>IF(E643="","", IF('Global Precios'!B644="",0,'Global Precios'!B644))</f>
        <v>0</v>
      </c>
      <c r="B643" s="14" t="str">
        <f>IF('Global Precios'!B644="","",'Global Precios'!B644)</f>
        <v/>
      </c>
      <c r="C643" s="18" t="str">
        <f>IF('Global Precios'!A644="","",'Global Precios'!A644)</f>
        <v>674</v>
      </c>
      <c r="D643" s="18"/>
      <c r="E643" s="25" t="str">
        <f>IF('Global Precios'!D644="","",'Global Precios'!D644)</f>
        <v>Defender comprimidos 5 a 10 Kg felinos hasta 3 kg</v>
      </c>
      <c r="F643" s="18"/>
      <c r="G643" s="25" t="str">
        <f>IFERROR(VLOOKUP(C643,'BuscarV Stock'!$A$2:$C$478,3,0),"AAA")</f>
        <v>AAA</v>
      </c>
      <c r="H643" s="25">
        <f t="shared" si="1"/>
        <v>0.21</v>
      </c>
      <c r="I643" s="30">
        <f>IF('Global Precios'!H644="","",'Global Precios'!H644)</f>
        <v>3540.495868</v>
      </c>
      <c r="J643" s="82">
        <f>IF('Global Precios'!K644="","",'Global Precios'!K644)</f>
        <v>0.8</v>
      </c>
      <c r="K643" s="30">
        <f>IF('Global Precios'!Z644="Desactivado",0,IF('Global Precios'!L644="","",'Global Precios'!L644))</f>
        <v>7700</v>
      </c>
      <c r="L643" s="18"/>
      <c r="M643" s="18"/>
      <c r="N643" s="18"/>
      <c r="O643" s="18"/>
      <c r="P643" s="18"/>
      <c r="Q643" s="18"/>
      <c r="R643" s="18" t="str">
        <f>IF('Global Precios'!F644="","",'Global Precios'!F644)</f>
        <v>Medicamentos</v>
      </c>
      <c r="S643" s="18"/>
      <c r="T643" s="18" t="str">
        <f>IF('Global Precios'!E644="","",'Global Precios'!E644)</f>
        <v>León pharma</v>
      </c>
      <c r="U643" s="18"/>
      <c r="V643" s="18">
        <f t="shared" si="2"/>
        <v>0</v>
      </c>
      <c r="W643" s="18"/>
      <c r="X643" s="18"/>
      <c r="Y643" s="18"/>
      <c r="Z643" s="18"/>
      <c r="AA643" s="18"/>
      <c r="AB643" s="18">
        <f t="shared" si="3"/>
        <v>1</v>
      </c>
      <c r="AC643" s="18">
        <f t="shared" si="4"/>
        <v>1</v>
      </c>
      <c r="AD643" s="18">
        <f t="shared" si="5"/>
        <v>1</v>
      </c>
      <c r="AE643" s="18">
        <f t="shared" si="6"/>
        <v>1</v>
      </c>
    </row>
    <row r="644">
      <c r="A644" s="9">
        <f>IF(E644="","", IF('Global Precios'!B645="",0,'Global Precios'!B645))</f>
        <v>0</v>
      </c>
      <c r="B644" s="14" t="str">
        <f>IF('Global Precios'!B645="","",'Global Precios'!B645)</f>
        <v/>
      </c>
      <c r="C644" s="18" t="str">
        <f>IF('Global Precios'!A645="","",'Global Precios'!A645)</f>
        <v>675</v>
      </c>
      <c r="D644" s="18"/>
      <c r="E644" s="25" t="str">
        <f>IF('Global Precios'!D645="","",'Global Precios'!D645)</f>
        <v>Defender compr. 5 a 10 Kg felinos 3 a 6 kg</v>
      </c>
      <c r="F644" s="18"/>
      <c r="G644" s="25" t="str">
        <f>IFERROR(VLOOKUP(C644,'BuscarV Stock'!$A$2:$C$478,3,0),"AAA")</f>
        <v>AAA</v>
      </c>
      <c r="H644" s="25">
        <f t="shared" si="1"/>
        <v>0.21</v>
      </c>
      <c r="I644" s="30">
        <f>IF('Global Precios'!H645="","",'Global Precios'!H645)</f>
        <v>3961.983471</v>
      </c>
      <c r="J644" s="82">
        <f>IF('Global Precios'!K645="","",'Global Precios'!K645)</f>
        <v>0.8</v>
      </c>
      <c r="K644" s="30">
        <f>IF('Global Precios'!Z645="Desactivado",0,IF('Global Precios'!L645="","",'Global Precios'!L645))</f>
        <v>8600</v>
      </c>
      <c r="L644" s="18"/>
      <c r="M644" s="18"/>
      <c r="N644" s="18"/>
      <c r="O644" s="18"/>
      <c r="P644" s="18"/>
      <c r="Q644" s="18"/>
      <c r="R644" s="18" t="str">
        <f>IF('Global Precios'!F645="","",'Global Precios'!F645)</f>
        <v>Medicamentos</v>
      </c>
      <c r="S644" s="18"/>
      <c r="T644" s="18" t="str">
        <f>IF('Global Precios'!E645="","",'Global Precios'!E645)</f>
        <v>León pharma</v>
      </c>
      <c r="U644" s="18"/>
      <c r="V644" s="18">
        <f t="shared" si="2"/>
        <v>0</v>
      </c>
      <c r="W644" s="18"/>
      <c r="X644" s="18"/>
      <c r="Y644" s="18"/>
      <c r="Z644" s="18"/>
      <c r="AA644" s="18"/>
      <c r="AB644" s="18">
        <f t="shared" si="3"/>
        <v>1</v>
      </c>
      <c r="AC644" s="18">
        <f t="shared" si="4"/>
        <v>1</v>
      </c>
      <c r="AD644" s="18">
        <f t="shared" si="5"/>
        <v>1</v>
      </c>
      <c r="AE644" s="18">
        <f t="shared" si="6"/>
        <v>1</v>
      </c>
    </row>
    <row r="645">
      <c r="A645" s="9">
        <f>IF(E645="","", IF('Global Precios'!B646="",0,'Global Precios'!B646))</f>
        <v>0</v>
      </c>
      <c r="B645" s="14" t="str">
        <f>IF('Global Precios'!B646="","",'Global Precios'!B646)</f>
        <v/>
      </c>
      <c r="C645" s="18" t="str">
        <f>IF('Global Precios'!A646="","",'Global Precios'!A646)</f>
        <v>676</v>
      </c>
      <c r="D645" s="18"/>
      <c r="E645" s="25" t="str">
        <f>IF('Global Precios'!D646="","",'Global Precios'!D646)</f>
        <v>Doxiciclina 100 MG X 10 comprimidos</v>
      </c>
      <c r="F645" s="18"/>
      <c r="G645" s="25" t="str">
        <f>IFERROR(VLOOKUP(C645,'BuscarV Stock'!$A$2:$C$478,3,0),"AAA")</f>
        <v>AAA</v>
      </c>
      <c r="H645" s="25">
        <f t="shared" si="1"/>
        <v>0.21</v>
      </c>
      <c r="I645" s="30">
        <f>IF('Global Precios'!H646="","",'Global Precios'!H646)</f>
        <v>2528.92562</v>
      </c>
      <c r="J645" s="82">
        <f>IF('Global Precios'!K646="","",'Global Precios'!K646)</f>
        <v>1</v>
      </c>
      <c r="K645" s="30">
        <f>IF('Global Precios'!Z646="Desactivado",0,IF('Global Precios'!L646="","",'Global Precios'!L646))</f>
        <v>6100</v>
      </c>
      <c r="L645" s="18"/>
      <c r="M645" s="18"/>
      <c r="N645" s="18"/>
      <c r="O645" s="18"/>
      <c r="P645" s="18"/>
      <c r="Q645" s="18"/>
      <c r="R645" s="18" t="str">
        <f>IF('Global Precios'!F646="","",'Global Precios'!F646)</f>
        <v>Medicamentos</v>
      </c>
      <c r="S645" s="18"/>
      <c r="T645" s="18" t="str">
        <f>IF('Global Precios'!E646="","",'Global Precios'!E646)</f>
        <v/>
      </c>
      <c r="U645" s="18"/>
      <c r="V645" s="18">
        <f t="shared" si="2"/>
        <v>0</v>
      </c>
      <c r="W645" s="18"/>
      <c r="X645" s="18"/>
      <c r="Y645" s="18"/>
      <c r="Z645" s="18"/>
      <c r="AA645" s="18"/>
      <c r="AB645" s="18">
        <f t="shared" si="3"/>
        <v>1</v>
      </c>
      <c r="AC645" s="18">
        <f t="shared" si="4"/>
        <v>1</v>
      </c>
      <c r="AD645" s="18">
        <f t="shared" si="5"/>
        <v>1</v>
      </c>
      <c r="AE645" s="18">
        <f t="shared" si="6"/>
        <v>1</v>
      </c>
    </row>
    <row r="646">
      <c r="A646" s="9">
        <f>IF(E646="","", IF('Global Precios'!B647="",0,'Global Precios'!B647))</f>
        <v>0</v>
      </c>
      <c r="B646" s="14" t="str">
        <f>IF('Global Precios'!B647="","",'Global Precios'!B647)</f>
        <v/>
      </c>
      <c r="C646" s="18" t="str">
        <f>IF('Global Precios'!A647="","",'Global Precios'!A647)</f>
        <v>677</v>
      </c>
      <c r="D646" s="18"/>
      <c r="E646" s="25" t="str">
        <f>IF('Global Precios'!D647="","",'Global Precios'!D647)</f>
        <v>FRONTLINE SPOT-ON PERRO CHICO</v>
      </c>
      <c r="F646" s="18"/>
      <c r="G646" s="25" t="str">
        <f>IFERROR(VLOOKUP(C646,'BuscarV Stock'!$A$2:$C$478,3,0),"AAA")</f>
        <v>AAA</v>
      </c>
      <c r="H646" s="25">
        <f t="shared" si="1"/>
        <v>0.21</v>
      </c>
      <c r="I646" s="30">
        <f>IF('Global Precios'!H647="","",'Global Precios'!H647)</f>
        <v>3719.008264</v>
      </c>
      <c r="J646" s="82">
        <f>IF('Global Precios'!K647="","",'Global Precios'!K647)</f>
        <v>0.8</v>
      </c>
      <c r="K646" s="30">
        <f>IF('Global Precios'!Z647="Desactivado",0,IF('Global Precios'!L647="","",'Global Precios'!L647))</f>
        <v>8100</v>
      </c>
      <c r="L646" s="18"/>
      <c r="M646" s="18"/>
      <c r="N646" s="18"/>
      <c r="O646" s="18"/>
      <c r="P646" s="18"/>
      <c r="Q646" s="18"/>
      <c r="R646" s="18" t="str">
        <f>IF('Global Precios'!F647="","",'Global Precios'!F647)</f>
        <v>Medicamentos</v>
      </c>
      <c r="S646" s="18"/>
      <c r="T646" s="18" t="str">
        <f>IF('Global Precios'!E647="","",'Global Precios'!E647)</f>
        <v>Boehringer pequeños</v>
      </c>
      <c r="U646" s="18"/>
      <c r="V646" s="18">
        <f t="shared" si="2"/>
        <v>0</v>
      </c>
      <c r="W646" s="18"/>
      <c r="X646" s="18"/>
      <c r="Y646" s="18"/>
      <c r="Z646" s="18"/>
      <c r="AA646" s="18"/>
      <c r="AB646" s="18">
        <f t="shared" si="3"/>
        <v>1</v>
      </c>
      <c r="AC646" s="18">
        <f t="shared" si="4"/>
        <v>1</v>
      </c>
      <c r="AD646" s="18">
        <f t="shared" si="5"/>
        <v>1</v>
      </c>
      <c r="AE646" s="18">
        <f t="shared" si="6"/>
        <v>1</v>
      </c>
    </row>
    <row r="647">
      <c r="A647" s="9">
        <f>IF(E647="","", IF('Global Precios'!B648="",0,'Global Precios'!B648))</f>
        <v>0</v>
      </c>
      <c r="B647" s="14" t="str">
        <f>IF('Global Precios'!B648="","",'Global Precios'!B648)</f>
        <v/>
      </c>
      <c r="C647" s="18" t="str">
        <f>IF('Global Precios'!A648="","",'Global Precios'!A648)</f>
        <v>678</v>
      </c>
      <c r="D647" s="18"/>
      <c r="E647" s="25" t="str">
        <f>IF('Global Precios'!D648="","",'Global Precios'!D648)</f>
        <v>FRONTLINE SPOT-ON PERRO GRANDE</v>
      </c>
      <c r="F647" s="18"/>
      <c r="G647" s="25" t="str">
        <f>IFERROR(VLOOKUP(C647,'BuscarV Stock'!$A$2:$C$478,3,0),"AAA")</f>
        <v>AAA</v>
      </c>
      <c r="H647" s="25">
        <f t="shared" si="1"/>
        <v>0.21</v>
      </c>
      <c r="I647" s="30">
        <f>IF('Global Precios'!H648="","",'Global Precios'!H648)</f>
        <v>4462.809917</v>
      </c>
      <c r="J647" s="82">
        <f>IF('Global Precios'!K648="","",'Global Precios'!K648)</f>
        <v>0.8</v>
      </c>
      <c r="K647" s="30">
        <f>IF('Global Precios'!Z648="Desactivado",0,IF('Global Precios'!L648="","",'Global Precios'!L648))</f>
        <v>0</v>
      </c>
      <c r="L647" s="18"/>
      <c r="M647" s="18"/>
      <c r="N647" s="18"/>
      <c r="O647" s="18"/>
      <c r="P647" s="18"/>
      <c r="Q647" s="18"/>
      <c r="R647" s="18" t="str">
        <f>IF('Global Precios'!F648="","",'Global Precios'!F648)</f>
        <v>Medicamentos</v>
      </c>
      <c r="S647" s="18"/>
      <c r="T647" s="18" t="str">
        <f>IF('Global Precios'!E648="","",'Global Precios'!E648)</f>
        <v>Boehringer</v>
      </c>
      <c r="U647" s="18"/>
      <c r="V647" s="18">
        <f t="shared" si="2"/>
        <v>0</v>
      </c>
      <c r="W647" s="18"/>
      <c r="X647" s="18"/>
      <c r="Y647" s="18"/>
      <c r="Z647" s="18"/>
      <c r="AA647" s="18"/>
      <c r="AB647" s="18">
        <f t="shared" si="3"/>
        <v>1</v>
      </c>
      <c r="AC647" s="18">
        <f t="shared" si="4"/>
        <v>1</v>
      </c>
      <c r="AD647" s="18">
        <f t="shared" si="5"/>
        <v>1</v>
      </c>
      <c r="AE647" s="18">
        <f t="shared" si="6"/>
        <v>1</v>
      </c>
    </row>
    <row r="648">
      <c r="A648" s="9">
        <f>IF(E648="","", IF('Global Precios'!B649="",0,'Global Precios'!B649))</f>
        <v>0</v>
      </c>
      <c r="B648" s="14" t="str">
        <f>IF('Global Precios'!B649="","",'Global Precios'!B649)</f>
        <v/>
      </c>
      <c r="C648" s="18" t="str">
        <f>IF('Global Precios'!A649="","",'Global Precios'!A649)</f>
        <v>679</v>
      </c>
      <c r="D648" s="18"/>
      <c r="E648" s="25" t="str">
        <f>IF('Global Precios'!D649="","",'Global Precios'!D649)</f>
        <v>CARDIOVIER 2,5 MG X 10 COMP.</v>
      </c>
      <c r="F648" s="18"/>
      <c r="G648" s="25" t="str">
        <f>IFERROR(VLOOKUP(C648,'BuscarV Stock'!$A$2:$C$478,3,0),"AAA")</f>
        <v>AAA</v>
      </c>
      <c r="H648" s="25">
        <f t="shared" si="1"/>
        <v>0.21</v>
      </c>
      <c r="I648" s="30">
        <f>IF('Global Precios'!H649="","",'Global Precios'!H649)</f>
        <v>2919.834711</v>
      </c>
      <c r="J648" s="82">
        <f>IF('Global Precios'!K649="","",'Global Precios'!K649)</f>
        <v>0.7</v>
      </c>
      <c r="K648" s="30">
        <f>IF('Global Precios'!Z649="Desactivado",0,IF('Global Precios'!L649="","",'Global Precios'!L649))</f>
        <v>6000</v>
      </c>
      <c r="L648" s="18"/>
      <c r="M648" s="18"/>
      <c r="N648" s="18"/>
      <c r="O648" s="18"/>
      <c r="P648" s="18"/>
      <c r="Q648" s="18"/>
      <c r="R648" s="18" t="str">
        <f>IF('Global Precios'!F649="","",'Global Precios'!F649)</f>
        <v>Medicamentos</v>
      </c>
      <c r="S648" s="18"/>
      <c r="T648" s="18" t="str">
        <f>IF('Global Precios'!E649="","",'Global Precios'!E649)</f>
        <v>Janvier</v>
      </c>
      <c r="U648" s="18"/>
      <c r="V648" s="18">
        <f t="shared" si="2"/>
        <v>0</v>
      </c>
      <c r="W648" s="18"/>
      <c r="X648" s="18"/>
      <c r="Y648" s="18"/>
      <c r="Z648" s="18"/>
      <c r="AA648" s="18"/>
      <c r="AB648" s="18">
        <f t="shared" si="3"/>
        <v>1</v>
      </c>
      <c r="AC648" s="18">
        <f t="shared" si="4"/>
        <v>1</v>
      </c>
      <c r="AD648" s="18">
        <f t="shared" si="5"/>
        <v>1</v>
      </c>
      <c r="AE648" s="18">
        <f t="shared" si="6"/>
        <v>1</v>
      </c>
    </row>
    <row r="649">
      <c r="A649" s="9">
        <f>IF(E649="","", IF('Global Precios'!B650="",0,'Global Precios'!B650))</f>
        <v>0</v>
      </c>
      <c r="B649" s="14" t="str">
        <f>IF('Global Precios'!B650="","",'Global Precios'!B650)</f>
        <v/>
      </c>
      <c r="C649" s="18" t="str">
        <f>IF('Global Precios'!A650="","",'Global Precios'!A650)</f>
        <v>680</v>
      </c>
      <c r="D649" s="18"/>
      <c r="E649" s="25" t="str">
        <f>IF('Global Precios'!D650="","",'Global Precios'!D650)</f>
        <v>OCLADERM 16 MG X 20 COMPRIMIDOS</v>
      </c>
      <c r="F649" s="18"/>
      <c r="G649" s="25" t="str">
        <f>IFERROR(VLOOKUP(C649,'BuscarV Stock'!$A$2:$C$478,3,0),"AAA")</f>
        <v>AAA</v>
      </c>
      <c r="H649" s="25">
        <f t="shared" si="1"/>
        <v>0.21</v>
      </c>
      <c r="I649" s="30">
        <f>IF('Global Precios'!H650="","",'Global Precios'!H650)</f>
        <v>11900.82645</v>
      </c>
      <c r="J649" s="82">
        <f>IF('Global Precios'!K650="","",'Global Precios'!K650)</f>
        <v>0.7</v>
      </c>
      <c r="K649" s="30">
        <f>IF('Global Precios'!Z650="Desactivado",0,IF('Global Precios'!L650="","",'Global Precios'!L650))</f>
        <v>24500</v>
      </c>
      <c r="L649" s="18"/>
      <c r="M649" s="18"/>
      <c r="N649" s="18"/>
      <c r="O649" s="18"/>
      <c r="P649" s="18"/>
      <c r="Q649" s="18"/>
      <c r="R649" s="18" t="str">
        <f>IF('Global Precios'!F650="","",'Global Precios'!F650)</f>
        <v>Medicamentos</v>
      </c>
      <c r="S649" s="18"/>
      <c r="T649" s="18" t="str">
        <f>IF('Global Precios'!E650="","",'Global Precios'!E650)</f>
        <v>Brouwer</v>
      </c>
      <c r="U649" s="18"/>
      <c r="V649" s="18">
        <f t="shared" si="2"/>
        <v>0</v>
      </c>
      <c r="W649" s="18"/>
      <c r="X649" s="18"/>
      <c r="Y649" s="18"/>
      <c r="Z649" s="18"/>
      <c r="AA649" s="18"/>
      <c r="AB649" s="18">
        <f t="shared" si="3"/>
        <v>1</v>
      </c>
      <c r="AC649" s="18">
        <f t="shared" si="4"/>
        <v>1</v>
      </c>
      <c r="AD649" s="18">
        <f t="shared" si="5"/>
        <v>1</v>
      </c>
      <c r="AE649" s="18">
        <f t="shared" si="6"/>
        <v>1</v>
      </c>
    </row>
    <row r="650">
      <c r="A650" s="9">
        <f>IF(E650="","", IF('Global Precios'!B651="",0,'Global Precios'!B651))</f>
        <v>0</v>
      </c>
      <c r="B650" s="14" t="str">
        <f>IF('Global Precios'!B651="","",'Global Precios'!B651)</f>
        <v/>
      </c>
      <c r="C650" s="18" t="str">
        <f>IF('Global Precios'!A651="","",'Global Precios'!A651)</f>
        <v>681</v>
      </c>
      <c r="D650" s="18"/>
      <c r="E650" s="25" t="str">
        <f>IF('Global Precios'!D651="","",'Global Precios'!D651)</f>
        <v>DERMOSEDAN CHAMPU CLORHEXIDINA X 200 G</v>
      </c>
      <c r="F650" s="18"/>
      <c r="G650" s="25" t="str">
        <f>IFERROR(VLOOKUP(C650,'BuscarV Stock'!$A$2:$C$478,3,0),"AAA")</f>
        <v>AAA</v>
      </c>
      <c r="H650" s="25">
        <f t="shared" si="1"/>
        <v>0.21</v>
      </c>
      <c r="I650" s="30">
        <f>IF('Global Precios'!H651="","",'Global Precios'!H651)</f>
        <v>4033.884298</v>
      </c>
      <c r="J650" s="82">
        <f>IF('Global Precios'!K651="","",'Global Precios'!K651)</f>
        <v>0.8</v>
      </c>
      <c r="K650" s="30">
        <f>IF('Global Precios'!Z651="Desactivado",0,IF('Global Precios'!L651="","",'Global Precios'!L651))</f>
        <v>8800</v>
      </c>
      <c r="L650" s="18"/>
      <c r="M650" s="18"/>
      <c r="N650" s="18"/>
      <c r="O650" s="18"/>
      <c r="P650" s="18"/>
      <c r="Q650" s="18"/>
      <c r="R650" s="18" t="str">
        <f>IF('Global Precios'!F651="","",'Global Precios'!F651)</f>
        <v>Medicamentos</v>
      </c>
      <c r="S650" s="18"/>
      <c r="T650" s="18" t="str">
        <f>IF('Global Precios'!E651="","",'Global Precios'!E651)</f>
        <v>Dermosedan</v>
      </c>
      <c r="U650" s="18"/>
      <c r="V650" s="18">
        <f t="shared" si="2"/>
        <v>0</v>
      </c>
      <c r="W650" s="18"/>
      <c r="X650" s="18"/>
      <c r="Y650" s="18"/>
      <c r="Z650" s="18"/>
      <c r="AA650" s="18"/>
      <c r="AB650" s="18">
        <f t="shared" si="3"/>
        <v>1</v>
      </c>
      <c r="AC650" s="18">
        <f t="shared" si="4"/>
        <v>1</v>
      </c>
      <c r="AD650" s="18">
        <f t="shared" si="5"/>
        <v>1</v>
      </c>
      <c r="AE650" s="18">
        <f t="shared" si="6"/>
        <v>1</v>
      </c>
    </row>
    <row r="651">
      <c r="A651" s="9">
        <f>IF(E651="","", IF('Global Precios'!B652="",0,'Global Precios'!B652))</f>
        <v>0</v>
      </c>
      <c r="B651" s="14" t="str">
        <f>IF('Global Precios'!B652="","",'Global Precios'!B652)</f>
        <v/>
      </c>
      <c r="C651" s="18" t="str">
        <f>IF('Global Precios'!A652="","",'Global Precios'!A652)</f>
        <v>682</v>
      </c>
      <c r="D651" s="18"/>
      <c r="E651" s="25" t="str">
        <f>IF('Global Precios'!D652="","",'Global Precios'!D652)</f>
        <v>SHAMPOO MOKSHA ANALERGENICO CACHORROS</v>
      </c>
      <c r="F651" s="18"/>
      <c r="G651" s="25" t="str">
        <f>IFERROR(VLOOKUP(C651,'BuscarV Stock'!$A$2:$C$478,3,0),"AAA")</f>
        <v>AAA</v>
      </c>
      <c r="H651" s="25">
        <f t="shared" si="1"/>
        <v>0.21</v>
      </c>
      <c r="I651" s="30">
        <f>IF('Global Precios'!H652="","",'Global Precios'!H652)</f>
        <v>4467.768595</v>
      </c>
      <c r="J651" s="82">
        <f>IF('Global Precios'!K652="","",'Global Precios'!K652)</f>
        <v>1</v>
      </c>
      <c r="K651" s="30">
        <f>IF('Global Precios'!Z652="Desactivado",0,IF('Global Precios'!L652="","",'Global Precios'!L652))</f>
        <v>10800</v>
      </c>
      <c r="L651" s="18"/>
      <c r="M651" s="18"/>
      <c r="N651" s="18"/>
      <c r="O651" s="18"/>
      <c r="P651" s="18"/>
      <c r="Q651" s="18"/>
      <c r="R651" s="18" t="str">
        <f>IF('Global Precios'!F652="","",'Global Precios'!F652)</f>
        <v>Medicamentos</v>
      </c>
      <c r="S651" s="18"/>
      <c r="T651" s="18" t="str">
        <f>IF('Global Precios'!E652="","",'Global Precios'!E652)</f>
        <v>Moksha</v>
      </c>
      <c r="U651" s="18"/>
      <c r="V651" s="18">
        <f t="shared" si="2"/>
        <v>0</v>
      </c>
      <c r="W651" s="18"/>
      <c r="X651" s="18"/>
      <c r="Y651" s="18"/>
      <c r="Z651" s="18"/>
      <c r="AA651" s="18"/>
      <c r="AB651" s="18">
        <f t="shared" si="3"/>
        <v>1</v>
      </c>
      <c r="AC651" s="18">
        <f t="shared" si="4"/>
        <v>1</v>
      </c>
      <c r="AD651" s="18">
        <f t="shared" si="5"/>
        <v>1</v>
      </c>
      <c r="AE651" s="18">
        <f t="shared" si="6"/>
        <v>1</v>
      </c>
    </row>
    <row r="652">
      <c r="A652" s="9">
        <f>IF(E652="","", IF('Global Precios'!B653="",0,'Global Precios'!B653))</f>
        <v>0</v>
      </c>
      <c r="B652" s="14" t="str">
        <f>IF('Global Precios'!B653="","",'Global Precios'!B653)</f>
        <v/>
      </c>
      <c r="C652" s="18" t="str">
        <f>IF('Global Precios'!A653="","",'Global Precios'!A653)</f>
        <v>684</v>
      </c>
      <c r="D652" s="18"/>
      <c r="E652" s="25" t="str">
        <f>IF('Global Precios'!D653="","",'Global Precios'!D653)</f>
        <v>POWER GOLD 1 MES 4,6 A 10 KG</v>
      </c>
      <c r="F652" s="18"/>
      <c r="G652" s="25" t="str">
        <f>IFERROR(VLOOKUP(C652,'BuscarV Stock'!$A$2:$C$478,3,0),"AAA")</f>
        <v>AAA</v>
      </c>
      <c r="H652" s="25">
        <f t="shared" si="1"/>
        <v>0.21</v>
      </c>
      <c r="I652" s="30">
        <f>IF('Global Precios'!H653="","",'Global Precios'!H653)</f>
        <v>7418.181818</v>
      </c>
      <c r="J652" s="82">
        <f>IF('Global Precios'!K653="","",'Global Precios'!K653)</f>
        <v>0.8</v>
      </c>
      <c r="K652" s="30">
        <f>IF('Global Precios'!Z653="Desactivado",0,IF('Global Precios'!L653="","",'Global Precios'!L653))</f>
        <v>16200</v>
      </c>
      <c r="L652" s="18"/>
      <c r="M652" s="18"/>
      <c r="N652" s="18"/>
      <c r="O652" s="18"/>
      <c r="P652" s="18"/>
      <c r="Q652" s="18"/>
      <c r="R652" s="18" t="str">
        <f>IF('Global Precios'!F653="","",'Global Precios'!F653)</f>
        <v>Medicamentos</v>
      </c>
      <c r="S652" s="18"/>
      <c r="T652" s="18" t="str">
        <f>IF('Global Precios'!E653="","",'Global Precios'!E653)</f>
        <v>Brouwer</v>
      </c>
      <c r="U652" s="18"/>
      <c r="V652" s="18">
        <f t="shared" si="2"/>
        <v>0</v>
      </c>
      <c r="W652" s="18"/>
      <c r="X652" s="18"/>
      <c r="Y652" s="18"/>
      <c r="Z652" s="18"/>
      <c r="AA652" s="18"/>
      <c r="AB652" s="18">
        <f t="shared" si="3"/>
        <v>1</v>
      </c>
      <c r="AC652" s="18">
        <f t="shared" si="4"/>
        <v>1</v>
      </c>
      <c r="AD652" s="18">
        <f t="shared" si="5"/>
        <v>1</v>
      </c>
      <c r="AE652" s="18">
        <f t="shared" si="6"/>
        <v>1</v>
      </c>
    </row>
    <row r="653">
      <c r="A653" s="9">
        <f>IF(E653="","", IF('Global Precios'!B654="",0,'Global Precios'!B654))</f>
        <v>0</v>
      </c>
      <c r="B653" s="14" t="str">
        <f>IF('Global Precios'!B654="","",'Global Precios'!B654)</f>
        <v/>
      </c>
      <c r="C653" s="18" t="str">
        <f>IF('Global Precios'!A654="","",'Global Precios'!A654)</f>
        <v>685</v>
      </c>
      <c r="D653" s="18"/>
      <c r="E653" s="25" t="str">
        <f>IF('Global Precios'!D654="","",'Global Precios'!D654)</f>
        <v>POWER GOLD 1 MES DE 10,1 A 20 KG</v>
      </c>
      <c r="F653" s="18"/>
      <c r="G653" s="25" t="str">
        <f>IFERROR(VLOOKUP(C653,'BuscarV Stock'!$A$2:$C$478,3,0),"AAA")</f>
        <v>AAA</v>
      </c>
      <c r="H653" s="25">
        <f t="shared" si="1"/>
        <v>0.21</v>
      </c>
      <c r="I653" s="30">
        <f>IF('Global Precios'!H654="","",'Global Precios'!H654)</f>
        <v>9525.619835</v>
      </c>
      <c r="J653" s="82">
        <f>IF('Global Precios'!K654="","",'Global Precios'!K654)</f>
        <v>0.8</v>
      </c>
      <c r="K653" s="30">
        <f>IF('Global Precios'!Z654="Desactivado",0,IF('Global Precios'!L654="","",'Global Precios'!L654))</f>
        <v>20700</v>
      </c>
      <c r="L653" s="18"/>
      <c r="M653" s="18"/>
      <c r="N653" s="18"/>
      <c r="O653" s="18"/>
      <c r="P653" s="18"/>
      <c r="Q653" s="18"/>
      <c r="R653" s="18" t="str">
        <f>IF('Global Precios'!F654="","",'Global Precios'!F654)</f>
        <v>Medicamentos</v>
      </c>
      <c r="S653" s="18"/>
      <c r="T653" s="18" t="str">
        <f>IF('Global Precios'!E654="","",'Global Precios'!E654)</f>
        <v>Brouwer</v>
      </c>
      <c r="U653" s="18"/>
      <c r="V653" s="18">
        <f t="shared" si="2"/>
        <v>0</v>
      </c>
      <c r="W653" s="18"/>
      <c r="X653" s="18"/>
      <c r="Y653" s="18"/>
      <c r="Z653" s="18"/>
      <c r="AA653" s="18"/>
      <c r="AB653" s="18">
        <f t="shared" si="3"/>
        <v>1</v>
      </c>
      <c r="AC653" s="18">
        <f t="shared" si="4"/>
        <v>1</v>
      </c>
      <c r="AD653" s="18">
        <f t="shared" si="5"/>
        <v>1</v>
      </c>
      <c r="AE653" s="18">
        <f t="shared" si="6"/>
        <v>1</v>
      </c>
    </row>
    <row r="654">
      <c r="A654" s="9">
        <f>IF(E654="","", IF('Global Precios'!B655="",0,'Global Precios'!B655))</f>
        <v>0</v>
      </c>
      <c r="B654" s="14" t="str">
        <f>IF('Global Precios'!B655="","",'Global Precios'!B655)</f>
        <v/>
      </c>
      <c r="C654" s="18" t="str">
        <f>IF('Global Precios'!A655="","",'Global Precios'!A655)</f>
        <v>686</v>
      </c>
      <c r="D654" s="18"/>
      <c r="E654" s="25" t="str">
        <f>IF('Global Precios'!D655="","",'Global Precios'!D655)</f>
        <v>POWER GOLD 1 MES DE 20,1 A 40 KG</v>
      </c>
      <c r="F654" s="18"/>
      <c r="G654" s="25" t="str">
        <f>IFERROR(VLOOKUP(C654,'BuscarV Stock'!$A$2:$C$478,3,0),"AAA")</f>
        <v>AAA</v>
      </c>
      <c r="H654" s="25">
        <f t="shared" si="1"/>
        <v>0.21</v>
      </c>
      <c r="I654" s="30">
        <f>IF('Global Precios'!H655="","",'Global Precios'!H655)</f>
        <v>10958.67769</v>
      </c>
      <c r="J654" s="82">
        <f>IF('Global Precios'!K655="","",'Global Precios'!K655)</f>
        <v>0.8</v>
      </c>
      <c r="K654" s="30">
        <f>IF('Global Precios'!Z655="Desactivado",0,IF('Global Precios'!L655="","",'Global Precios'!L655))</f>
        <v>23900</v>
      </c>
      <c r="L654" s="18"/>
      <c r="M654" s="18"/>
      <c r="N654" s="18"/>
      <c r="O654" s="18"/>
      <c r="P654" s="18"/>
      <c r="Q654" s="18"/>
      <c r="R654" s="18" t="str">
        <f>IF('Global Precios'!F655="","",'Global Precios'!F655)</f>
        <v>Medicamentos</v>
      </c>
      <c r="S654" s="18"/>
      <c r="T654" s="18" t="str">
        <f>IF('Global Precios'!E655="","",'Global Precios'!E655)</f>
        <v>Brouwer</v>
      </c>
      <c r="U654" s="18"/>
      <c r="V654" s="18">
        <f t="shared" si="2"/>
        <v>0</v>
      </c>
      <c r="W654" s="18"/>
      <c r="X654" s="18"/>
      <c r="Y654" s="18"/>
      <c r="Z654" s="18"/>
      <c r="AA654" s="18"/>
      <c r="AB654" s="18">
        <f t="shared" si="3"/>
        <v>1</v>
      </c>
      <c r="AC654" s="18">
        <f t="shared" si="4"/>
        <v>1</v>
      </c>
      <c r="AD654" s="18">
        <f t="shared" si="5"/>
        <v>1</v>
      </c>
      <c r="AE654" s="18">
        <f t="shared" si="6"/>
        <v>1</v>
      </c>
    </row>
    <row r="655">
      <c r="A655" s="9">
        <f>IF(E655="","", IF('Global Precios'!B656="",0,'Global Precios'!B656))</f>
        <v>0</v>
      </c>
      <c r="B655" s="14" t="str">
        <f>IF('Global Precios'!B656="","",'Global Precios'!B656)</f>
        <v/>
      </c>
      <c r="C655" s="18" t="str">
        <f>IF('Global Precios'!A656="","",'Global Precios'!A656)</f>
        <v>687</v>
      </c>
      <c r="D655" s="18"/>
      <c r="E655" s="25" t="str">
        <f>IF('Global Precios'!D656="","",'Global Precios'!D656)</f>
        <v>PONCHO TALLE 9</v>
      </c>
      <c r="F655" s="18"/>
      <c r="G655" s="25" t="str">
        <f>IFERROR(VLOOKUP(C655,'BuscarV Stock'!$A$2:$C$478,3,0),"AAA")</f>
        <v>AAA</v>
      </c>
      <c r="H655" s="25">
        <f t="shared" si="1"/>
        <v>0.21</v>
      </c>
      <c r="I655" s="30">
        <f>IF('Global Precios'!H656="","",'Global Precios'!H656)</f>
        <v>3364.46281</v>
      </c>
      <c r="J655" s="82">
        <f>IF('Global Precios'!K656="","",'Global Precios'!K656)</f>
        <v>0.8</v>
      </c>
      <c r="K655" s="30">
        <f>IF('Global Precios'!Z656="Desactivado",0,IF('Global Precios'!L656="","",'Global Precios'!L656))</f>
        <v>7300</v>
      </c>
      <c r="L655" s="18"/>
      <c r="M655" s="18"/>
      <c r="N655" s="18"/>
      <c r="O655" s="18"/>
      <c r="P655" s="18"/>
      <c r="Q655" s="18"/>
      <c r="R655" s="18" t="str">
        <f>IF('Global Precios'!F656="","",'Global Precios'!F656)</f>
        <v>Pet-shop</v>
      </c>
      <c r="S655" s="18"/>
      <c r="T655" s="18" t="str">
        <f>IF('Global Precios'!E656="","",'Global Precios'!E656)</f>
        <v/>
      </c>
      <c r="U655" s="18"/>
      <c r="V655" s="18">
        <f t="shared" si="2"/>
        <v>0</v>
      </c>
      <c r="W655" s="18"/>
      <c r="X655" s="18"/>
      <c r="Y655" s="18"/>
      <c r="Z655" s="18"/>
      <c r="AA655" s="18"/>
      <c r="AB655" s="18">
        <f t="shared" si="3"/>
        <v>1</v>
      </c>
      <c r="AC655" s="18">
        <f t="shared" si="4"/>
        <v>1</v>
      </c>
      <c r="AD655" s="18">
        <f t="shared" si="5"/>
        <v>1</v>
      </c>
      <c r="AE655" s="18">
        <f t="shared" si="6"/>
        <v>1</v>
      </c>
    </row>
    <row r="656">
      <c r="A656" s="9">
        <f>IF(E656="","", IF('Global Precios'!B657="",0,'Global Precios'!B657))</f>
        <v>0</v>
      </c>
      <c r="B656" s="14" t="str">
        <f>IF('Global Precios'!B657="","",'Global Precios'!B657)</f>
        <v/>
      </c>
      <c r="C656" s="18" t="str">
        <f>IF('Global Precios'!A657="","",'Global Precios'!A657)</f>
        <v>688</v>
      </c>
      <c r="D656" s="18"/>
      <c r="E656" s="25" t="str">
        <f>IF('Global Precios'!D657="","",'Global Precios'!D657)</f>
        <v>PONCHO TALLE 10</v>
      </c>
      <c r="F656" s="18"/>
      <c r="G656" s="25" t="str">
        <f>IFERROR(VLOOKUP(C656,'BuscarV Stock'!$A$2:$C$478,3,0),"AAA")</f>
        <v>AAA</v>
      </c>
      <c r="H656" s="25">
        <f t="shared" si="1"/>
        <v>0.21</v>
      </c>
      <c r="I656" s="30">
        <f>IF('Global Precios'!H657="","",'Global Precios'!H657)</f>
        <v>3540.495868</v>
      </c>
      <c r="J656" s="82">
        <f>IF('Global Precios'!K657="","",'Global Precios'!K657)</f>
        <v>0.8</v>
      </c>
      <c r="K656" s="30">
        <f>IF('Global Precios'!Z657="Desactivado",0,IF('Global Precios'!L657="","",'Global Precios'!L657))</f>
        <v>7700</v>
      </c>
      <c r="L656" s="18"/>
      <c r="M656" s="18"/>
      <c r="N656" s="18"/>
      <c r="O656" s="18"/>
      <c r="P656" s="18"/>
      <c r="Q656" s="18"/>
      <c r="R656" s="18" t="str">
        <f>IF('Global Precios'!F657="","",'Global Precios'!F657)</f>
        <v>Pet-shop</v>
      </c>
      <c r="S656" s="18"/>
      <c r="T656" s="18" t="str">
        <f>IF('Global Precios'!E657="","",'Global Precios'!E657)</f>
        <v/>
      </c>
      <c r="U656" s="18"/>
      <c r="V656" s="18">
        <f t="shared" si="2"/>
        <v>0</v>
      </c>
      <c r="W656" s="18"/>
      <c r="X656" s="18"/>
      <c r="Y656" s="18"/>
      <c r="Z656" s="18"/>
      <c r="AA656" s="18"/>
      <c r="AB656" s="18">
        <f t="shared" si="3"/>
        <v>1</v>
      </c>
      <c r="AC656" s="18">
        <f t="shared" si="4"/>
        <v>1</v>
      </c>
      <c r="AD656" s="18">
        <f t="shared" si="5"/>
        <v>1</v>
      </c>
      <c r="AE656" s="18">
        <f t="shared" si="6"/>
        <v>1</v>
      </c>
    </row>
    <row r="657">
      <c r="A657" s="9">
        <f>IF(E657="","", IF('Global Precios'!B658="",0,'Global Precios'!B658))</f>
        <v>0</v>
      </c>
      <c r="B657" s="14" t="str">
        <f>IF('Global Precios'!B658="","",'Global Precios'!B658)</f>
        <v/>
      </c>
      <c r="C657" s="18" t="str">
        <f>IF('Global Precios'!A658="","",'Global Precios'!A658)</f>
        <v>689</v>
      </c>
      <c r="D657" s="18"/>
      <c r="E657" s="25" t="str">
        <f>IF('Global Precios'!D658="","",'Global Precios'!D658)</f>
        <v>PONCHO TALLE 11</v>
      </c>
      <c r="F657" s="18"/>
      <c r="G657" s="25" t="str">
        <f>IFERROR(VLOOKUP(C657,'BuscarV Stock'!$A$2:$C$478,3,0),"AAA")</f>
        <v>AAA</v>
      </c>
      <c r="H657" s="25">
        <f t="shared" si="1"/>
        <v>0.21</v>
      </c>
      <c r="I657" s="30">
        <f>IF('Global Precios'!H658="","",'Global Precios'!H658)</f>
        <v>3806.61157</v>
      </c>
      <c r="J657" s="82">
        <f>IF('Global Precios'!K658="","",'Global Precios'!K658)</f>
        <v>0.8</v>
      </c>
      <c r="K657" s="30">
        <f>IF('Global Precios'!Z658="Desactivado",0,IF('Global Precios'!L658="","",'Global Precios'!L658))</f>
        <v>8300</v>
      </c>
      <c r="L657" s="18"/>
      <c r="M657" s="18"/>
      <c r="N657" s="18"/>
      <c r="O657" s="18"/>
      <c r="P657" s="18"/>
      <c r="Q657" s="18"/>
      <c r="R657" s="18" t="str">
        <f>IF('Global Precios'!F658="","",'Global Precios'!F658)</f>
        <v>Pet-shop</v>
      </c>
      <c r="S657" s="18"/>
      <c r="T657" s="18" t="str">
        <f>IF('Global Precios'!E658="","",'Global Precios'!E658)</f>
        <v/>
      </c>
      <c r="U657" s="18"/>
      <c r="V657" s="18">
        <f t="shared" si="2"/>
        <v>0</v>
      </c>
      <c r="W657" s="18"/>
      <c r="X657" s="18"/>
      <c r="Y657" s="18"/>
      <c r="Z657" s="18"/>
      <c r="AA657" s="18"/>
      <c r="AB657" s="18">
        <f t="shared" si="3"/>
        <v>1</v>
      </c>
      <c r="AC657" s="18">
        <f t="shared" si="4"/>
        <v>1</v>
      </c>
      <c r="AD657" s="18">
        <f t="shared" si="5"/>
        <v>1</v>
      </c>
      <c r="AE657" s="18">
        <f t="shared" si="6"/>
        <v>1</v>
      </c>
    </row>
    <row r="658">
      <c r="A658" s="9">
        <f>IF(E658="","", IF('Global Precios'!B659="",0,'Global Precios'!B659))</f>
        <v>0</v>
      </c>
      <c r="B658" s="14" t="str">
        <f>IF('Global Precios'!B659="","",'Global Precios'!B659)</f>
        <v/>
      </c>
      <c r="C658" s="18" t="str">
        <f>IF('Global Precios'!A659="","",'Global Precios'!A659)</f>
        <v>692</v>
      </c>
      <c r="D658" s="18"/>
      <c r="E658" s="25" t="str">
        <f>IF('Global Precios'!D659="","",'Global Precios'!D659)</f>
        <v>FLEE pulguicida y acaricida Aerosol</v>
      </c>
      <c r="F658" s="18"/>
      <c r="G658" s="25" t="str">
        <f>IFERROR(VLOOKUP(C658,'BuscarV Stock'!$A$2:$C$478,3,0),"AAA")</f>
        <v>AAA</v>
      </c>
      <c r="H658" s="25">
        <f t="shared" si="1"/>
        <v>0.21</v>
      </c>
      <c r="I658" s="30">
        <f>IF('Global Precios'!H659="","",'Global Precios'!H659)</f>
        <v>7851.239669</v>
      </c>
      <c r="J658" s="18" t="str">
        <f>IF('Global Precios'!K659="","",'Global Precios'!K659)</f>
        <v/>
      </c>
      <c r="K658" s="30">
        <f>IF('Global Precios'!Z659="Desactivado",0,IF('Global Precios'!L659="","",'Global Precios'!L659))</f>
        <v>9500</v>
      </c>
      <c r="L658" s="18"/>
      <c r="M658" s="18"/>
      <c r="N658" s="18"/>
      <c r="O658" s="18"/>
      <c r="P658" s="18"/>
      <c r="Q658" s="18"/>
      <c r="R658" s="18" t="str">
        <f>IF(#REF!="","",#REF!)</f>
        <v>#REF!</v>
      </c>
      <c r="S658" s="18"/>
      <c r="T658" s="18" t="str">
        <f>IF(#REF!="","",#REF!)</f>
        <v>#REF!</v>
      </c>
      <c r="U658" s="18"/>
      <c r="V658" s="18">
        <f t="shared" si="2"/>
        <v>0</v>
      </c>
      <c r="W658" s="18"/>
      <c r="X658" s="18"/>
      <c r="Y658" s="18"/>
      <c r="Z658" s="18"/>
      <c r="AA658" s="18"/>
      <c r="AB658" s="18">
        <f t="shared" si="3"/>
        <v>1</v>
      </c>
      <c r="AC658" s="18">
        <f t="shared" si="4"/>
        <v>1</v>
      </c>
      <c r="AD658" s="18">
        <f t="shared" si="5"/>
        <v>1</v>
      </c>
      <c r="AE658" s="18">
        <f t="shared" si="6"/>
        <v>1</v>
      </c>
    </row>
    <row r="659">
      <c r="A659" s="9">
        <f>IF(E659="","", IF('Global Precios'!B660="",0,'Global Precios'!B660))</f>
        <v>0</v>
      </c>
      <c r="B659" s="14" t="str">
        <f>IF('Global Precios'!B660="","",'Global Precios'!B660)</f>
        <v/>
      </c>
      <c r="C659" s="18" t="str">
        <f>IF('Global Precios'!A660="","",'Global Precios'!A660)</f>
        <v>693</v>
      </c>
      <c r="D659" s="18"/>
      <c r="E659" s="25" t="str">
        <f>IF('Global Precios'!D660="","",'Global Precios'!D660)</f>
        <v>RESVITAL OMEGA ANTIOXIDANTE X 120 ML</v>
      </c>
      <c r="F659" s="18"/>
      <c r="G659" s="25" t="str">
        <f>IFERROR(VLOOKUP(C659,'BuscarV Stock'!$A$2:$C$478,3,0),"AAA")</f>
        <v>AAA</v>
      </c>
      <c r="H659" s="25">
        <f t="shared" si="1"/>
        <v>0.21</v>
      </c>
      <c r="I659" s="30">
        <f>IF('Global Precios'!H660="","",'Global Precios'!H660)</f>
        <v>12396.69421</v>
      </c>
      <c r="J659" s="18" t="str">
        <f>IF('Global Precios'!K660="","",'Global Precios'!K660)</f>
        <v/>
      </c>
      <c r="K659" s="30">
        <f>IF('Global Precios'!Z660="Desactivado",0,IF('Global Precios'!L660="","",'Global Precios'!L660))</f>
        <v>15000</v>
      </c>
      <c r="L659" s="18"/>
      <c r="M659" s="18"/>
      <c r="N659" s="18"/>
      <c r="O659" s="18"/>
      <c r="P659" s="18"/>
      <c r="Q659" s="18"/>
      <c r="R659" s="18" t="str">
        <f>IF('Global Precios'!F659="","",'Global Precios'!F659)</f>
        <v>Medicamentos</v>
      </c>
      <c r="S659" s="18"/>
      <c r="T659" s="18" t="str">
        <f>IF('Global Precios'!E659="","",'Global Precios'!E659)</f>
        <v>Ruminal</v>
      </c>
      <c r="U659" s="18"/>
      <c r="V659" s="18">
        <f t="shared" si="2"/>
        <v>0</v>
      </c>
      <c r="W659" s="18"/>
      <c r="X659" s="18"/>
      <c r="Y659" s="18"/>
      <c r="Z659" s="18"/>
      <c r="AA659" s="18"/>
      <c r="AB659" s="18">
        <f t="shared" si="3"/>
        <v>1</v>
      </c>
      <c r="AC659" s="18">
        <f t="shared" si="4"/>
        <v>1</v>
      </c>
      <c r="AD659" s="18">
        <f t="shared" si="5"/>
        <v>1</v>
      </c>
      <c r="AE659" s="18">
        <f t="shared" si="6"/>
        <v>1</v>
      </c>
    </row>
    <row r="660">
      <c r="A660" s="9">
        <f>IF(E660="","", IF('Global Precios'!B661="",0,'Global Precios'!B661))</f>
        <v>0</v>
      </c>
      <c r="B660" s="14" t="str">
        <f>IF('Global Precios'!B661="","",'Global Precios'!B661)</f>
        <v/>
      </c>
      <c r="C660" s="18" t="str">
        <f>IF('Global Precios'!A661="","",'Global Precios'!A661)</f>
        <v>694</v>
      </c>
      <c r="D660" s="18"/>
      <c r="E660" s="25" t="str">
        <f>IF('Global Precios'!D661="","",'Global Precios'!D661)</f>
        <v>PREGALBECH ORAL X 30 ML</v>
      </c>
      <c r="F660" s="18"/>
      <c r="G660" s="25" t="str">
        <f>IFERROR(VLOOKUP(C660,'BuscarV Stock'!$A$2:$C$478,3,0),"AAA")</f>
        <v>AAA</v>
      </c>
      <c r="H660" s="25">
        <f t="shared" si="1"/>
        <v>0.21</v>
      </c>
      <c r="I660" s="30">
        <f>IF('Global Precios'!H661="","",'Global Precios'!H661)</f>
        <v>14049.58678</v>
      </c>
      <c r="J660" s="18" t="str">
        <f>IF('Global Precios'!K661="","",'Global Precios'!K661)</f>
        <v/>
      </c>
      <c r="K660" s="30">
        <f>IF('Global Precios'!Z661="Desactivado",0,IF('Global Precios'!L661="","",'Global Precios'!L661))</f>
        <v>0</v>
      </c>
      <c r="L660" s="18"/>
      <c r="M660" s="18"/>
      <c r="N660" s="18"/>
      <c r="O660" s="18"/>
      <c r="P660" s="18"/>
      <c r="Q660" s="18"/>
      <c r="R660" s="18" t="str">
        <f>IF('Global Precios'!F660="","",'Global Precios'!F660)</f>
        <v>Medicamentos</v>
      </c>
      <c r="S660" s="18"/>
      <c r="T660" s="18" t="str">
        <f>IF('Global Precios'!E660="","",'Global Precios'!E660)</f>
        <v>Bechlab</v>
      </c>
      <c r="U660" s="18"/>
      <c r="V660" s="18">
        <f t="shared" si="2"/>
        <v>0</v>
      </c>
      <c r="W660" s="18"/>
      <c r="X660" s="18"/>
      <c r="Y660" s="18"/>
      <c r="Z660" s="18"/>
      <c r="AA660" s="18"/>
      <c r="AB660" s="18">
        <f t="shared" si="3"/>
        <v>1</v>
      </c>
      <c r="AC660" s="18">
        <f t="shared" si="4"/>
        <v>1</v>
      </c>
      <c r="AD660" s="18">
        <f t="shared" si="5"/>
        <v>1</v>
      </c>
      <c r="AE660" s="18">
        <f t="shared" si="6"/>
        <v>1</v>
      </c>
    </row>
    <row r="661">
      <c r="A661" s="9">
        <f>IF(E661="","", IF('Global Precios'!B662="",0,'Global Precios'!B662))</f>
        <v>0</v>
      </c>
      <c r="B661" s="14" t="str">
        <f>IF('Global Precios'!B662="","",'Global Precios'!B662)</f>
        <v/>
      </c>
      <c r="C661" s="18" t="str">
        <f>IF('Global Precios'!A662="","",'Global Precios'!A662)</f>
        <v>695</v>
      </c>
      <c r="D661" s="18"/>
      <c r="E661" s="25" t="str">
        <f>IF('Global Precios'!D662="","",'Global Precios'!D662)</f>
        <v>FLURAVET-C 20 kg</v>
      </c>
      <c r="F661" s="18"/>
      <c r="G661" s="25" t="str">
        <f>IFERROR(VLOOKUP(C661,'BuscarV Stock'!$A$2:$C$478,3,0),"AAA")</f>
        <v>AAA</v>
      </c>
      <c r="H661" s="25">
        <f t="shared" si="1"/>
        <v>0.21</v>
      </c>
      <c r="I661" s="30">
        <f>IF('Global Precios'!H662="","",'Global Precios'!H662)</f>
        <v>5206.61157</v>
      </c>
      <c r="J661" s="18" t="str">
        <f>IF('Global Precios'!K662="","",'Global Precios'!K662)</f>
        <v/>
      </c>
      <c r="K661" s="30">
        <f>IF('Global Precios'!Z662="Desactivado",0,IF('Global Precios'!L662="","",'Global Precios'!L662))</f>
        <v>6300</v>
      </c>
      <c r="L661" s="18"/>
      <c r="M661" s="18"/>
      <c r="N661" s="18"/>
      <c r="O661" s="18"/>
      <c r="P661" s="18"/>
      <c r="Q661" s="18"/>
      <c r="R661" s="18" t="str">
        <f>IF('Global Precios'!F661="","",'Global Precios'!F661)</f>
        <v>Medicamentos</v>
      </c>
      <c r="S661" s="18"/>
      <c r="T661" s="18" t="str">
        <f>IF('Global Precios'!E661="","",'Global Precios'!E661)</f>
        <v>Bechlab</v>
      </c>
      <c r="U661" s="18"/>
      <c r="V661" s="18">
        <f t="shared" si="2"/>
        <v>0</v>
      </c>
      <c r="W661" s="18"/>
      <c r="X661" s="18"/>
      <c r="Y661" s="18"/>
      <c r="Z661" s="18"/>
      <c r="AA661" s="18"/>
      <c r="AB661" s="18">
        <f t="shared" si="3"/>
        <v>1</v>
      </c>
      <c r="AC661" s="18">
        <f t="shared" si="4"/>
        <v>1</v>
      </c>
      <c r="AD661" s="18">
        <f t="shared" si="5"/>
        <v>1</v>
      </c>
      <c r="AE661" s="18">
        <f t="shared" si="6"/>
        <v>1</v>
      </c>
    </row>
    <row r="662">
      <c r="A662" s="9">
        <f>IF(E662="","", IF('Global Precios'!B663="",0,'Global Precios'!B663))</f>
        <v>0</v>
      </c>
      <c r="B662" s="14" t="str">
        <f>IF('Global Precios'!B663="","",'Global Precios'!B663)</f>
        <v/>
      </c>
      <c r="C662" s="18" t="str">
        <f>IF('Global Precios'!A663="","",'Global Precios'!A663)</f>
        <v>696</v>
      </c>
      <c r="D662" s="18"/>
      <c r="E662" s="25" t="str">
        <f>IF('Global Precios'!D663="","",'Global Precios'!D663)</f>
        <v>FLURAVET-C 5 A 10 KG</v>
      </c>
      <c r="F662" s="18"/>
      <c r="G662" s="25" t="str">
        <f>IFERROR(VLOOKUP(C662,'BuscarV Stock'!$A$2:$C$478,3,0),"AAA")</f>
        <v>AAA</v>
      </c>
      <c r="H662" s="25">
        <f t="shared" si="1"/>
        <v>0.21</v>
      </c>
      <c r="I662" s="30">
        <f>IF('Global Precios'!H663="","",'Global Precios'!H663)</f>
        <v>9669.421488</v>
      </c>
      <c r="J662" s="18" t="str">
        <f>IF('Global Precios'!K663="","",'Global Precios'!K663)</f>
        <v/>
      </c>
      <c r="K662" s="30">
        <f>IF('Global Precios'!Z663="Desactivado",0,IF('Global Precios'!L663="","",'Global Precios'!L663))</f>
        <v>11700</v>
      </c>
      <c r="L662" s="18"/>
      <c r="M662" s="18"/>
      <c r="N662" s="18"/>
      <c r="O662" s="18"/>
      <c r="P662" s="18"/>
      <c r="Q662" s="18"/>
      <c r="R662" s="18" t="str">
        <f>IF('Global Precios'!F662="","",'Global Precios'!F662)</f>
        <v>Medicamentos</v>
      </c>
      <c r="S662" s="18"/>
      <c r="T662" s="18" t="str">
        <f>IF('Global Precios'!E662="","",'Global Precios'!E662)</f>
        <v>Alfa vet</v>
      </c>
      <c r="U662" s="18"/>
      <c r="V662" s="18">
        <f t="shared" si="2"/>
        <v>0</v>
      </c>
      <c r="W662" s="18"/>
      <c r="X662" s="18"/>
      <c r="Y662" s="18"/>
      <c r="Z662" s="18"/>
      <c r="AA662" s="18"/>
      <c r="AB662" s="18">
        <f t="shared" si="3"/>
        <v>1</v>
      </c>
      <c r="AC662" s="18">
        <f t="shared" si="4"/>
        <v>1</v>
      </c>
      <c r="AD662" s="18">
        <f t="shared" si="5"/>
        <v>1</v>
      </c>
      <c r="AE662" s="18">
        <f t="shared" si="6"/>
        <v>1</v>
      </c>
    </row>
    <row r="663">
      <c r="A663" s="9">
        <f>IF(E663="","", IF('Global Precios'!B664="",0,'Global Precios'!B664))</f>
        <v>0</v>
      </c>
      <c r="B663" s="14" t="str">
        <f>IF('Global Precios'!B664="","",'Global Precios'!B664)</f>
        <v/>
      </c>
      <c r="C663" s="18" t="str">
        <f>IF('Global Precios'!A664="","",'Global Precios'!A664)</f>
        <v>697</v>
      </c>
      <c r="D663" s="18"/>
      <c r="E663" s="25" t="str">
        <f>IF('Global Precios'!D664="","",'Global Precios'!D664)</f>
        <v>TRILOBECH 10 MG X 10 COMP.</v>
      </c>
      <c r="F663" s="18"/>
      <c r="G663" s="25" t="str">
        <f>IFERROR(VLOOKUP(C663,'BuscarV Stock'!$A$2:$C$478,3,0),"AAA")</f>
        <v>AAA</v>
      </c>
      <c r="H663" s="25">
        <f t="shared" si="1"/>
        <v>0.21</v>
      </c>
      <c r="I663" s="30">
        <f>IF('Global Precios'!H664="","",'Global Precios'!H664)</f>
        <v>17355.3719</v>
      </c>
      <c r="J663" s="18" t="str">
        <f>IF('Global Precios'!K664="","",'Global Precios'!K664)</f>
        <v/>
      </c>
      <c r="K663" s="30">
        <f>IF('Global Precios'!Z664="Desactivado",0,IF('Global Precios'!L664="","",'Global Precios'!L664))</f>
        <v>21000</v>
      </c>
      <c r="L663" s="18"/>
      <c r="M663" s="18"/>
      <c r="N663" s="18"/>
      <c r="O663" s="18"/>
      <c r="P663" s="18"/>
      <c r="Q663" s="18"/>
      <c r="R663" s="18" t="str">
        <f>IF('Global Precios'!F663="","",'Global Precios'!F663)</f>
        <v>Medicamentos</v>
      </c>
      <c r="S663" s="18"/>
      <c r="T663" s="18" t="str">
        <f>IF('Global Precios'!E663="","",'Global Precios'!E663)</f>
        <v>Alfa c</v>
      </c>
      <c r="U663" s="18"/>
      <c r="V663" s="18">
        <f t="shared" si="2"/>
        <v>0</v>
      </c>
      <c r="W663" s="18"/>
      <c r="X663" s="18"/>
      <c r="Y663" s="18"/>
      <c r="Z663" s="18"/>
      <c r="AA663" s="18"/>
      <c r="AB663" s="18">
        <f t="shared" si="3"/>
        <v>1</v>
      </c>
      <c r="AC663" s="18">
        <f t="shared" si="4"/>
        <v>1</v>
      </c>
      <c r="AD663" s="18">
        <f t="shared" si="5"/>
        <v>1</v>
      </c>
      <c r="AE663" s="18">
        <f t="shared" si="6"/>
        <v>1</v>
      </c>
    </row>
    <row r="664">
      <c r="A664" s="9">
        <f>IF(E664="","", IF('Global Precios'!B665="",0,'Global Precios'!B665))</f>
        <v>0</v>
      </c>
      <c r="B664" s="14" t="str">
        <f>IF('Global Precios'!B665="","",'Global Precios'!B665)</f>
        <v/>
      </c>
      <c r="C664" s="18" t="str">
        <f>IF('Global Precios'!A665="","",'Global Precios'!A665)</f>
        <v>698</v>
      </c>
      <c r="D664" s="18"/>
      <c r="E664" s="25" t="str">
        <f>IF('Global Precios'!D665="","",'Global Precios'!D665)</f>
        <v>FLURAVET-C 4,6 A 10 kg</v>
      </c>
      <c r="F664" s="18"/>
      <c r="G664" s="25" t="str">
        <f>IFERROR(VLOOKUP(C664,'BuscarV Stock'!$A$2:$C$478,3,0),"AAA")</f>
        <v>AAA</v>
      </c>
      <c r="H664" s="25">
        <f t="shared" si="1"/>
        <v>0.21</v>
      </c>
      <c r="I664" s="30">
        <f>IF('Global Precios'!H665="","",'Global Precios'!H665)</f>
        <v>9917.355372</v>
      </c>
      <c r="J664" s="18" t="str">
        <f>IF('Global Precios'!K665="","",'Global Precios'!K665)</f>
        <v/>
      </c>
      <c r="K664" s="30">
        <f>IF('Global Precios'!Z665="Desactivado",0,IF('Global Precios'!L665="","",'Global Precios'!L665))</f>
        <v>12000</v>
      </c>
      <c r="L664" s="18"/>
      <c r="M664" s="18"/>
      <c r="N664" s="18"/>
      <c r="O664" s="18"/>
      <c r="P664" s="18"/>
      <c r="Q664" s="18"/>
      <c r="R664" s="18" t="str">
        <f>IF('Global Precios'!F664="","",'Global Precios'!F664)</f>
        <v>Medicamentos</v>
      </c>
      <c r="S664" s="18"/>
      <c r="T664" s="18" t="str">
        <f>IF('Global Precios'!E664="","",'Global Precios'!E664)</f>
        <v>Bechlab</v>
      </c>
      <c r="U664" s="18"/>
      <c r="V664" s="18">
        <f t="shared" si="2"/>
        <v>0</v>
      </c>
      <c r="W664" s="18"/>
      <c r="X664" s="18"/>
      <c r="Y664" s="18"/>
      <c r="Z664" s="18"/>
      <c r="AA664" s="18"/>
      <c r="AB664" s="18">
        <f t="shared" si="3"/>
        <v>1</v>
      </c>
      <c r="AC664" s="18">
        <f t="shared" si="4"/>
        <v>1</v>
      </c>
      <c r="AD664" s="18">
        <f t="shared" si="5"/>
        <v>1</v>
      </c>
      <c r="AE664" s="18">
        <f t="shared" si="6"/>
        <v>1</v>
      </c>
    </row>
    <row r="665">
      <c r="A665" s="9">
        <f>IF(E665="","", IF('Global Precios'!B666="",0,'Global Precios'!B666))</f>
        <v>0</v>
      </c>
      <c r="B665" s="14" t="str">
        <f>IF('Global Precios'!B666="","",'Global Precios'!B666)</f>
        <v/>
      </c>
      <c r="C665" s="18" t="str">
        <f>IF('Global Precios'!A666="","",'Global Precios'!A666)</f>
        <v>699</v>
      </c>
      <c r="D665" s="18"/>
      <c r="E665" s="25" t="str">
        <f>IF('Global Precios'!D666="","",'Global Precios'!D666)</f>
        <v>FLURAVET-C 10 A 20 KG</v>
      </c>
      <c r="F665" s="18"/>
      <c r="G665" s="25" t="str">
        <f>IFERROR(VLOOKUP(C665,'BuscarV Stock'!$A$2:$C$478,3,0),"AAA")</f>
        <v>AAA</v>
      </c>
      <c r="H665" s="25">
        <f t="shared" si="1"/>
        <v>0.21</v>
      </c>
      <c r="I665" s="30">
        <f>IF('Global Precios'!H666="","",'Global Precios'!H666)</f>
        <v>12396.69421</v>
      </c>
      <c r="J665" s="18" t="str">
        <f>IF('Global Precios'!K666="","",'Global Precios'!K666)</f>
        <v/>
      </c>
      <c r="K665" s="30">
        <f>IF('Global Precios'!Z666="Desactivado",0,IF('Global Precios'!L666="","",'Global Precios'!L666))</f>
        <v>15000</v>
      </c>
      <c r="L665" s="18"/>
      <c r="M665" s="18"/>
      <c r="N665" s="18"/>
      <c r="O665" s="18"/>
      <c r="P665" s="18"/>
      <c r="Q665" s="18"/>
      <c r="R665" s="18" t="str">
        <f>IF('Global Precios'!F665="","",'Global Precios'!F665)</f>
        <v>Medicamentos</v>
      </c>
      <c r="S665" s="18"/>
      <c r="T665" s="18" t="str">
        <f>IF('Global Precios'!E665="","",'Global Precios'!E665)</f>
        <v>Alfavet</v>
      </c>
      <c r="U665" s="18"/>
      <c r="V665" s="18">
        <f t="shared" si="2"/>
        <v>0</v>
      </c>
      <c r="W665" s="18"/>
      <c r="X665" s="18"/>
      <c r="Y665" s="18"/>
      <c r="Z665" s="18"/>
      <c r="AA665" s="18"/>
      <c r="AB665" s="18">
        <f t="shared" si="3"/>
        <v>1</v>
      </c>
      <c r="AC665" s="18">
        <f t="shared" si="4"/>
        <v>1</v>
      </c>
      <c r="AD665" s="18">
        <f t="shared" si="5"/>
        <v>1</v>
      </c>
      <c r="AE665" s="18">
        <f t="shared" si="6"/>
        <v>1</v>
      </c>
    </row>
    <row r="666">
      <c r="A666" s="9">
        <f>IF(E666="","", IF('Global Precios'!B667="",0,'Global Precios'!B667))</f>
        <v>0</v>
      </c>
      <c r="B666" s="14" t="str">
        <f>IF('Global Precios'!B667="","",'Global Precios'!B667)</f>
        <v/>
      </c>
      <c r="C666" s="18" t="str">
        <f>IF('Global Precios'!A667="","",'Global Precios'!A667)</f>
        <v>700</v>
      </c>
      <c r="D666" s="18"/>
      <c r="E666" s="25" t="str">
        <f>IF('Global Precios'!D667="","",'Global Precios'!D667)</f>
        <v>FLURAVET-C 40 A 80 kg X 4 COMP.</v>
      </c>
      <c r="F666" s="18"/>
      <c r="G666" s="25" t="str">
        <f>IFERROR(VLOOKUP(C666,'BuscarV Stock'!$A$2:$C$478,3,0),"AAA")</f>
        <v>AAA</v>
      </c>
      <c r="H666" s="25">
        <f t="shared" si="1"/>
        <v>0.21</v>
      </c>
      <c r="I666" s="30">
        <f>IF('Global Precios'!H667="","",'Global Precios'!H667)</f>
        <v>5785.123967</v>
      </c>
      <c r="J666" s="18" t="str">
        <f>IF('Global Precios'!K667="","",'Global Precios'!K667)</f>
        <v/>
      </c>
      <c r="K666" s="30">
        <f>IF('Global Precios'!Z667="Desactivado",0,IF('Global Precios'!L667="","",'Global Precios'!L667))</f>
        <v>7000</v>
      </c>
      <c r="L666" s="18"/>
      <c r="M666" s="18"/>
      <c r="N666" s="18"/>
      <c r="O666" s="18"/>
      <c r="P666" s="18"/>
      <c r="Q666" s="18"/>
      <c r="R666" s="18" t="str">
        <f>IF('Global Precios'!F666="","",'Global Precios'!F666)</f>
        <v>Medicamentos</v>
      </c>
      <c r="S666" s="18"/>
      <c r="T666" s="18" t="str">
        <f>IF('Global Precios'!E666="","",'Global Precios'!E666)</f>
        <v>Alfavet</v>
      </c>
      <c r="U666" s="18"/>
      <c r="V666" s="18">
        <f t="shared" si="2"/>
        <v>0</v>
      </c>
      <c r="W666" s="18"/>
      <c r="X666" s="18"/>
      <c r="Y666" s="18"/>
      <c r="Z666" s="18"/>
      <c r="AA666" s="18"/>
      <c r="AB666" s="18">
        <f t="shared" si="3"/>
        <v>1</v>
      </c>
      <c r="AC666" s="18">
        <f t="shared" si="4"/>
        <v>1</v>
      </c>
      <c r="AD666" s="18">
        <f t="shared" si="5"/>
        <v>1</v>
      </c>
      <c r="AE666" s="18">
        <f t="shared" si="6"/>
        <v>1</v>
      </c>
    </row>
    <row r="667">
      <c r="A667" s="9">
        <f>IF(E667="","", IF('Global Precios'!B668="",0,'Global Precios'!B668))</f>
        <v>0</v>
      </c>
      <c r="B667" s="14" t="str">
        <f>IF('Global Precios'!B668="","",'Global Precios'!B668)</f>
        <v/>
      </c>
      <c r="C667" s="18" t="str">
        <f>IF('Global Precios'!A668="","",'Global Precios'!A668)</f>
        <v>701</v>
      </c>
      <c r="D667" s="18"/>
      <c r="E667" s="25" t="str">
        <f>IF('Global Precios'!D668="","",'Global Precios'!D668)</f>
        <v>PREGALBECH ORAL X 30 ML</v>
      </c>
      <c r="F667" s="18"/>
      <c r="G667" s="25" t="str">
        <f>IFERROR(VLOOKUP(C667,'BuscarV Stock'!$A$2:$C$478,3,0),"AAA")</f>
        <v>AAA</v>
      </c>
      <c r="H667" s="25">
        <f t="shared" si="1"/>
        <v>0.21</v>
      </c>
      <c r="I667" s="30">
        <f>IF('Global Precios'!H668="","",'Global Precios'!H668)</f>
        <v>14297.52066</v>
      </c>
      <c r="J667" s="18" t="str">
        <f>IF('Global Precios'!K668="","",'Global Precios'!K668)</f>
        <v/>
      </c>
      <c r="K667" s="30">
        <f>IF('Global Precios'!Z668="Desactivado",0,IF('Global Precios'!L668="","",'Global Precios'!L668))</f>
        <v>17300</v>
      </c>
      <c r="L667" s="18"/>
      <c r="M667" s="18"/>
      <c r="N667" s="18"/>
      <c r="O667" s="18"/>
      <c r="P667" s="18"/>
      <c r="Q667" s="18"/>
      <c r="R667" s="18" t="str">
        <f>IF('Global Precios'!F667="","",'Global Precios'!F667)</f>
        <v>Medicamentos</v>
      </c>
      <c r="S667" s="18"/>
      <c r="T667" s="18" t="str">
        <f>IF('Global Precios'!E667="","",'Global Precios'!E667)</f>
        <v>Alfavet</v>
      </c>
      <c r="U667" s="18"/>
      <c r="V667" s="18">
        <f t="shared" si="2"/>
        <v>0</v>
      </c>
      <c r="W667" s="18"/>
      <c r="X667" s="18"/>
      <c r="Y667" s="18"/>
      <c r="Z667" s="18"/>
      <c r="AA667" s="18"/>
      <c r="AB667" s="18">
        <f t="shared" si="3"/>
        <v>1</v>
      </c>
      <c r="AC667" s="18">
        <f t="shared" si="4"/>
        <v>1</v>
      </c>
      <c r="AD667" s="18">
        <f t="shared" si="5"/>
        <v>1</v>
      </c>
      <c r="AE667" s="18">
        <f t="shared" si="6"/>
        <v>1</v>
      </c>
    </row>
    <row r="668">
      <c r="A668" s="9">
        <f>IF(E668="","", IF('Global Precios'!B669="",0,'Global Precios'!B669))</f>
        <v>0</v>
      </c>
      <c r="B668" s="14" t="str">
        <f>IF('Global Precios'!B669="","",'Global Precios'!B669)</f>
        <v/>
      </c>
      <c r="C668" s="18" t="str">
        <f>IF('Global Precios'!A669="","",'Global Precios'!A669)</f>
        <v>702</v>
      </c>
      <c r="D668" s="18"/>
      <c r="E668" s="25" t="str">
        <f>IF('Global Precios'!D669="","",'Global Precios'!D669)</f>
        <v>GABALBECH ORAL X 30 ML</v>
      </c>
      <c r="F668" s="18"/>
      <c r="G668" s="25" t="str">
        <f>IFERROR(VLOOKUP(C668,'BuscarV Stock'!$A$2:$C$478,3,0),"AAA")</f>
        <v>AAA</v>
      </c>
      <c r="H668" s="25">
        <f t="shared" si="1"/>
        <v>0.21</v>
      </c>
      <c r="I668" s="30">
        <f>IF('Global Precios'!H669="","",'Global Precios'!H669)</f>
        <v>14297.52066</v>
      </c>
      <c r="J668" s="18" t="str">
        <f>IF('Global Precios'!K669="","",'Global Precios'!K669)</f>
        <v/>
      </c>
      <c r="K668" s="30">
        <f>IF('Global Precios'!Z669="Desactivado",0,IF('Global Precios'!L669="","",'Global Precios'!L669))</f>
        <v>17300</v>
      </c>
      <c r="L668" s="18"/>
      <c r="M668" s="18"/>
      <c r="N668" s="18"/>
      <c r="O668" s="18"/>
      <c r="P668" s="18"/>
      <c r="Q668" s="18"/>
      <c r="R668" s="18" t="str">
        <f>IF('Global Precios'!F668="","",'Global Precios'!F668)</f>
        <v>Medicamentos</v>
      </c>
      <c r="S668" s="18"/>
      <c r="T668" s="18" t="str">
        <f>IF('Global Precios'!E668="","",'Global Precios'!E668)</f>
        <v>Bechlab</v>
      </c>
      <c r="U668" s="18"/>
      <c r="V668" s="18">
        <f t="shared" si="2"/>
        <v>0</v>
      </c>
      <c r="W668" s="18"/>
      <c r="X668" s="18"/>
      <c r="Y668" s="18"/>
      <c r="Z668" s="18"/>
      <c r="AA668" s="18"/>
      <c r="AB668" s="18">
        <f t="shared" si="3"/>
        <v>1</v>
      </c>
      <c r="AC668" s="18">
        <f t="shared" si="4"/>
        <v>1</v>
      </c>
      <c r="AD668" s="18">
        <f t="shared" si="5"/>
        <v>1</v>
      </c>
      <c r="AE668" s="18">
        <f t="shared" si="6"/>
        <v>1</v>
      </c>
    </row>
    <row r="669">
      <c r="A669" s="9">
        <f>IF(E669="","", IF('Global Precios'!B670="",0,'Global Precios'!B670))</f>
        <v>0</v>
      </c>
      <c r="B669" s="14" t="str">
        <f>IF('Global Precios'!B670="","",'Global Precios'!B670)</f>
        <v/>
      </c>
      <c r="C669" s="18" t="str">
        <f>IF('Global Precios'!A670="","",'Global Precios'!A670)</f>
        <v>703</v>
      </c>
      <c r="D669" s="18"/>
      <c r="E669" s="25" t="str">
        <f>IF('Global Precios'!D670="","",'Global Precios'!D670)</f>
        <v>RENAL ADVANCED POLVO X 100 GRS</v>
      </c>
      <c r="F669" s="18"/>
      <c r="G669" s="25" t="str">
        <f>IFERROR(VLOOKUP(C669,'BuscarV Stock'!$A$2:$C$478,3,0),"AAA")</f>
        <v>AAA</v>
      </c>
      <c r="H669" s="25">
        <f t="shared" si="1"/>
        <v>0.21</v>
      </c>
      <c r="I669" s="30">
        <f>IF('Global Precios'!H670="","",'Global Precios'!H670)</f>
        <v>9423.966942</v>
      </c>
      <c r="J669" s="18" t="str">
        <f>IF('Global Precios'!K670="","",'Global Precios'!K670)</f>
        <v/>
      </c>
      <c r="K669" s="30">
        <f>IF('Global Precios'!Z670="Desactivado",0,IF('Global Precios'!L670="","",'Global Precios'!L670))</f>
        <v>11400</v>
      </c>
      <c r="L669" s="18"/>
      <c r="M669" s="18"/>
      <c r="N669" s="18"/>
      <c r="O669" s="18"/>
      <c r="P669" s="18"/>
      <c r="Q669" s="18"/>
      <c r="R669" s="18" t="str">
        <f>IF('Global Precios'!F669="","",'Global Precios'!F669)</f>
        <v>Medicamentos</v>
      </c>
      <c r="S669" s="18"/>
      <c r="T669" s="18" t="str">
        <f>IF('Global Precios'!E669="","",'Global Precios'!E669)</f>
        <v>Bechlab</v>
      </c>
      <c r="U669" s="18"/>
      <c r="V669" s="18">
        <f t="shared" si="2"/>
        <v>0</v>
      </c>
      <c r="W669" s="18"/>
      <c r="X669" s="18"/>
      <c r="Y669" s="18"/>
      <c r="Z669" s="18"/>
      <c r="AA669" s="18"/>
      <c r="AB669" s="18">
        <f t="shared" si="3"/>
        <v>1</v>
      </c>
      <c r="AC669" s="18">
        <f t="shared" si="4"/>
        <v>1</v>
      </c>
      <c r="AD669" s="18">
        <f t="shared" si="5"/>
        <v>1</v>
      </c>
      <c r="AE669" s="18">
        <f t="shared" si="6"/>
        <v>1</v>
      </c>
    </row>
    <row r="670">
      <c r="A670" s="9">
        <f>IF(E670="","", IF('Global Precios'!B671="",0,'Global Precios'!B671))</f>
        <v>0</v>
      </c>
      <c r="B670" s="14" t="str">
        <f>IF('Global Precios'!B671="","",'Global Precios'!B671)</f>
        <v/>
      </c>
      <c r="C670" s="18" t="str">
        <f>IF('Global Precios'!A671="","",'Global Precios'!A671)</f>
        <v>704</v>
      </c>
      <c r="D670" s="18"/>
      <c r="E670" s="25" t="str">
        <f>IF('Global Precios'!D671="","",'Global Precios'!D671)</f>
        <v>NUTRIPET PALATABLE X 80 GRS</v>
      </c>
      <c r="F670" s="18"/>
      <c r="G670" s="25" t="str">
        <f>IFERROR(VLOOKUP(C670,'BuscarV Stock'!$A$2:$C$478,3,0),"AAA")</f>
        <v>AAA</v>
      </c>
      <c r="H670" s="25">
        <f t="shared" si="1"/>
        <v>0.21</v>
      </c>
      <c r="I670" s="30">
        <f>IF('Global Precios'!H671="","",'Global Precios'!H671)</f>
        <v>6446.280992</v>
      </c>
      <c r="J670" s="18" t="str">
        <f>IF('Global Precios'!K671="","",'Global Precios'!K671)</f>
        <v/>
      </c>
      <c r="K670" s="30">
        <f>IF('Global Precios'!Z671="Desactivado",0,IF('Global Precios'!L671="","",'Global Precios'!L671))</f>
        <v>7800</v>
      </c>
      <c r="L670" s="18"/>
      <c r="M670" s="18"/>
      <c r="N670" s="18"/>
      <c r="O670" s="18"/>
      <c r="P670" s="18"/>
      <c r="Q670" s="18"/>
      <c r="R670" s="18" t="str">
        <f>IF('Global Precios'!F670="","",'Global Precios'!F670)</f>
        <v>Medicamentos</v>
      </c>
      <c r="S670" s="18"/>
      <c r="T670" s="18" t="str">
        <f>IF('Global Precios'!E670="","",'Global Precios'!E670)</f>
        <v>Bechlab</v>
      </c>
      <c r="U670" s="18"/>
      <c r="V670" s="18">
        <f t="shared" si="2"/>
        <v>0</v>
      </c>
      <c r="W670" s="18"/>
      <c r="X670" s="18"/>
      <c r="Y670" s="18"/>
      <c r="Z670" s="18"/>
      <c r="AA670" s="18"/>
      <c r="AB670" s="18">
        <f t="shared" si="3"/>
        <v>1</v>
      </c>
      <c r="AC670" s="18">
        <f t="shared" si="4"/>
        <v>1</v>
      </c>
      <c r="AD670" s="18">
        <f t="shared" si="5"/>
        <v>1</v>
      </c>
      <c r="AE670" s="18">
        <f t="shared" si="6"/>
        <v>1</v>
      </c>
    </row>
    <row r="671">
      <c r="A671" s="9">
        <f>IF(E671="","", IF('Global Precios'!B672="",0,'Global Precios'!B672))</f>
        <v>0</v>
      </c>
      <c r="B671" s="14" t="str">
        <f>IF('Global Precios'!B672="","",'Global Precios'!B672)</f>
        <v/>
      </c>
      <c r="C671" s="18" t="str">
        <f>IF('Global Precios'!A672="","",'Global Precios'!A672)</f>
        <v>705</v>
      </c>
      <c r="D671" s="18"/>
      <c r="E671" s="25" t="str">
        <f>IF('Global Precios'!D672="","",'Global Precios'!D672)</f>
        <v>LIMPIAOREJAS RUMINAL X 100 ML</v>
      </c>
      <c r="F671" s="18"/>
      <c r="G671" s="25" t="str">
        <f>IFERROR(VLOOKUP(C671,'BuscarV Stock'!$A$2:$C$478,3,0),"AAA")</f>
        <v>AAA</v>
      </c>
      <c r="H671" s="25">
        <f t="shared" si="1"/>
        <v>0.21</v>
      </c>
      <c r="I671" s="30">
        <f>IF('Global Precios'!H672="","",'Global Precios'!H672)</f>
        <v>4628.099174</v>
      </c>
      <c r="J671" s="18" t="str">
        <f>IF('Global Precios'!K672="","",'Global Precios'!K672)</f>
        <v/>
      </c>
      <c r="K671" s="30">
        <f>IF('Global Precios'!Z672="Desactivado",0,IF('Global Precios'!L672="","",'Global Precios'!L672))</f>
        <v>5600</v>
      </c>
      <c r="L671" s="18"/>
      <c r="M671" s="18"/>
      <c r="N671" s="18"/>
      <c r="O671" s="18"/>
      <c r="P671" s="18"/>
      <c r="Q671" s="18"/>
      <c r="R671" s="18" t="str">
        <f>IF('Global Precios'!F671="","",'Global Precios'!F671)</f>
        <v>Medicamentos</v>
      </c>
      <c r="S671" s="18"/>
      <c r="T671" s="18" t="str">
        <f>IF('Global Precios'!E671="","",'Global Precios'!E671)</f>
        <v>John martin</v>
      </c>
      <c r="U671" s="18"/>
      <c r="V671" s="18">
        <f t="shared" si="2"/>
        <v>0</v>
      </c>
      <c r="W671" s="18"/>
      <c r="X671" s="18"/>
      <c r="Y671" s="18"/>
      <c r="Z671" s="18"/>
      <c r="AA671" s="18"/>
      <c r="AB671" s="18">
        <f t="shared" si="3"/>
        <v>1</v>
      </c>
      <c r="AC671" s="18">
        <f t="shared" si="4"/>
        <v>1</v>
      </c>
      <c r="AD671" s="18">
        <f t="shared" si="5"/>
        <v>1</v>
      </c>
      <c r="AE671" s="18">
        <f t="shared" si="6"/>
        <v>1</v>
      </c>
    </row>
    <row r="672">
      <c r="A672" s="9">
        <f>IF(E672="","", IF('Global Precios'!B673="",0,'Global Precios'!B673))</f>
        <v>0</v>
      </c>
      <c r="B672" s="14" t="str">
        <f>IF('Global Precios'!B673="","",'Global Precios'!B673)</f>
        <v/>
      </c>
      <c r="C672" s="18" t="str">
        <f>IF('Global Precios'!A673="","",'Global Precios'!A673)</f>
        <v>706</v>
      </c>
      <c r="D672" s="18"/>
      <c r="E672" s="25" t="str">
        <f>IF('Global Precios'!D673="","",'Global Precios'!D673)</f>
        <v>SIEGER ULTRA OSTEOARTICULAR X 1,5 KG</v>
      </c>
      <c r="F672" s="18"/>
      <c r="G672" s="25" t="str">
        <f>IFERROR(VLOOKUP(C672,'BuscarV Stock'!$A$2:$C$478,3,0),"AAA")</f>
        <v>AAA</v>
      </c>
      <c r="H672" s="25">
        <f t="shared" si="1"/>
        <v>0.21</v>
      </c>
      <c r="I672" s="30">
        <f>IF('Global Precios'!H673="","",'Global Precios'!H673)</f>
        <v>14568.59504</v>
      </c>
      <c r="J672" s="18" t="str">
        <f>IF('Global Precios'!K673="","",'Global Precios'!K673)</f>
        <v/>
      </c>
      <c r="K672" s="30">
        <f>IF('Global Precios'!Z673="Desactivado",0,IF('Global Precios'!L673="","",'Global Precios'!L673))</f>
        <v>17600</v>
      </c>
      <c r="L672" s="18"/>
      <c r="M672" s="18"/>
      <c r="N672" s="18"/>
      <c r="O672" s="18"/>
      <c r="P672" s="18"/>
      <c r="Q672" s="18"/>
      <c r="R672" s="18" t="str">
        <f>IF('Global Precios'!F672="","",'Global Precios'!F672)</f>
        <v>Medicamentos</v>
      </c>
      <c r="S672" s="18"/>
      <c r="T672" s="18" t="str">
        <f>IF('Global Precios'!E672="","",'Global Precios'!E672)</f>
        <v>Ruminal</v>
      </c>
      <c r="U672" s="18"/>
      <c r="V672" s="18">
        <f t="shared" si="2"/>
        <v>0</v>
      </c>
      <c r="W672" s="18"/>
      <c r="X672" s="18"/>
      <c r="Y672" s="18"/>
      <c r="Z672" s="18"/>
      <c r="AA672" s="18"/>
      <c r="AB672" s="18">
        <f t="shared" si="3"/>
        <v>1</v>
      </c>
      <c r="AC672" s="18">
        <f t="shared" si="4"/>
        <v>1</v>
      </c>
      <c r="AD672" s="18">
        <f t="shared" si="5"/>
        <v>1</v>
      </c>
      <c r="AE672" s="18">
        <f t="shared" si="6"/>
        <v>1</v>
      </c>
    </row>
    <row r="673">
      <c r="A673" s="9">
        <f>IF(E673="","", IF('Global Precios'!B674="",0,'Global Precios'!B674))</f>
        <v>0</v>
      </c>
      <c r="B673" s="14" t="str">
        <f>IF('Global Precios'!B674="","",'Global Precios'!B674)</f>
        <v/>
      </c>
      <c r="C673" s="18" t="str">
        <f>IF('Global Precios'!A674="","",'Global Precios'!A674)</f>
        <v>707</v>
      </c>
      <c r="D673" s="18"/>
      <c r="E673" s="25" t="str">
        <f>IF('Global Precios'!D674="","",'Global Precios'!D674)</f>
        <v>GIACOCCIDE AMARILLO HOSP. X 100 COMP. X 10</v>
      </c>
      <c r="F673" s="18"/>
      <c r="G673" s="25" t="str">
        <f>IFERROR(VLOOKUP(C673,'BuscarV Stock'!$A$2:$C$478,3,0),"AAA")</f>
        <v>AAA</v>
      </c>
      <c r="H673" s="25">
        <f t="shared" si="1"/>
        <v>0.21</v>
      </c>
      <c r="I673" s="30">
        <f>IF('Global Precios'!H674="","",'Global Precios'!H674)</f>
        <v>4462.809917</v>
      </c>
      <c r="J673" s="18" t="str">
        <f>IF('Global Precios'!K674="","",'Global Precios'!K674)</f>
        <v/>
      </c>
      <c r="K673" s="30">
        <f>IF('Global Precios'!Z674="Desactivado",0,IF('Global Precios'!L674="","",'Global Precios'!L674))</f>
        <v>5400</v>
      </c>
      <c r="L673" s="18"/>
      <c r="M673" s="18"/>
      <c r="N673" s="18"/>
      <c r="O673" s="18"/>
      <c r="P673" s="18"/>
      <c r="Q673" s="18"/>
      <c r="R673" s="18" t="str">
        <f>IF('Global Precios'!F673="","",'Global Precios'!F673)</f>
        <v>Alimentos</v>
      </c>
      <c r="S673" s="18"/>
      <c r="T673" s="18" t="str">
        <f>IF('Global Precios'!E673="","",'Global Precios'!E673)</f>
        <v>Sieger</v>
      </c>
      <c r="U673" s="18"/>
      <c r="V673" s="18">
        <f t="shared" si="2"/>
        <v>0</v>
      </c>
      <c r="W673" s="18"/>
      <c r="X673" s="18"/>
      <c r="Y673" s="18"/>
      <c r="Z673" s="18"/>
      <c r="AA673" s="18"/>
      <c r="AB673" s="18">
        <f t="shared" si="3"/>
        <v>1</v>
      </c>
      <c r="AC673" s="18">
        <f t="shared" si="4"/>
        <v>1</v>
      </c>
      <c r="AD673" s="18">
        <f t="shared" si="5"/>
        <v>1</v>
      </c>
      <c r="AE673" s="18">
        <f t="shared" si="6"/>
        <v>1</v>
      </c>
    </row>
    <row r="674">
      <c r="A674" s="9">
        <f>IF(E674="","", IF('Global Precios'!B675="",0,'Global Precios'!B675))</f>
        <v>0</v>
      </c>
      <c r="B674" s="14" t="str">
        <f>IF('Global Precios'!B675="","",'Global Precios'!B675)</f>
        <v/>
      </c>
      <c r="C674" s="18" t="str">
        <f>IF('Global Precios'!A675="","",'Global Precios'!A675)</f>
        <v>708</v>
      </c>
      <c r="D674" s="18"/>
      <c r="E674" s="25" t="str">
        <f>IF('Global Precios'!D675="","",'Global Precios'!D675)</f>
        <v>TORACARD X 10 ML</v>
      </c>
      <c r="F674" s="18"/>
      <c r="G674" s="25" t="str">
        <f>IFERROR(VLOOKUP(C674,'BuscarV Stock'!$A$2:$C$478,3,0),"AAA")</f>
        <v>AAA</v>
      </c>
      <c r="H674" s="25">
        <f t="shared" si="1"/>
        <v>0.21</v>
      </c>
      <c r="I674" s="30">
        <f>IF('Global Precios'!H675="","",'Global Precios'!H675)</f>
        <v>8351.239669</v>
      </c>
      <c r="J674" s="18" t="str">
        <f>IF('Global Precios'!K675="","",'Global Precios'!K675)</f>
        <v/>
      </c>
      <c r="K674" s="30">
        <f>IF('Global Precios'!Z675="Desactivado",0,IF('Global Precios'!L675="","",'Global Precios'!L675))</f>
        <v>10100</v>
      </c>
      <c r="L674" s="18"/>
      <c r="M674" s="18"/>
      <c r="N674" s="18"/>
      <c r="O674" s="18"/>
      <c r="P674" s="18"/>
      <c r="Q674" s="18"/>
      <c r="R674" s="18" t="str">
        <f>IF('Global Precios'!F674="","",'Global Precios'!F674)</f>
        <v>Medicamentos</v>
      </c>
      <c r="S674" s="18"/>
      <c r="T674" s="18" t="str">
        <f>IF('Global Precios'!E674="","",'Global Precios'!E674)</f>
        <v>Mayors</v>
      </c>
      <c r="U674" s="18"/>
      <c r="V674" s="18">
        <f t="shared" si="2"/>
        <v>0</v>
      </c>
      <c r="W674" s="18"/>
      <c r="X674" s="18"/>
      <c r="Y674" s="18"/>
      <c r="Z674" s="18"/>
      <c r="AA674" s="18"/>
      <c r="AB674" s="18">
        <f t="shared" si="3"/>
        <v>1</v>
      </c>
      <c r="AC674" s="18">
        <f t="shared" si="4"/>
        <v>1</v>
      </c>
      <c r="AD674" s="18">
        <f t="shared" si="5"/>
        <v>1</v>
      </c>
      <c r="AE674" s="18">
        <f t="shared" si="6"/>
        <v>1</v>
      </c>
    </row>
    <row r="675">
      <c r="A675" s="9">
        <f>IF(E675="","", IF('Global Precios'!B676="",0,'Global Precios'!B676))</f>
        <v>0</v>
      </c>
      <c r="B675" s="14" t="str">
        <f>IF('Global Precios'!B676="","",'Global Precios'!B676)</f>
        <v/>
      </c>
      <c r="C675" s="18" t="str">
        <f>IF('Global Precios'!A676="","",'Global Precios'!A676)</f>
        <v>709</v>
      </c>
      <c r="D675" s="18"/>
      <c r="E675" s="25" t="str">
        <f>IF('Global Precios'!D676="","",'Global Precios'!D676)</f>
        <v>EXCELLENT PUPPY RAZAS PEQ.X 1 KG</v>
      </c>
      <c r="F675" s="18"/>
      <c r="G675" s="25" t="str">
        <f>IFERROR(VLOOKUP(C675,'BuscarV Stock'!$A$2:$C$478,3,0),"AAA")</f>
        <v>AAA</v>
      </c>
      <c r="H675" s="25">
        <f t="shared" si="1"/>
        <v>0.21</v>
      </c>
      <c r="I675" s="30">
        <f>IF('Global Precios'!H676="","",'Global Precios'!H676)</f>
        <v>5867.768595</v>
      </c>
      <c r="J675" s="18" t="str">
        <f>IF('Global Precios'!K676="","",'Global Precios'!K676)</f>
        <v/>
      </c>
      <c r="K675" s="30">
        <f>IF('Global Precios'!Z676="Desactivado",0,IF('Global Precios'!L676="","",'Global Precios'!L676))</f>
        <v>7100</v>
      </c>
      <c r="L675" s="18"/>
      <c r="M675" s="18"/>
      <c r="N675" s="18"/>
      <c r="O675" s="18"/>
      <c r="P675" s="18"/>
      <c r="Q675" s="18"/>
      <c r="R675" s="18" t="str">
        <f>IF('Global Precios'!F675="","",'Global Precios'!F675)</f>
        <v>Medicamentos</v>
      </c>
      <c r="S675" s="18"/>
      <c r="T675" s="18" t="str">
        <f>IF('Global Precios'!E675="","",'Global Precios'!E675)</f>
        <v>Holliday</v>
      </c>
      <c r="U675" s="18"/>
      <c r="V675" s="18">
        <f t="shared" si="2"/>
        <v>0</v>
      </c>
      <c r="W675" s="18"/>
      <c r="X675" s="18"/>
      <c r="Y675" s="18"/>
      <c r="Z675" s="18"/>
      <c r="AA675" s="18"/>
      <c r="AB675" s="18">
        <f t="shared" si="3"/>
        <v>1</v>
      </c>
      <c r="AC675" s="18">
        <f t="shared" si="4"/>
        <v>1</v>
      </c>
      <c r="AD675" s="18">
        <f t="shared" si="5"/>
        <v>1</v>
      </c>
      <c r="AE675" s="18">
        <f t="shared" si="6"/>
        <v>1</v>
      </c>
    </row>
    <row r="676">
      <c r="A676" s="9">
        <f>IF(E676="","", IF('Global Precios'!B677="",0,'Global Precios'!B677))</f>
        <v>0</v>
      </c>
      <c r="B676" s="14" t="str">
        <f>IF('Global Precios'!B677="","",'Global Precios'!B677)</f>
        <v/>
      </c>
      <c r="C676" s="18" t="str">
        <f>IF('Global Precios'!A677="","",'Global Precios'!A677)</f>
        <v>710</v>
      </c>
      <c r="D676" s="18"/>
      <c r="E676" s="25" t="str">
        <f>IF('Global Precios'!D677="","",'Global Precios'!D677)</f>
        <v>EXCELLENT ADULT RAZAS PEQ. X 1 KG</v>
      </c>
      <c r="F676" s="18"/>
      <c r="G676" s="25" t="str">
        <f>IFERROR(VLOOKUP(C676,'BuscarV Stock'!$A$2:$C$478,3,0),"AAA")</f>
        <v>AAA</v>
      </c>
      <c r="H676" s="25">
        <f t="shared" si="1"/>
        <v>0.21</v>
      </c>
      <c r="I676" s="30">
        <f>IF('Global Precios'!H677="","",'Global Precios'!H677)</f>
        <v>5371.900826</v>
      </c>
      <c r="J676" s="18" t="str">
        <f>IF('Global Precios'!K677="","",'Global Precios'!K677)</f>
        <v/>
      </c>
      <c r="K676" s="30">
        <f>IF('Global Precios'!Z677="Desactivado",0,IF('Global Precios'!L677="","",'Global Precios'!L677))</f>
        <v>6500</v>
      </c>
      <c r="L676" s="18"/>
      <c r="M676" s="18"/>
      <c r="N676" s="18"/>
      <c r="O676" s="18"/>
      <c r="P676" s="18"/>
      <c r="Q676" s="18"/>
      <c r="R676" s="18" t="str">
        <f>IF('Global Precios'!F676="","",'Global Precios'!F676)</f>
        <v>Alimentos</v>
      </c>
      <c r="S676" s="18"/>
      <c r="T676" s="18" t="str">
        <f>IF('Global Precios'!E676="","",'Global Precios'!E676)</f>
        <v>EXCELLENT</v>
      </c>
      <c r="U676" s="18"/>
      <c r="V676" s="18">
        <f t="shared" si="2"/>
        <v>0</v>
      </c>
      <c r="W676" s="18"/>
      <c r="X676" s="18"/>
      <c r="Y676" s="18"/>
      <c r="Z676" s="18"/>
      <c r="AA676" s="18"/>
      <c r="AB676" s="18">
        <f t="shared" si="3"/>
        <v>1</v>
      </c>
      <c r="AC676" s="18">
        <f t="shared" si="4"/>
        <v>1</v>
      </c>
      <c r="AD676" s="18">
        <f t="shared" si="5"/>
        <v>1</v>
      </c>
      <c r="AE676" s="18">
        <f t="shared" si="6"/>
        <v>1</v>
      </c>
    </row>
    <row r="677">
      <c r="A677" s="9">
        <f>IF(E677="","", IF('Global Precios'!B678="",0,'Global Precios'!B678))</f>
        <v>0</v>
      </c>
      <c r="B677" s="14" t="str">
        <f>IF('Global Precios'!B678="","",'Global Precios'!B678)</f>
        <v/>
      </c>
      <c r="C677" s="18" t="str">
        <f>IF('Global Precios'!A678="","",'Global Precios'!A678)</f>
        <v>711</v>
      </c>
      <c r="D677" s="18"/>
      <c r="E677" s="25" t="str">
        <f>IF('Global Precios'!D678="","",'Global Precios'!D678)</f>
        <v>JASPE GATO URINARY PREMIUM X 1 KG</v>
      </c>
      <c r="F677" s="18"/>
      <c r="G677" s="25" t="str">
        <f>IFERROR(VLOOKUP(C677,'BuscarV Stock'!$A$2:$C$478,3,0),"AAA")</f>
        <v>AAA</v>
      </c>
      <c r="H677" s="25">
        <f t="shared" si="1"/>
        <v>0.21</v>
      </c>
      <c r="I677" s="30">
        <f>IF('Global Precios'!H678="","",'Global Precios'!H678)</f>
        <v>3305.785124</v>
      </c>
      <c r="J677" s="18" t="str">
        <f>IF('Global Precios'!K678="","",'Global Precios'!K678)</f>
        <v/>
      </c>
      <c r="K677" s="30">
        <f>IF('Global Precios'!Z678="Desactivado",0,IF('Global Precios'!L678="","",'Global Precios'!L678))</f>
        <v>4000</v>
      </c>
      <c r="L677" s="18"/>
      <c r="M677" s="18"/>
      <c r="N677" s="18"/>
      <c r="O677" s="18"/>
      <c r="P677" s="18"/>
      <c r="Q677" s="18"/>
      <c r="R677" s="18" t="str">
        <f>IF('Global Precios'!F677="","",'Global Precios'!F677)</f>
        <v>Alimentos</v>
      </c>
      <c r="S677" s="18"/>
      <c r="T677" s="18" t="str">
        <f>IF('Global Precios'!E677="","",'Global Precios'!E677)</f>
        <v>EXCELLENT</v>
      </c>
      <c r="U677" s="18"/>
      <c r="V677" s="18">
        <f t="shared" si="2"/>
        <v>0</v>
      </c>
      <c r="W677" s="18"/>
      <c r="X677" s="18"/>
      <c r="Y677" s="18"/>
      <c r="Z677" s="18"/>
      <c r="AA677" s="18"/>
      <c r="AB677" s="18">
        <f t="shared" si="3"/>
        <v>1</v>
      </c>
      <c r="AC677" s="18">
        <f t="shared" si="4"/>
        <v>1</v>
      </c>
      <c r="AD677" s="18">
        <f t="shared" si="5"/>
        <v>1</v>
      </c>
      <c r="AE677" s="18">
        <f t="shared" si="6"/>
        <v>1</v>
      </c>
    </row>
    <row r="678">
      <c r="A678" s="9" t="str">
        <f>IF(E678="","", IF('Global Precios'!B686="",0,'Global Precios'!B686))</f>
        <v/>
      </c>
      <c r="B678" s="14" t="str">
        <f>IF('Global Precios'!B686="","",'Global Precios'!B686)</f>
        <v/>
      </c>
      <c r="C678" s="18" t="str">
        <f>IF('Global Precios'!A686="","",'Global Precios'!A686)</f>
        <v/>
      </c>
      <c r="D678" s="18"/>
      <c r="E678" s="25" t="str">
        <f>IF('Global Precios'!D686="","",'Global Precios'!D686)</f>
        <v/>
      </c>
      <c r="F678" s="18"/>
      <c r="G678" s="25"/>
      <c r="H678" s="25" t="str">
        <f t="shared" si="1"/>
        <v/>
      </c>
      <c r="I678" s="30" t="str">
        <f>IF('Global Precios'!H686="","",'Global Precios'!H686)</f>
        <v/>
      </c>
      <c r="J678" s="18" t="str">
        <f>IF('Global Precios'!K686="","",'Global Precios'!K686)</f>
        <v/>
      </c>
      <c r="K678" s="30" t="str">
        <f>IF('Global Precios'!Z686="Desactivado",0,IF('Global Precios'!L686="","",'Global Precios'!L686))</f>
        <v/>
      </c>
      <c r="L678" s="18"/>
      <c r="M678" s="18"/>
      <c r="N678" s="18"/>
      <c r="O678" s="18"/>
      <c r="P678" s="18"/>
      <c r="Q678" s="18"/>
      <c r="R678" s="18" t="str">
        <f>IF('Global Precios'!F686="","",'Global Precios'!F686)</f>
        <v/>
      </c>
      <c r="S678" s="18"/>
      <c r="T678" s="18" t="str">
        <f>IF('Global Precios'!E686="","",'Global Precios'!E686)</f>
        <v/>
      </c>
      <c r="U678" s="18"/>
      <c r="V678" s="18" t="str">
        <f t="shared" si="2"/>
        <v/>
      </c>
      <c r="W678" s="18"/>
      <c r="X678" s="18"/>
      <c r="Y678" s="18"/>
      <c r="Z678" s="18"/>
      <c r="AA678" s="18"/>
      <c r="AB678" s="18" t="str">
        <f t="shared" si="3"/>
        <v/>
      </c>
      <c r="AC678" s="18" t="str">
        <f t="shared" si="4"/>
        <v/>
      </c>
      <c r="AD678" s="18" t="str">
        <f t="shared" si="5"/>
        <v/>
      </c>
      <c r="AE678" s="18" t="str">
        <f t="shared" si="6"/>
        <v/>
      </c>
    </row>
    <row r="679">
      <c r="A679" s="9" t="str">
        <f>IF(E679="","", IF('Global Precios'!B687="",0,'Global Precios'!B687))</f>
        <v/>
      </c>
      <c r="B679" s="14" t="str">
        <f>IF('Global Precios'!B687="","",'Global Precios'!B687)</f>
        <v/>
      </c>
      <c r="C679" s="18" t="str">
        <f>IF('Global Precios'!A687="","",'Global Precios'!A687)</f>
        <v/>
      </c>
      <c r="D679" s="18"/>
      <c r="E679" s="25" t="str">
        <f>IF('Global Precios'!D687="","",'Global Precios'!D687)</f>
        <v/>
      </c>
      <c r="F679" s="18"/>
      <c r="G679" s="25"/>
      <c r="H679" s="25" t="str">
        <f t="shared" si="1"/>
        <v/>
      </c>
      <c r="I679" s="30" t="str">
        <f>IF('Global Precios'!H687="","",'Global Precios'!H687)</f>
        <v/>
      </c>
      <c r="J679" s="18" t="str">
        <f>IF('Global Precios'!K687="","",'Global Precios'!K687)</f>
        <v/>
      </c>
      <c r="K679" s="30" t="str">
        <f>IF('Global Precios'!Z687="Desactivado",0,IF('Global Precios'!L687="","",'Global Precios'!L687))</f>
        <v/>
      </c>
      <c r="L679" s="18"/>
      <c r="M679" s="18"/>
      <c r="N679" s="18"/>
      <c r="O679" s="18"/>
      <c r="P679" s="18"/>
      <c r="Q679" s="18"/>
      <c r="R679" s="18" t="str">
        <f>IF('Global Precios'!F687="","",'Global Precios'!F687)</f>
        <v/>
      </c>
      <c r="S679" s="18"/>
      <c r="T679" s="18" t="str">
        <f>IF('Global Precios'!E687="","",'Global Precios'!E687)</f>
        <v/>
      </c>
      <c r="U679" s="18"/>
      <c r="V679" s="18" t="str">
        <f t="shared" si="2"/>
        <v/>
      </c>
      <c r="W679" s="18"/>
      <c r="X679" s="18"/>
      <c r="Y679" s="18"/>
      <c r="Z679" s="18"/>
      <c r="AA679" s="18"/>
      <c r="AB679" s="18" t="str">
        <f t="shared" si="3"/>
        <v/>
      </c>
      <c r="AC679" s="18" t="str">
        <f t="shared" si="4"/>
        <v/>
      </c>
      <c r="AD679" s="18" t="str">
        <f t="shared" si="5"/>
        <v/>
      </c>
      <c r="AE679" s="18" t="str">
        <f t="shared" si="6"/>
        <v/>
      </c>
    </row>
    <row r="680">
      <c r="A680" s="9" t="str">
        <f>IF(E680="","", IF('Global Precios'!B688="",0,'Global Precios'!B688))</f>
        <v/>
      </c>
      <c r="B680" s="14" t="str">
        <f>IF('Global Precios'!B688="","",'Global Precios'!B688)</f>
        <v/>
      </c>
      <c r="C680" s="18" t="str">
        <f>IF('Global Precios'!A688="","",'Global Precios'!A688)</f>
        <v/>
      </c>
      <c r="D680" s="18"/>
      <c r="E680" s="25" t="str">
        <f>IF('Global Precios'!D688="","",'Global Precios'!D688)</f>
        <v/>
      </c>
      <c r="F680" s="18"/>
      <c r="G680" s="25"/>
      <c r="H680" s="25" t="str">
        <f t="shared" si="1"/>
        <v/>
      </c>
      <c r="I680" s="30" t="str">
        <f>IF('Global Precios'!H688="","",'Global Precios'!H688)</f>
        <v/>
      </c>
      <c r="J680" s="18" t="str">
        <f>IF('Global Precios'!K688="","",'Global Precios'!K688)</f>
        <v/>
      </c>
      <c r="K680" s="30" t="str">
        <f>IF('Global Precios'!Z688="Desactivado",0,IF('Global Precios'!L688="","",'Global Precios'!L688))</f>
        <v/>
      </c>
      <c r="L680" s="18"/>
      <c r="M680" s="18"/>
      <c r="N680" s="18"/>
      <c r="O680" s="18"/>
      <c r="P680" s="18"/>
      <c r="Q680" s="18"/>
      <c r="R680" s="18" t="str">
        <f>IF('Global Precios'!F688="","",'Global Precios'!F688)</f>
        <v/>
      </c>
      <c r="S680" s="18"/>
      <c r="T680" s="18" t="str">
        <f>IF('Global Precios'!E688="","",'Global Precios'!E688)</f>
        <v/>
      </c>
      <c r="U680" s="18"/>
      <c r="V680" s="18" t="str">
        <f t="shared" si="2"/>
        <v/>
      </c>
      <c r="W680" s="18"/>
      <c r="X680" s="18"/>
      <c r="Y680" s="18"/>
      <c r="Z680" s="18"/>
      <c r="AA680" s="18"/>
      <c r="AB680" s="18" t="str">
        <f t="shared" si="3"/>
        <v/>
      </c>
      <c r="AC680" s="18" t="str">
        <f t="shared" si="4"/>
        <v/>
      </c>
      <c r="AD680" s="18" t="str">
        <f t="shared" si="5"/>
        <v/>
      </c>
      <c r="AE680" s="18" t="str">
        <f t="shared" si="6"/>
        <v/>
      </c>
    </row>
    <row r="681">
      <c r="A681" s="9" t="str">
        <f>IF(E681="","", IF('Global Precios'!B689="",0,'Global Precios'!B689))</f>
        <v/>
      </c>
      <c r="B681" s="14" t="str">
        <f>IF('Global Precios'!B689="","",'Global Precios'!B689)</f>
        <v/>
      </c>
      <c r="C681" s="18" t="str">
        <f>IF('Global Precios'!A689="","",'Global Precios'!A689)</f>
        <v/>
      </c>
      <c r="D681" s="18"/>
      <c r="E681" s="25" t="str">
        <f>IF('Global Precios'!D689="","",'Global Precios'!D689)</f>
        <v/>
      </c>
      <c r="F681" s="18"/>
      <c r="G681" s="25"/>
      <c r="H681" s="25" t="str">
        <f t="shared" si="1"/>
        <v/>
      </c>
      <c r="I681" s="30" t="str">
        <f>IF('Global Precios'!H689="","",'Global Precios'!H689)</f>
        <v/>
      </c>
      <c r="J681" s="18" t="str">
        <f>IF('Global Precios'!K689="","",'Global Precios'!K689)</f>
        <v/>
      </c>
      <c r="K681" s="30" t="str">
        <f>IF('Global Precios'!Z689="Desactivado",0,IF('Global Precios'!L689="","",'Global Precios'!L689))</f>
        <v/>
      </c>
      <c r="L681" s="18"/>
      <c r="M681" s="18"/>
      <c r="N681" s="18"/>
      <c r="O681" s="18"/>
      <c r="P681" s="18"/>
      <c r="Q681" s="18"/>
      <c r="R681" s="18" t="str">
        <f>IF('Global Precios'!F689="","",'Global Precios'!F689)</f>
        <v/>
      </c>
      <c r="S681" s="18"/>
      <c r="T681" s="18" t="str">
        <f>IF('Global Precios'!E689="","",'Global Precios'!E689)</f>
        <v/>
      </c>
      <c r="U681" s="18"/>
      <c r="V681" s="18" t="str">
        <f t="shared" si="2"/>
        <v/>
      </c>
      <c r="W681" s="18"/>
      <c r="X681" s="18"/>
      <c r="Y681" s="18"/>
      <c r="Z681" s="18"/>
      <c r="AA681" s="18"/>
      <c r="AB681" s="18" t="str">
        <f t="shared" si="3"/>
        <v/>
      </c>
      <c r="AC681" s="18" t="str">
        <f t="shared" si="4"/>
        <v/>
      </c>
      <c r="AD681" s="18" t="str">
        <f t="shared" si="5"/>
        <v/>
      </c>
      <c r="AE681" s="18" t="str">
        <f t="shared" si="6"/>
        <v/>
      </c>
    </row>
    <row r="682">
      <c r="A682" s="9" t="str">
        <f>IF(E682="","", IF('Global Precios'!B690="",0,'Global Precios'!B690))</f>
        <v/>
      </c>
      <c r="B682" s="14" t="str">
        <f>IF('Global Precios'!B690="","",'Global Precios'!B690)</f>
        <v/>
      </c>
      <c r="C682" s="18" t="str">
        <f>IF('Global Precios'!A690="","",'Global Precios'!A690)</f>
        <v/>
      </c>
      <c r="D682" s="18"/>
      <c r="E682" s="25" t="str">
        <f>IF('Global Precios'!D690="","",'Global Precios'!D690)</f>
        <v/>
      </c>
      <c r="F682" s="18"/>
      <c r="G682" s="25"/>
      <c r="H682" s="25" t="str">
        <f t="shared" si="1"/>
        <v/>
      </c>
      <c r="I682" s="30" t="str">
        <f>IF('Global Precios'!H690="","",'Global Precios'!H690)</f>
        <v/>
      </c>
      <c r="J682" s="18" t="str">
        <f>IF('Global Precios'!K690="","",'Global Precios'!K690)</f>
        <v/>
      </c>
      <c r="K682" s="30" t="str">
        <f>IF('Global Precios'!Z690="Desactivado",0,IF('Global Precios'!L690="","",'Global Precios'!L690))</f>
        <v/>
      </c>
      <c r="L682" s="18"/>
      <c r="M682" s="18"/>
      <c r="N682" s="18"/>
      <c r="O682" s="18"/>
      <c r="P682" s="18"/>
      <c r="Q682" s="18"/>
      <c r="R682" s="18" t="str">
        <f>IF('Global Precios'!F690="","",'Global Precios'!F690)</f>
        <v/>
      </c>
      <c r="S682" s="18"/>
      <c r="T682" s="18" t="str">
        <f>IF('Global Precios'!E690="","",'Global Precios'!E690)</f>
        <v/>
      </c>
      <c r="U682" s="18"/>
      <c r="V682" s="18" t="str">
        <f t="shared" si="2"/>
        <v/>
      </c>
      <c r="W682" s="18"/>
      <c r="X682" s="18"/>
      <c r="Y682" s="18"/>
      <c r="Z682" s="18"/>
      <c r="AA682" s="18"/>
      <c r="AB682" s="18" t="str">
        <f t="shared" si="3"/>
        <v/>
      </c>
      <c r="AC682" s="18" t="str">
        <f t="shared" si="4"/>
        <v/>
      </c>
      <c r="AD682" s="18" t="str">
        <f t="shared" si="5"/>
        <v/>
      </c>
      <c r="AE682" s="18" t="str">
        <f t="shared" si="6"/>
        <v/>
      </c>
    </row>
    <row r="683">
      <c r="A683" s="9" t="str">
        <f>IF(E683="","", IF('Global Precios'!B691="",0,'Global Precios'!B691))</f>
        <v/>
      </c>
      <c r="B683" s="14" t="str">
        <f>IF('Global Precios'!B691="","",'Global Precios'!B691)</f>
        <v/>
      </c>
      <c r="C683" s="18" t="str">
        <f>IF('Global Precios'!A691="","",'Global Precios'!A691)</f>
        <v/>
      </c>
      <c r="D683" s="18"/>
      <c r="E683" s="25" t="str">
        <f>IF('Global Precios'!D691="","",'Global Precios'!D691)</f>
        <v/>
      </c>
      <c r="F683" s="18"/>
      <c r="G683" s="25"/>
      <c r="H683" s="25" t="str">
        <f t="shared" si="1"/>
        <v/>
      </c>
      <c r="I683" s="30" t="str">
        <f>IF('Global Precios'!H691="","",'Global Precios'!H691)</f>
        <v/>
      </c>
      <c r="J683" s="18" t="str">
        <f>IF('Global Precios'!K691="","",'Global Precios'!K691)</f>
        <v/>
      </c>
      <c r="K683" s="30" t="str">
        <f>IF('Global Precios'!Z691="Desactivado",0,IF('Global Precios'!L691="","",'Global Precios'!L691))</f>
        <v/>
      </c>
      <c r="L683" s="18"/>
      <c r="M683" s="18"/>
      <c r="N683" s="18"/>
      <c r="O683" s="18"/>
      <c r="P683" s="18"/>
      <c r="Q683" s="18"/>
      <c r="R683" s="18" t="str">
        <f>IF('Global Precios'!F691="","",'Global Precios'!F691)</f>
        <v/>
      </c>
      <c r="S683" s="18"/>
      <c r="T683" s="18" t="str">
        <f>IF('Global Precios'!E691="","",'Global Precios'!E691)</f>
        <v/>
      </c>
      <c r="U683" s="18"/>
      <c r="V683" s="18" t="str">
        <f t="shared" si="2"/>
        <v/>
      </c>
      <c r="W683" s="18"/>
      <c r="X683" s="18"/>
      <c r="Y683" s="18"/>
      <c r="Z683" s="18"/>
      <c r="AA683" s="18"/>
      <c r="AB683" s="18" t="str">
        <f t="shared" si="3"/>
        <v/>
      </c>
      <c r="AC683" s="18" t="str">
        <f t="shared" si="4"/>
        <v/>
      </c>
      <c r="AD683" s="18" t="str">
        <f t="shared" si="5"/>
        <v/>
      </c>
      <c r="AE683" s="18" t="str">
        <f t="shared" si="6"/>
        <v/>
      </c>
    </row>
    <row r="684">
      <c r="A684" s="9" t="str">
        <f>IF(E684="","", IF('Global Precios'!B692="",0,'Global Precios'!B692))</f>
        <v/>
      </c>
      <c r="B684" s="14" t="str">
        <f>IF('Global Precios'!B692="","",'Global Precios'!B692)</f>
        <v/>
      </c>
      <c r="C684" s="18" t="str">
        <f>IF('Global Precios'!A692="","",'Global Precios'!A692)</f>
        <v/>
      </c>
      <c r="D684" s="18"/>
      <c r="E684" s="25" t="str">
        <f>IF('Global Precios'!D692="","",'Global Precios'!D692)</f>
        <v/>
      </c>
      <c r="F684" s="18"/>
      <c r="G684" s="25"/>
      <c r="H684" s="25" t="str">
        <f t="shared" si="1"/>
        <v/>
      </c>
      <c r="I684" s="30" t="str">
        <f>IF('Global Precios'!H692="","",'Global Precios'!H692)</f>
        <v/>
      </c>
      <c r="J684" s="18" t="str">
        <f>IF('Global Precios'!K692="","",'Global Precios'!K692)</f>
        <v/>
      </c>
      <c r="K684" s="30" t="str">
        <f>IF('Global Precios'!Z692="Desactivado",0,IF('Global Precios'!L692="","",'Global Precios'!L692))</f>
        <v/>
      </c>
      <c r="L684" s="18"/>
      <c r="M684" s="18"/>
      <c r="N684" s="18"/>
      <c r="O684" s="18"/>
      <c r="P684" s="18"/>
      <c r="Q684" s="18"/>
      <c r="R684" s="18" t="str">
        <f>IF('Global Precios'!F692="","",'Global Precios'!F692)</f>
        <v/>
      </c>
      <c r="S684" s="18"/>
      <c r="T684" s="18" t="str">
        <f>IF('Global Precios'!E692="","",'Global Precios'!E692)</f>
        <v/>
      </c>
      <c r="U684" s="18"/>
      <c r="V684" s="18" t="str">
        <f t="shared" si="2"/>
        <v/>
      </c>
      <c r="W684" s="18"/>
      <c r="X684" s="18"/>
      <c r="Y684" s="18"/>
      <c r="Z684" s="18"/>
      <c r="AA684" s="18"/>
      <c r="AB684" s="18" t="str">
        <f t="shared" si="3"/>
        <v/>
      </c>
      <c r="AC684" s="18" t="str">
        <f t="shared" si="4"/>
        <v/>
      </c>
      <c r="AD684" s="18" t="str">
        <f t="shared" si="5"/>
        <v/>
      </c>
      <c r="AE684" s="18" t="str">
        <f t="shared" si="6"/>
        <v/>
      </c>
    </row>
    <row r="685">
      <c r="A685" s="9" t="str">
        <f>IF(E685="","", IF('Global Precios'!B693="",0,'Global Precios'!B693))</f>
        <v/>
      </c>
      <c r="B685" s="14" t="str">
        <f>IF('Global Precios'!B693="","",'Global Precios'!B693)</f>
        <v/>
      </c>
      <c r="C685" s="18" t="str">
        <f>IF('Global Precios'!A693="","",'Global Precios'!A693)</f>
        <v/>
      </c>
      <c r="D685" s="18"/>
      <c r="E685" s="25" t="str">
        <f>IF('Global Precios'!D693="","",'Global Precios'!D693)</f>
        <v/>
      </c>
      <c r="F685" s="18"/>
      <c r="G685" s="25"/>
      <c r="H685" s="25" t="str">
        <f t="shared" si="1"/>
        <v/>
      </c>
      <c r="I685" s="30" t="str">
        <f>IF('Global Precios'!H693="","",'Global Precios'!H693)</f>
        <v/>
      </c>
      <c r="J685" s="18" t="str">
        <f>IF('Global Precios'!K693="","",'Global Precios'!K693)</f>
        <v/>
      </c>
      <c r="K685" s="30" t="str">
        <f>IF('Global Precios'!Z693="Desactivado",0,IF('Global Precios'!L693="","",'Global Precios'!L693))</f>
        <v/>
      </c>
      <c r="L685" s="18"/>
      <c r="M685" s="18"/>
      <c r="N685" s="18"/>
      <c r="O685" s="18"/>
      <c r="P685" s="18"/>
      <c r="Q685" s="18"/>
      <c r="R685" s="18" t="str">
        <f>IF('Global Precios'!F693="","",'Global Precios'!F693)</f>
        <v/>
      </c>
      <c r="S685" s="18"/>
      <c r="T685" s="18" t="str">
        <f>IF('Global Precios'!E693="","",'Global Precios'!E693)</f>
        <v/>
      </c>
      <c r="U685" s="18"/>
      <c r="V685" s="18" t="str">
        <f t="shared" si="2"/>
        <v/>
      </c>
      <c r="W685" s="18"/>
      <c r="X685" s="18"/>
      <c r="Y685" s="18"/>
      <c r="Z685" s="18"/>
      <c r="AA685" s="18"/>
      <c r="AB685" s="18" t="str">
        <f t="shared" si="3"/>
        <v/>
      </c>
      <c r="AC685" s="18" t="str">
        <f t="shared" si="4"/>
        <v/>
      </c>
      <c r="AD685" s="18" t="str">
        <f t="shared" si="5"/>
        <v/>
      </c>
      <c r="AE685" s="18" t="str">
        <f t="shared" si="6"/>
        <v/>
      </c>
    </row>
    <row r="686">
      <c r="A686" s="9" t="str">
        <f>IF(E686="","", IF('Global Precios'!B694="",0,'Global Precios'!B694))</f>
        <v/>
      </c>
      <c r="B686" s="14" t="str">
        <f>IF('Global Precios'!B694="","",'Global Precios'!B694)</f>
        <v/>
      </c>
      <c r="C686" s="18" t="str">
        <f>IF('Global Precios'!A694="","",'Global Precios'!A694)</f>
        <v/>
      </c>
      <c r="D686" s="18"/>
      <c r="E686" s="25" t="str">
        <f>IF('Global Precios'!D694="","",'Global Precios'!D694)</f>
        <v/>
      </c>
      <c r="F686" s="18"/>
      <c r="G686" s="25"/>
      <c r="H686" s="25" t="str">
        <f t="shared" si="1"/>
        <v/>
      </c>
      <c r="I686" s="30" t="str">
        <f>IF('Global Precios'!H694="","",'Global Precios'!H694)</f>
        <v/>
      </c>
      <c r="J686" s="18" t="str">
        <f>IF('Global Precios'!K694="","",'Global Precios'!K694)</f>
        <v/>
      </c>
      <c r="K686" s="30" t="str">
        <f>IF('Global Precios'!Z694="Desactivado",0,IF('Global Precios'!L694="","",'Global Precios'!L694))</f>
        <v/>
      </c>
      <c r="L686" s="18"/>
      <c r="M686" s="18"/>
      <c r="N686" s="18"/>
      <c r="O686" s="18"/>
      <c r="P686" s="18"/>
      <c r="Q686" s="18"/>
      <c r="R686" s="18" t="str">
        <f>IF('Global Precios'!F694="","",'Global Precios'!F694)</f>
        <v/>
      </c>
      <c r="S686" s="18"/>
      <c r="T686" s="18" t="str">
        <f>IF('Global Precios'!E694="","",'Global Precios'!E694)</f>
        <v/>
      </c>
      <c r="U686" s="18"/>
      <c r="V686" s="18" t="str">
        <f t="shared" si="2"/>
        <v/>
      </c>
      <c r="W686" s="18"/>
      <c r="X686" s="18"/>
      <c r="Y686" s="18"/>
      <c r="Z686" s="18"/>
      <c r="AA686" s="18"/>
      <c r="AB686" s="18" t="str">
        <f t="shared" si="3"/>
        <v/>
      </c>
      <c r="AC686" s="18" t="str">
        <f t="shared" si="4"/>
        <v/>
      </c>
      <c r="AD686" s="18" t="str">
        <f t="shared" si="5"/>
        <v/>
      </c>
      <c r="AE686" s="18" t="str">
        <f t="shared" si="6"/>
        <v/>
      </c>
    </row>
    <row r="687">
      <c r="A687" s="9" t="str">
        <f>IF(E687="","", IF('Global Precios'!B695="",0,'Global Precios'!B695))</f>
        <v/>
      </c>
      <c r="B687" s="14" t="str">
        <f>IF('Global Precios'!B695="","",'Global Precios'!B695)</f>
        <v/>
      </c>
      <c r="C687" s="18" t="str">
        <f>IF('Global Precios'!A695="","",'Global Precios'!A695)</f>
        <v/>
      </c>
      <c r="D687" s="18"/>
      <c r="E687" s="25" t="str">
        <f>IF('Global Precios'!D695="","",'Global Precios'!D695)</f>
        <v/>
      </c>
      <c r="F687" s="18"/>
      <c r="G687" s="25"/>
      <c r="H687" s="25" t="str">
        <f t="shared" si="1"/>
        <v/>
      </c>
      <c r="I687" s="30" t="str">
        <f>IF('Global Precios'!H695="","",'Global Precios'!H695)</f>
        <v/>
      </c>
      <c r="J687" s="18" t="str">
        <f>IF('Global Precios'!K695="","",'Global Precios'!K695)</f>
        <v/>
      </c>
      <c r="K687" s="30" t="str">
        <f>IF('Global Precios'!Z695="Desactivado",0,IF('Global Precios'!L695="","",'Global Precios'!L695))</f>
        <v/>
      </c>
      <c r="L687" s="18"/>
      <c r="M687" s="18"/>
      <c r="N687" s="18"/>
      <c r="O687" s="18"/>
      <c r="P687" s="18"/>
      <c r="Q687" s="18"/>
      <c r="R687" s="18" t="str">
        <f>IF('Global Precios'!F695="","",'Global Precios'!F695)</f>
        <v/>
      </c>
      <c r="S687" s="18"/>
      <c r="T687" s="18" t="str">
        <f>IF('Global Precios'!E695="","",'Global Precios'!E695)</f>
        <v/>
      </c>
      <c r="U687" s="18"/>
      <c r="V687" s="18" t="str">
        <f t="shared" si="2"/>
        <v/>
      </c>
      <c r="W687" s="18"/>
      <c r="X687" s="18"/>
      <c r="Y687" s="18"/>
      <c r="Z687" s="18"/>
      <c r="AA687" s="18"/>
      <c r="AB687" s="18" t="str">
        <f t="shared" si="3"/>
        <v/>
      </c>
      <c r="AC687" s="18" t="str">
        <f t="shared" si="4"/>
        <v/>
      </c>
      <c r="AD687" s="18" t="str">
        <f t="shared" si="5"/>
        <v/>
      </c>
      <c r="AE687" s="18" t="str">
        <f t="shared" si="6"/>
        <v/>
      </c>
    </row>
    <row r="688">
      <c r="A688" s="9" t="str">
        <f>IF(E688="","", IF('Global Precios'!B696="",0,'Global Precios'!B696))</f>
        <v/>
      </c>
      <c r="B688" s="14" t="str">
        <f>IF('Global Precios'!B696="","",'Global Precios'!B696)</f>
        <v/>
      </c>
      <c r="C688" s="18" t="str">
        <f>IF('Global Precios'!A696="","",'Global Precios'!A696)</f>
        <v/>
      </c>
      <c r="D688" s="18"/>
      <c r="E688" s="25" t="str">
        <f>IF('Global Precios'!D696="","",'Global Precios'!D696)</f>
        <v/>
      </c>
      <c r="F688" s="18"/>
      <c r="G688" s="25"/>
      <c r="H688" s="25" t="str">
        <f t="shared" si="1"/>
        <v/>
      </c>
      <c r="I688" s="30" t="str">
        <f>IF('Global Precios'!H696="","",'Global Precios'!H696)</f>
        <v/>
      </c>
      <c r="J688" s="18" t="str">
        <f>IF('Global Precios'!K696="","",'Global Precios'!K696)</f>
        <v/>
      </c>
      <c r="K688" s="30" t="str">
        <f>IF('Global Precios'!Z696="Desactivado",0,IF('Global Precios'!L696="","",'Global Precios'!L696))</f>
        <v/>
      </c>
      <c r="L688" s="18"/>
      <c r="M688" s="18"/>
      <c r="N688" s="18"/>
      <c r="O688" s="18"/>
      <c r="P688" s="18"/>
      <c r="Q688" s="18"/>
      <c r="R688" s="18" t="str">
        <f>IF('Global Precios'!F696="","",'Global Precios'!F696)</f>
        <v/>
      </c>
      <c r="S688" s="18"/>
      <c r="T688" s="18" t="str">
        <f>IF('Global Precios'!E696="","",'Global Precios'!E696)</f>
        <v/>
      </c>
      <c r="U688" s="18"/>
      <c r="V688" s="18" t="str">
        <f t="shared" si="2"/>
        <v/>
      </c>
      <c r="W688" s="18"/>
      <c r="X688" s="18"/>
      <c r="Y688" s="18"/>
      <c r="Z688" s="18"/>
      <c r="AA688" s="18"/>
      <c r="AB688" s="18" t="str">
        <f t="shared" si="3"/>
        <v/>
      </c>
      <c r="AC688" s="18" t="str">
        <f t="shared" si="4"/>
        <v/>
      </c>
      <c r="AD688" s="18" t="str">
        <f t="shared" si="5"/>
        <v/>
      </c>
      <c r="AE688" s="18" t="str">
        <f t="shared" si="6"/>
        <v/>
      </c>
    </row>
    <row r="689">
      <c r="A689" s="9" t="str">
        <f>IF(E689="","", IF('Global Precios'!B697="",0,'Global Precios'!B697))</f>
        <v/>
      </c>
      <c r="B689" s="14" t="str">
        <f>IF('Global Precios'!B697="","",'Global Precios'!B697)</f>
        <v/>
      </c>
      <c r="C689" s="18" t="str">
        <f>IF('Global Precios'!A697="","",'Global Precios'!A697)</f>
        <v/>
      </c>
      <c r="D689" s="18"/>
      <c r="E689" s="25" t="str">
        <f>IF('Global Precios'!D697="","",'Global Precios'!D697)</f>
        <v/>
      </c>
      <c r="F689" s="18"/>
      <c r="G689" s="25"/>
      <c r="H689" s="25" t="str">
        <f t="shared" si="1"/>
        <v/>
      </c>
      <c r="I689" s="30" t="str">
        <f>IF('Global Precios'!H697="","",'Global Precios'!H697)</f>
        <v/>
      </c>
      <c r="J689" s="18" t="str">
        <f>IF('Global Precios'!K697="","",'Global Precios'!K697)</f>
        <v/>
      </c>
      <c r="K689" s="30" t="str">
        <f>IF('Global Precios'!Z697="Desactivado",0,IF('Global Precios'!L697="","",'Global Precios'!L697))</f>
        <v/>
      </c>
      <c r="L689" s="18"/>
      <c r="M689" s="18"/>
      <c r="N689" s="18"/>
      <c r="O689" s="18"/>
      <c r="P689" s="18"/>
      <c r="Q689" s="18"/>
      <c r="R689" s="18" t="str">
        <f>IF('Global Precios'!F697="","",'Global Precios'!F697)</f>
        <v/>
      </c>
      <c r="S689" s="18"/>
      <c r="T689" s="18" t="str">
        <f>IF('Global Precios'!E697="","",'Global Precios'!E697)</f>
        <v/>
      </c>
      <c r="U689" s="18"/>
      <c r="V689" s="18" t="str">
        <f t="shared" si="2"/>
        <v/>
      </c>
      <c r="W689" s="18"/>
      <c r="X689" s="18"/>
      <c r="Y689" s="18"/>
      <c r="Z689" s="18"/>
      <c r="AA689" s="18"/>
      <c r="AB689" s="18" t="str">
        <f t="shared" si="3"/>
        <v/>
      </c>
      <c r="AC689" s="18" t="str">
        <f t="shared" si="4"/>
        <v/>
      </c>
      <c r="AD689" s="18" t="str">
        <f t="shared" si="5"/>
        <v/>
      </c>
      <c r="AE689" s="18" t="str">
        <f t="shared" si="6"/>
        <v/>
      </c>
    </row>
    <row r="690">
      <c r="A690" s="9" t="str">
        <f>IF(E690="","", IF('Global Precios'!B698="",0,'Global Precios'!B698))</f>
        <v/>
      </c>
      <c r="B690" s="14" t="str">
        <f>IF('Global Precios'!B698="","",'Global Precios'!B698)</f>
        <v/>
      </c>
      <c r="C690" s="18" t="str">
        <f>IF('Global Precios'!A698="","",'Global Precios'!A698)</f>
        <v/>
      </c>
      <c r="D690" s="18"/>
      <c r="E690" s="25" t="str">
        <f>IF('Global Precios'!D698="","",'Global Precios'!D698)</f>
        <v/>
      </c>
      <c r="F690" s="18"/>
      <c r="G690" s="25"/>
      <c r="H690" s="25" t="str">
        <f t="shared" si="1"/>
        <v/>
      </c>
      <c r="I690" s="30" t="str">
        <f>IF('Global Precios'!H698="","",'Global Precios'!H698)</f>
        <v/>
      </c>
      <c r="J690" s="18" t="str">
        <f>IF('Global Precios'!K698="","",'Global Precios'!K698)</f>
        <v/>
      </c>
      <c r="K690" s="30" t="str">
        <f>IF('Global Precios'!Z698="Desactivado",0,IF('Global Precios'!L698="","",'Global Precios'!L698))</f>
        <v/>
      </c>
      <c r="L690" s="18"/>
      <c r="M690" s="18"/>
      <c r="N690" s="18"/>
      <c r="O690" s="18"/>
      <c r="P690" s="18"/>
      <c r="Q690" s="18"/>
      <c r="R690" s="18" t="str">
        <f>IF('Global Precios'!F698="","",'Global Precios'!F698)</f>
        <v/>
      </c>
      <c r="S690" s="18"/>
      <c r="T690" s="18" t="str">
        <f>IF('Global Precios'!E698="","",'Global Precios'!E698)</f>
        <v/>
      </c>
      <c r="U690" s="18"/>
      <c r="V690" s="18" t="str">
        <f t="shared" si="2"/>
        <v/>
      </c>
      <c r="W690" s="18"/>
      <c r="X690" s="18"/>
      <c r="Y690" s="18"/>
      <c r="Z690" s="18"/>
      <c r="AA690" s="18"/>
      <c r="AB690" s="18" t="str">
        <f t="shared" si="3"/>
        <v/>
      </c>
      <c r="AC690" s="18" t="str">
        <f t="shared" si="4"/>
        <v/>
      </c>
      <c r="AD690" s="18" t="str">
        <f t="shared" si="5"/>
        <v/>
      </c>
      <c r="AE690" s="18" t="str">
        <f t="shared" si="6"/>
        <v/>
      </c>
    </row>
    <row r="691">
      <c r="A691" s="9" t="str">
        <f>IF(E691="","", IF('Global Precios'!B699="",0,'Global Precios'!B699))</f>
        <v/>
      </c>
      <c r="B691" s="14" t="str">
        <f>IF('Global Precios'!B699="","",'Global Precios'!B699)</f>
        <v/>
      </c>
      <c r="C691" s="18" t="str">
        <f>IF('Global Precios'!A699="","",'Global Precios'!A699)</f>
        <v/>
      </c>
      <c r="D691" s="18"/>
      <c r="E691" s="25" t="str">
        <f>IF('Global Precios'!D699="","",'Global Precios'!D699)</f>
        <v/>
      </c>
      <c r="F691" s="18"/>
      <c r="G691" s="25"/>
      <c r="H691" s="25" t="str">
        <f t="shared" si="1"/>
        <v/>
      </c>
      <c r="I691" s="30" t="str">
        <f>IF('Global Precios'!H699="","",'Global Precios'!H699)</f>
        <v/>
      </c>
      <c r="J691" s="18" t="str">
        <f>IF('Global Precios'!K699="","",'Global Precios'!K699)</f>
        <v/>
      </c>
      <c r="K691" s="30" t="str">
        <f>IF('Global Precios'!Z699="Desactivado",0,IF('Global Precios'!L699="","",'Global Precios'!L699))</f>
        <v/>
      </c>
      <c r="L691" s="18"/>
      <c r="M691" s="18"/>
      <c r="N691" s="18"/>
      <c r="O691" s="18"/>
      <c r="P691" s="18"/>
      <c r="Q691" s="18"/>
      <c r="R691" s="18" t="str">
        <f>IF('Global Precios'!F699="","",'Global Precios'!F699)</f>
        <v/>
      </c>
      <c r="S691" s="18"/>
      <c r="T691" s="18" t="str">
        <f>IF('Global Precios'!E699="","",'Global Precios'!E699)</f>
        <v/>
      </c>
      <c r="U691" s="18"/>
      <c r="V691" s="18" t="str">
        <f t="shared" si="2"/>
        <v/>
      </c>
      <c r="W691" s="18"/>
      <c r="X691" s="18"/>
      <c r="Y691" s="18"/>
      <c r="Z691" s="18"/>
      <c r="AA691" s="18"/>
      <c r="AB691" s="18" t="str">
        <f t="shared" si="3"/>
        <v/>
      </c>
      <c r="AC691" s="18" t="str">
        <f t="shared" si="4"/>
        <v/>
      </c>
      <c r="AD691" s="18" t="str">
        <f t="shared" si="5"/>
        <v/>
      </c>
      <c r="AE691" s="18" t="str">
        <f t="shared" si="6"/>
        <v/>
      </c>
    </row>
    <row r="692">
      <c r="A692" s="9" t="str">
        <f>IF(E692="","", IF('Global Precios'!B700="",0,'Global Precios'!B700))</f>
        <v/>
      </c>
      <c r="B692" s="14" t="str">
        <f>IF('Global Precios'!B700="","",'Global Precios'!B700)</f>
        <v/>
      </c>
      <c r="C692" s="18" t="str">
        <f>IF('Global Precios'!A700="","",'Global Precios'!A700)</f>
        <v/>
      </c>
      <c r="D692" s="18"/>
      <c r="E692" s="25" t="str">
        <f>IF('Global Precios'!D700="","",'Global Precios'!D700)</f>
        <v/>
      </c>
      <c r="F692" s="18"/>
      <c r="G692" s="25"/>
      <c r="H692" s="25" t="str">
        <f t="shared" si="1"/>
        <v/>
      </c>
      <c r="I692" s="30" t="str">
        <f>IF('Global Precios'!H700="","",'Global Precios'!H700)</f>
        <v/>
      </c>
      <c r="J692" s="18" t="str">
        <f>IF('Global Precios'!K700="","",'Global Precios'!K700)</f>
        <v/>
      </c>
      <c r="K692" s="30" t="str">
        <f>IF('Global Precios'!Z700="Desactivado",0,IF('Global Precios'!L700="","",'Global Precios'!L700))</f>
        <v/>
      </c>
      <c r="L692" s="18"/>
      <c r="M692" s="18"/>
      <c r="N692" s="18"/>
      <c r="O692" s="18"/>
      <c r="P692" s="18"/>
      <c r="Q692" s="18"/>
      <c r="R692" s="18" t="str">
        <f>IF('Global Precios'!F700="","",'Global Precios'!F700)</f>
        <v/>
      </c>
      <c r="S692" s="18"/>
      <c r="T692" s="18" t="str">
        <f>IF('Global Precios'!E700="","",'Global Precios'!E700)</f>
        <v/>
      </c>
      <c r="U692" s="18"/>
      <c r="V692" s="18" t="str">
        <f t="shared" si="2"/>
        <v/>
      </c>
      <c r="W692" s="18"/>
      <c r="X692" s="18"/>
      <c r="Y692" s="18"/>
      <c r="Z692" s="18"/>
      <c r="AA692" s="18"/>
      <c r="AB692" s="18" t="str">
        <f t="shared" si="3"/>
        <v/>
      </c>
      <c r="AC692" s="18" t="str">
        <f t="shared" si="4"/>
        <v/>
      </c>
      <c r="AD692" s="18" t="str">
        <f t="shared" si="5"/>
        <v/>
      </c>
      <c r="AE692" s="18" t="str">
        <f t="shared" si="6"/>
        <v/>
      </c>
    </row>
    <row r="693">
      <c r="A693" s="9" t="str">
        <f>IF(E693="","", IF('Global Precios'!B701="",0,'Global Precios'!B701))</f>
        <v/>
      </c>
      <c r="B693" s="14" t="str">
        <f>IF('Global Precios'!B701="","",'Global Precios'!B701)</f>
        <v/>
      </c>
      <c r="C693" s="18" t="str">
        <f>IF('Global Precios'!A701="","",'Global Precios'!A701)</f>
        <v/>
      </c>
      <c r="D693" s="18"/>
      <c r="E693" s="25" t="str">
        <f>IF('Global Precios'!D701="","",'Global Precios'!D701)</f>
        <v/>
      </c>
      <c r="F693" s="18"/>
      <c r="G693" s="25"/>
      <c r="H693" s="25" t="str">
        <f t="shared" si="1"/>
        <v/>
      </c>
      <c r="I693" s="30" t="str">
        <f>IF('Global Precios'!H701="","",'Global Precios'!H701)</f>
        <v/>
      </c>
      <c r="J693" s="18" t="str">
        <f>IF('Global Precios'!K701="","",'Global Precios'!K701)</f>
        <v/>
      </c>
      <c r="K693" s="30" t="str">
        <f>IF('Global Precios'!Z701="Desactivado",0,IF('Global Precios'!L701="","",'Global Precios'!L701))</f>
        <v/>
      </c>
      <c r="L693" s="18"/>
      <c r="M693" s="18"/>
      <c r="N693" s="18"/>
      <c r="O693" s="18"/>
      <c r="P693" s="18"/>
      <c r="Q693" s="18"/>
      <c r="R693" s="18" t="str">
        <f>IF('Global Precios'!F701="","",'Global Precios'!F701)</f>
        <v/>
      </c>
      <c r="S693" s="18"/>
      <c r="T693" s="18" t="str">
        <f>IF('Global Precios'!E701="","",'Global Precios'!E701)</f>
        <v/>
      </c>
      <c r="U693" s="18"/>
      <c r="V693" s="18" t="str">
        <f t="shared" si="2"/>
        <v/>
      </c>
      <c r="W693" s="18"/>
      <c r="X693" s="18"/>
      <c r="Y693" s="18"/>
      <c r="Z693" s="18"/>
      <c r="AA693" s="18"/>
      <c r="AB693" s="18" t="str">
        <f t="shared" si="3"/>
        <v/>
      </c>
      <c r="AC693" s="18" t="str">
        <f t="shared" si="4"/>
        <v/>
      </c>
      <c r="AD693" s="18" t="str">
        <f t="shared" si="5"/>
        <v/>
      </c>
      <c r="AE693" s="18" t="str">
        <f t="shared" si="6"/>
        <v/>
      </c>
    </row>
    <row r="694">
      <c r="A694" s="9" t="str">
        <f>IF(E694="","", IF('Global Precios'!B702="",0,'Global Precios'!B702))</f>
        <v/>
      </c>
      <c r="B694" s="14" t="str">
        <f>IF('Global Precios'!B702="","",'Global Precios'!B702)</f>
        <v/>
      </c>
      <c r="C694" s="18" t="str">
        <f>IF('Global Precios'!A702="","",'Global Precios'!A702)</f>
        <v/>
      </c>
      <c r="D694" s="18"/>
      <c r="E694" s="25" t="str">
        <f>IF('Global Precios'!D702="","",'Global Precios'!D702)</f>
        <v/>
      </c>
      <c r="F694" s="18"/>
      <c r="G694" s="25"/>
      <c r="H694" s="25" t="str">
        <f t="shared" si="1"/>
        <v/>
      </c>
      <c r="I694" s="30" t="str">
        <f>IF('Global Precios'!H702="","",'Global Precios'!H702)</f>
        <v/>
      </c>
      <c r="J694" s="18" t="str">
        <f>IF('Global Precios'!K702="","",'Global Precios'!K702)</f>
        <v/>
      </c>
      <c r="K694" s="30" t="str">
        <f>IF('Global Precios'!Z702="Desactivado",0,IF('Global Precios'!L702="","",'Global Precios'!L702))</f>
        <v/>
      </c>
      <c r="L694" s="18"/>
      <c r="M694" s="18"/>
      <c r="N694" s="18"/>
      <c r="O694" s="18"/>
      <c r="P694" s="18"/>
      <c r="Q694" s="18"/>
      <c r="R694" s="18" t="str">
        <f>IF('Global Precios'!F702="","",'Global Precios'!F702)</f>
        <v/>
      </c>
      <c r="S694" s="18"/>
      <c r="T694" s="18" t="str">
        <f>IF('Global Precios'!E702="","",'Global Precios'!E702)</f>
        <v/>
      </c>
      <c r="U694" s="18"/>
      <c r="V694" s="18" t="str">
        <f t="shared" si="2"/>
        <v/>
      </c>
      <c r="W694" s="18"/>
      <c r="X694" s="18"/>
      <c r="Y694" s="18"/>
      <c r="Z694" s="18"/>
      <c r="AA694" s="18"/>
      <c r="AB694" s="18" t="str">
        <f t="shared" si="3"/>
        <v/>
      </c>
      <c r="AC694" s="18" t="str">
        <f t="shared" si="4"/>
        <v/>
      </c>
      <c r="AD694" s="18" t="str">
        <f t="shared" si="5"/>
        <v/>
      </c>
      <c r="AE694" s="18" t="str">
        <f t="shared" si="6"/>
        <v/>
      </c>
    </row>
    <row r="695">
      <c r="A695" s="9" t="str">
        <f>IF(E695="","", IF('Global Precios'!B703="",0,'Global Precios'!B703))</f>
        <v/>
      </c>
      <c r="B695" s="14" t="str">
        <f>IF('Global Precios'!B703="","",'Global Precios'!B703)</f>
        <v/>
      </c>
      <c r="C695" s="18" t="str">
        <f>IF('Global Precios'!A703="","",'Global Precios'!A703)</f>
        <v/>
      </c>
      <c r="D695" s="18"/>
      <c r="E695" s="25" t="str">
        <f>IF('Global Precios'!D703="","",'Global Precios'!D703)</f>
        <v/>
      </c>
      <c r="F695" s="18"/>
      <c r="G695" s="25"/>
      <c r="H695" s="25" t="str">
        <f t="shared" si="1"/>
        <v/>
      </c>
      <c r="I695" s="30" t="str">
        <f>IF('Global Precios'!H703="","",'Global Precios'!H703)</f>
        <v/>
      </c>
      <c r="J695" s="18" t="str">
        <f>IF('Global Precios'!K703="","",'Global Precios'!K703)</f>
        <v/>
      </c>
      <c r="K695" s="30" t="str">
        <f>IF('Global Precios'!Z703="Desactivado",0,IF('Global Precios'!L703="","",'Global Precios'!L703))</f>
        <v/>
      </c>
      <c r="L695" s="18"/>
      <c r="M695" s="18"/>
      <c r="N695" s="18"/>
      <c r="O695" s="18"/>
      <c r="P695" s="18"/>
      <c r="Q695" s="18"/>
      <c r="R695" s="18" t="str">
        <f>IF('Global Precios'!F703="","",'Global Precios'!F703)</f>
        <v/>
      </c>
      <c r="S695" s="18"/>
      <c r="T695" s="18" t="str">
        <f>IF('Global Precios'!E703="","",'Global Precios'!E703)</f>
        <v/>
      </c>
      <c r="U695" s="18"/>
      <c r="V695" s="18" t="str">
        <f t="shared" si="2"/>
        <v/>
      </c>
      <c r="W695" s="18"/>
      <c r="X695" s="18"/>
      <c r="Y695" s="18"/>
      <c r="Z695" s="18"/>
      <c r="AA695" s="18"/>
      <c r="AB695" s="18" t="str">
        <f t="shared" si="3"/>
        <v/>
      </c>
      <c r="AC695" s="18" t="str">
        <f t="shared" si="4"/>
        <v/>
      </c>
      <c r="AD695" s="18" t="str">
        <f t="shared" si="5"/>
        <v/>
      </c>
      <c r="AE695" s="18" t="str">
        <f t="shared" si="6"/>
        <v/>
      </c>
    </row>
    <row r="696">
      <c r="A696" s="9" t="str">
        <f>IF(E696="","", IF('Global Precios'!B704="",0,'Global Precios'!B704))</f>
        <v/>
      </c>
      <c r="B696" s="14" t="str">
        <f>IF('Global Precios'!B704="","",'Global Precios'!B704)</f>
        <v/>
      </c>
      <c r="C696" s="18" t="str">
        <f>IF('Global Precios'!A704="","",'Global Precios'!A704)</f>
        <v/>
      </c>
      <c r="D696" s="18"/>
      <c r="E696" s="25" t="str">
        <f>IF('Global Precios'!D704="","",'Global Precios'!D704)</f>
        <v/>
      </c>
      <c r="F696" s="18"/>
      <c r="G696" s="25"/>
      <c r="H696" s="25" t="str">
        <f t="shared" si="1"/>
        <v/>
      </c>
      <c r="I696" s="30" t="str">
        <f>IF('Global Precios'!H704="","",'Global Precios'!H704)</f>
        <v/>
      </c>
      <c r="J696" s="18" t="str">
        <f>IF('Global Precios'!K704="","",'Global Precios'!K704)</f>
        <v/>
      </c>
      <c r="K696" s="30" t="str">
        <f>IF('Global Precios'!Z704="Desactivado",0,IF('Global Precios'!L704="","",'Global Precios'!L704))</f>
        <v/>
      </c>
      <c r="L696" s="18"/>
      <c r="M696" s="18"/>
      <c r="N696" s="18"/>
      <c r="O696" s="18"/>
      <c r="P696" s="18"/>
      <c r="Q696" s="18"/>
      <c r="R696" s="18" t="str">
        <f>IF('Global Precios'!F704="","",'Global Precios'!F704)</f>
        <v/>
      </c>
      <c r="S696" s="18"/>
      <c r="T696" s="18" t="str">
        <f>IF('Global Precios'!E704="","",'Global Precios'!E704)</f>
        <v/>
      </c>
      <c r="U696" s="18"/>
      <c r="V696" s="18" t="str">
        <f t="shared" si="2"/>
        <v/>
      </c>
      <c r="W696" s="18"/>
      <c r="X696" s="18"/>
      <c r="Y696" s="18"/>
      <c r="Z696" s="18"/>
      <c r="AA696" s="18"/>
      <c r="AB696" s="18" t="str">
        <f t="shared" si="3"/>
        <v/>
      </c>
      <c r="AC696" s="18" t="str">
        <f t="shared" si="4"/>
        <v/>
      </c>
      <c r="AD696" s="18" t="str">
        <f t="shared" si="5"/>
        <v/>
      </c>
      <c r="AE696" s="18" t="str">
        <f t="shared" si="6"/>
        <v/>
      </c>
    </row>
    <row r="697">
      <c r="A697" s="9" t="str">
        <f>IF(E697="","", IF('Global Precios'!B705="",0,'Global Precios'!B705))</f>
        <v/>
      </c>
      <c r="B697" s="14" t="str">
        <f>IF('Global Precios'!B705="","",'Global Precios'!B705)</f>
        <v/>
      </c>
      <c r="C697" s="18" t="str">
        <f>IF('Global Precios'!A705="","",'Global Precios'!A705)</f>
        <v/>
      </c>
      <c r="D697" s="18"/>
      <c r="E697" s="25" t="str">
        <f>IF('Global Precios'!D705="","",'Global Precios'!D705)</f>
        <v/>
      </c>
      <c r="F697" s="18"/>
      <c r="G697" s="25"/>
      <c r="H697" s="25" t="str">
        <f t="shared" si="1"/>
        <v/>
      </c>
      <c r="I697" s="30" t="str">
        <f>IF('Global Precios'!H705="","",'Global Precios'!H705)</f>
        <v/>
      </c>
      <c r="J697" s="18" t="str">
        <f>IF('Global Precios'!K705="","",'Global Precios'!K705)</f>
        <v/>
      </c>
      <c r="K697" s="30" t="str">
        <f>IF('Global Precios'!Z705="Desactivado",0,IF('Global Precios'!L705="","",'Global Precios'!L705))</f>
        <v/>
      </c>
      <c r="L697" s="18"/>
      <c r="M697" s="18"/>
      <c r="N697" s="18"/>
      <c r="O697" s="18"/>
      <c r="P697" s="18"/>
      <c r="Q697" s="18"/>
      <c r="R697" s="18" t="str">
        <f>IF('Global Precios'!F705="","",'Global Precios'!F705)</f>
        <v/>
      </c>
      <c r="S697" s="18"/>
      <c r="T697" s="18" t="str">
        <f>IF('Global Precios'!E705="","",'Global Precios'!E705)</f>
        <v/>
      </c>
      <c r="U697" s="18"/>
      <c r="V697" s="18" t="str">
        <f t="shared" si="2"/>
        <v/>
      </c>
      <c r="W697" s="18"/>
      <c r="X697" s="18"/>
      <c r="Y697" s="18"/>
      <c r="Z697" s="18"/>
      <c r="AA697" s="18"/>
      <c r="AB697" s="18" t="str">
        <f t="shared" si="3"/>
        <v/>
      </c>
      <c r="AC697" s="18" t="str">
        <f t="shared" si="4"/>
        <v/>
      </c>
      <c r="AD697" s="18" t="str">
        <f t="shared" si="5"/>
        <v/>
      </c>
      <c r="AE697" s="18" t="str">
        <f t="shared" si="6"/>
        <v/>
      </c>
    </row>
    <row r="698">
      <c r="A698" s="9" t="str">
        <f>IF(E698="","", IF('Global Precios'!B706="",0,'Global Precios'!B706))</f>
        <v/>
      </c>
      <c r="B698" s="14" t="str">
        <f>IF('Global Precios'!B706="","",'Global Precios'!B706)</f>
        <v/>
      </c>
      <c r="C698" s="18" t="str">
        <f>IF('Global Precios'!A706="","",'Global Precios'!A706)</f>
        <v/>
      </c>
      <c r="D698" s="18"/>
      <c r="E698" s="25" t="str">
        <f>IF('Global Precios'!D706="","",'Global Precios'!D706)</f>
        <v/>
      </c>
      <c r="F698" s="18"/>
      <c r="G698" s="25"/>
      <c r="H698" s="25" t="str">
        <f t="shared" si="1"/>
        <v/>
      </c>
      <c r="I698" s="30" t="str">
        <f>IF('Global Precios'!H706="","",'Global Precios'!H706)</f>
        <v/>
      </c>
      <c r="J698" s="18" t="str">
        <f>IF('Global Precios'!K706="","",'Global Precios'!K706)</f>
        <v/>
      </c>
      <c r="K698" s="30" t="str">
        <f>IF('Global Precios'!Z706="Desactivado",0,IF('Global Precios'!L706="","",'Global Precios'!L706))</f>
        <v/>
      </c>
      <c r="L698" s="18"/>
      <c r="M698" s="18"/>
      <c r="N698" s="18"/>
      <c r="O698" s="18"/>
      <c r="P698" s="18"/>
      <c r="Q698" s="18"/>
      <c r="R698" s="18" t="str">
        <f>IF('Global Precios'!F706="","",'Global Precios'!F706)</f>
        <v/>
      </c>
      <c r="S698" s="18"/>
      <c r="T698" s="18" t="str">
        <f>IF('Global Precios'!E706="","",'Global Precios'!E706)</f>
        <v/>
      </c>
      <c r="U698" s="18"/>
      <c r="V698" s="18" t="str">
        <f t="shared" si="2"/>
        <v/>
      </c>
      <c r="W698" s="18"/>
      <c r="X698" s="18"/>
      <c r="Y698" s="18"/>
      <c r="Z698" s="18"/>
      <c r="AA698" s="18"/>
      <c r="AB698" s="18" t="str">
        <f t="shared" si="3"/>
        <v/>
      </c>
      <c r="AC698" s="18" t="str">
        <f t="shared" si="4"/>
        <v/>
      </c>
      <c r="AD698" s="18" t="str">
        <f t="shared" si="5"/>
        <v/>
      </c>
      <c r="AE698" s="18" t="str">
        <f t="shared" si="6"/>
        <v/>
      </c>
    </row>
    <row r="699">
      <c r="A699" s="9" t="str">
        <f>IF(E699="","", IF('Global Precios'!B707="",0,'Global Precios'!B707))</f>
        <v/>
      </c>
      <c r="B699" s="14" t="str">
        <f>IF('Global Precios'!B707="","",'Global Precios'!B707)</f>
        <v/>
      </c>
      <c r="C699" s="18" t="str">
        <f>IF('Global Precios'!A707="","",'Global Precios'!A707)</f>
        <v/>
      </c>
      <c r="D699" s="18"/>
      <c r="E699" s="25" t="str">
        <f>IF('Global Precios'!D707="","",'Global Precios'!D707)</f>
        <v/>
      </c>
      <c r="F699" s="18"/>
      <c r="G699" s="25"/>
      <c r="H699" s="25" t="str">
        <f t="shared" si="1"/>
        <v/>
      </c>
      <c r="I699" s="30" t="str">
        <f>IF('Global Precios'!H707="","",'Global Precios'!H707)</f>
        <v/>
      </c>
      <c r="J699" s="18" t="str">
        <f>IF('Global Precios'!K707="","",'Global Precios'!K707)</f>
        <v/>
      </c>
      <c r="K699" s="30" t="str">
        <f>IF('Global Precios'!Z707="Desactivado",0,IF('Global Precios'!L707="","",'Global Precios'!L707))</f>
        <v/>
      </c>
      <c r="L699" s="18"/>
      <c r="M699" s="18"/>
      <c r="N699" s="18"/>
      <c r="O699" s="18"/>
      <c r="P699" s="18"/>
      <c r="Q699" s="18"/>
      <c r="R699" s="18" t="str">
        <f>IF('Global Precios'!F707="","",'Global Precios'!F707)</f>
        <v/>
      </c>
      <c r="S699" s="18"/>
      <c r="T699" s="18" t="str">
        <f>IF('Global Precios'!E707="","",'Global Precios'!E707)</f>
        <v/>
      </c>
      <c r="U699" s="18"/>
      <c r="V699" s="18" t="str">
        <f t="shared" si="2"/>
        <v/>
      </c>
      <c r="W699" s="18"/>
      <c r="X699" s="18"/>
      <c r="Y699" s="18"/>
      <c r="Z699" s="18"/>
      <c r="AA699" s="18"/>
      <c r="AB699" s="18" t="str">
        <f t="shared" si="3"/>
        <v/>
      </c>
      <c r="AC699" s="18" t="str">
        <f t="shared" si="4"/>
        <v/>
      </c>
      <c r="AD699" s="18" t="str">
        <f t="shared" si="5"/>
        <v/>
      </c>
      <c r="AE699" s="18" t="str">
        <f t="shared" si="6"/>
        <v/>
      </c>
    </row>
    <row r="700">
      <c r="A700" s="9" t="str">
        <f>IF(E700="","", IF('Global Precios'!B708="",0,'Global Precios'!B708))</f>
        <v/>
      </c>
      <c r="B700" s="14" t="str">
        <f>IF('Global Precios'!B708="","",'Global Precios'!B708)</f>
        <v/>
      </c>
      <c r="C700" s="18" t="str">
        <f>IF('Global Precios'!A708="","",'Global Precios'!A708)</f>
        <v/>
      </c>
      <c r="D700" s="18"/>
      <c r="E700" s="25" t="str">
        <f>IF('Global Precios'!D708="","",'Global Precios'!D708)</f>
        <v/>
      </c>
      <c r="F700" s="18"/>
      <c r="G700" s="25"/>
      <c r="H700" s="25" t="str">
        <f t="shared" si="1"/>
        <v/>
      </c>
      <c r="I700" s="30" t="str">
        <f>IF('Global Precios'!H708="","",'Global Precios'!H708)</f>
        <v/>
      </c>
      <c r="J700" s="18" t="str">
        <f>IF('Global Precios'!K708="","",'Global Precios'!K708)</f>
        <v/>
      </c>
      <c r="K700" s="30" t="str">
        <f>IF('Global Precios'!Z708="Desactivado",0,IF('Global Precios'!L708="","",'Global Precios'!L708))</f>
        <v/>
      </c>
      <c r="L700" s="18"/>
      <c r="M700" s="18"/>
      <c r="N700" s="18"/>
      <c r="O700" s="18"/>
      <c r="P700" s="18"/>
      <c r="Q700" s="18"/>
      <c r="R700" s="18" t="str">
        <f>IF('Global Precios'!F708="","",'Global Precios'!F708)</f>
        <v/>
      </c>
      <c r="S700" s="18"/>
      <c r="T700" s="18" t="str">
        <f>IF('Global Precios'!E708="","",'Global Precios'!E708)</f>
        <v/>
      </c>
      <c r="U700" s="18"/>
      <c r="V700" s="18" t="str">
        <f t="shared" si="2"/>
        <v/>
      </c>
      <c r="W700" s="18"/>
      <c r="X700" s="18"/>
      <c r="Y700" s="18"/>
      <c r="Z700" s="18"/>
      <c r="AA700" s="18"/>
      <c r="AB700" s="18" t="str">
        <f t="shared" si="3"/>
        <v/>
      </c>
      <c r="AC700" s="18" t="str">
        <f t="shared" si="4"/>
        <v/>
      </c>
      <c r="AD700" s="18" t="str">
        <f t="shared" si="5"/>
        <v/>
      </c>
      <c r="AE700" s="18" t="str">
        <f t="shared" si="6"/>
        <v/>
      </c>
    </row>
    <row r="701">
      <c r="A701" s="9" t="str">
        <f>IF(E701="","", IF('Global Precios'!B709="",0,'Global Precios'!B709))</f>
        <v/>
      </c>
      <c r="B701" s="14" t="str">
        <f>IF('Global Precios'!B709="","",'Global Precios'!B709)</f>
        <v/>
      </c>
      <c r="C701" s="18" t="str">
        <f>IF('Global Precios'!A709="","",'Global Precios'!A709)</f>
        <v/>
      </c>
      <c r="D701" s="18"/>
      <c r="E701" s="25" t="str">
        <f>IF('Global Precios'!D709="","",'Global Precios'!D709)</f>
        <v/>
      </c>
      <c r="F701" s="18"/>
      <c r="G701" s="25"/>
      <c r="H701" s="25" t="str">
        <f t="shared" si="1"/>
        <v/>
      </c>
      <c r="I701" s="30" t="str">
        <f>IF('Global Precios'!H709="","",'Global Precios'!H709)</f>
        <v/>
      </c>
      <c r="J701" s="18" t="str">
        <f>IF('Global Precios'!K709="","",'Global Precios'!K709)</f>
        <v/>
      </c>
      <c r="K701" s="30" t="str">
        <f>IF('Global Precios'!Z709="Desactivado",0,IF('Global Precios'!L709="","",'Global Precios'!L709))</f>
        <v/>
      </c>
      <c r="L701" s="18"/>
      <c r="M701" s="18"/>
      <c r="N701" s="18"/>
      <c r="O701" s="18"/>
      <c r="P701" s="18"/>
      <c r="Q701" s="18"/>
      <c r="R701" s="18" t="str">
        <f>IF('Global Precios'!F709="","",'Global Precios'!F709)</f>
        <v/>
      </c>
      <c r="S701" s="18"/>
      <c r="T701" s="18" t="str">
        <f>IF('Global Precios'!E709="","",'Global Precios'!E709)</f>
        <v/>
      </c>
      <c r="U701" s="18"/>
      <c r="V701" s="18" t="str">
        <f t="shared" si="2"/>
        <v/>
      </c>
      <c r="W701" s="18"/>
      <c r="X701" s="18"/>
      <c r="Y701" s="18"/>
      <c r="Z701" s="18"/>
      <c r="AA701" s="18"/>
      <c r="AB701" s="18" t="str">
        <f t="shared" si="3"/>
        <v/>
      </c>
      <c r="AC701" s="18" t="str">
        <f t="shared" si="4"/>
        <v/>
      </c>
      <c r="AD701" s="18" t="str">
        <f t="shared" si="5"/>
        <v/>
      </c>
      <c r="AE701" s="18" t="str">
        <f t="shared" si="6"/>
        <v/>
      </c>
    </row>
    <row r="702">
      <c r="A702" s="9" t="str">
        <f>IF(E702="","", IF('Global Precios'!B710="",0,'Global Precios'!B710))</f>
        <v/>
      </c>
      <c r="B702" s="14" t="str">
        <f>IF('Global Precios'!B710="","",'Global Precios'!B710)</f>
        <v/>
      </c>
      <c r="C702" s="18" t="str">
        <f>IF('Global Precios'!A710="","",'Global Precios'!A710)</f>
        <v/>
      </c>
      <c r="D702" s="18"/>
      <c r="E702" s="25" t="str">
        <f>IF('Global Precios'!D710="","",'Global Precios'!D710)</f>
        <v/>
      </c>
      <c r="F702" s="18"/>
      <c r="G702" s="25"/>
      <c r="H702" s="25" t="str">
        <f t="shared" si="1"/>
        <v/>
      </c>
      <c r="I702" s="30" t="str">
        <f>IF('Global Precios'!H710="","",'Global Precios'!H710)</f>
        <v/>
      </c>
      <c r="J702" s="18" t="str">
        <f>IF('Global Precios'!K710="","",'Global Precios'!K710)</f>
        <v/>
      </c>
      <c r="K702" s="30" t="str">
        <f>IF('Global Precios'!Z710="Desactivado",0,IF('Global Precios'!L710="","",'Global Precios'!L710))</f>
        <v/>
      </c>
      <c r="L702" s="18"/>
      <c r="M702" s="18"/>
      <c r="N702" s="18"/>
      <c r="O702" s="18"/>
      <c r="P702" s="18"/>
      <c r="Q702" s="18"/>
      <c r="R702" s="18" t="str">
        <f>IF('Global Precios'!F710="","",'Global Precios'!F710)</f>
        <v/>
      </c>
      <c r="S702" s="18"/>
      <c r="T702" s="18" t="str">
        <f>IF('Global Precios'!E710="","",'Global Precios'!E710)</f>
        <v/>
      </c>
      <c r="U702" s="18"/>
      <c r="V702" s="18" t="str">
        <f t="shared" si="2"/>
        <v/>
      </c>
      <c r="W702" s="18"/>
      <c r="X702" s="18"/>
      <c r="Y702" s="18"/>
      <c r="Z702" s="18"/>
      <c r="AA702" s="18"/>
      <c r="AB702" s="18" t="str">
        <f t="shared" si="3"/>
        <v/>
      </c>
      <c r="AC702" s="18" t="str">
        <f t="shared" si="4"/>
        <v/>
      </c>
      <c r="AD702" s="18" t="str">
        <f t="shared" si="5"/>
        <v/>
      </c>
      <c r="AE702" s="18" t="str">
        <f t="shared" si="6"/>
        <v/>
      </c>
    </row>
    <row r="703">
      <c r="A703" s="9" t="str">
        <f>IF(E703="","", IF('Global Precios'!B711="",0,'Global Precios'!B711))</f>
        <v/>
      </c>
      <c r="B703" s="14" t="str">
        <f>IF('Global Precios'!B711="","",'Global Precios'!B711)</f>
        <v/>
      </c>
      <c r="C703" s="18" t="str">
        <f>IF('Global Precios'!A711="","",'Global Precios'!A711)</f>
        <v/>
      </c>
      <c r="D703" s="18"/>
      <c r="E703" s="25" t="str">
        <f>IF('Global Precios'!D711="","",'Global Precios'!D711)</f>
        <v/>
      </c>
      <c r="F703" s="18"/>
      <c r="G703" s="25"/>
      <c r="H703" s="25" t="str">
        <f t="shared" si="1"/>
        <v/>
      </c>
      <c r="I703" s="30" t="str">
        <f>IF('Global Precios'!H711="","",'Global Precios'!H711)</f>
        <v/>
      </c>
      <c r="J703" s="18" t="str">
        <f>IF('Global Precios'!K711="","",'Global Precios'!K711)</f>
        <v/>
      </c>
      <c r="K703" s="30" t="str">
        <f>IF('Global Precios'!Z711="Desactivado",0,IF('Global Precios'!L711="","",'Global Precios'!L711))</f>
        <v/>
      </c>
      <c r="L703" s="18"/>
      <c r="M703" s="18"/>
      <c r="N703" s="18"/>
      <c r="O703" s="18"/>
      <c r="P703" s="18"/>
      <c r="Q703" s="18"/>
      <c r="R703" s="18" t="str">
        <f>IF('Global Precios'!F711="","",'Global Precios'!F711)</f>
        <v/>
      </c>
      <c r="S703" s="18"/>
      <c r="T703" s="18" t="str">
        <f>IF('Global Precios'!E711="","",'Global Precios'!E711)</f>
        <v/>
      </c>
      <c r="U703" s="18"/>
      <c r="V703" s="18" t="str">
        <f t="shared" si="2"/>
        <v/>
      </c>
      <c r="W703" s="18"/>
      <c r="X703" s="18"/>
      <c r="Y703" s="18"/>
      <c r="Z703" s="18"/>
      <c r="AA703" s="18"/>
      <c r="AB703" s="18" t="str">
        <f t="shared" si="3"/>
        <v/>
      </c>
      <c r="AC703" s="18" t="str">
        <f t="shared" si="4"/>
        <v/>
      </c>
      <c r="AD703" s="18" t="str">
        <f t="shared" si="5"/>
        <v/>
      </c>
      <c r="AE703" s="18" t="str">
        <f t="shared" si="6"/>
        <v/>
      </c>
    </row>
    <row r="704">
      <c r="A704" s="9" t="str">
        <f>IF(E704="","", IF('Global Precios'!B712="",0,'Global Precios'!B712))</f>
        <v/>
      </c>
      <c r="B704" s="14" t="str">
        <f>IF('Global Precios'!B712="","",'Global Precios'!B712)</f>
        <v/>
      </c>
      <c r="C704" s="18" t="str">
        <f>IF('Global Precios'!A712="","",'Global Precios'!A712)</f>
        <v/>
      </c>
      <c r="D704" s="18"/>
      <c r="E704" s="25" t="str">
        <f>IF('Global Precios'!D712="","",'Global Precios'!D712)</f>
        <v/>
      </c>
      <c r="F704" s="18"/>
      <c r="G704" s="25"/>
      <c r="H704" s="25" t="str">
        <f t="shared" si="1"/>
        <v/>
      </c>
      <c r="I704" s="30" t="str">
        <f>IF('Global Precios'!H712="","",'Global Precios'!H712)</f>
        <v/>
      </c>
      <c r="J704" s="18" t="str">
        <f>IF('Global Precios'!K712="","",'Global Precios'!K712)</f>
        <v/>
      </c>
      <c r="K704" s="30" t="str">
        <f>IF('Global Precios'!Z712="Desactivado",0,IF('Global Precios'!L712="","",'Global Precios'!L712))</f>
        <v/>
      </c>
      <c r="L704" s="18"/>
      <c r="M704" s="18"/>
      <c r="N704" s="18"/>
      <c r="O704" s="18"/>
      <c r="P704" s="18"/>
      <c r="Q704" s="18"/>
      <c r="R704" s="18" t="str">
        <f>IF('Global Precios'!F712="","",'Global Precios'!F712)</f>
        <v/>
      </c>
      <c r="S704" s="18"/>
      <c r="T704" s="18" t="str">
        <f>IF('Global Precios'!E712="","",'Global Precios'!E712)</f>
        <v/>
      </c>
      <c r="U704" s="18"/>
      <c r="V704" s="18" t="str">
        <f t="shared" si="2"/>
        <v/>
      </c>
      <c r="W704" s="18"/>
      <c r="X704" s="18"/>
      <c r="Y704" s="18"/>
      <c r="Z704" s="18"/>
      <c r="AA704" s="18"/>
      <c r="AB704" s="18" t="str">
        <f t="shared" si="3"/>
        <v/>
      </c>
      <c r="AC704" s="18" t="str">
        <f t="shared" si="4"/>
        <v/>
      </c>
      <c r="AD704" s="18" t="str">
        <f t="shared" si="5"/>
        <v/>
      </c>
      <c r="AE704" s="18" t="str">
        <f t="shared" si="6"/>
        <v/>
      </c>
    </row>
    <row r="705">
      <c r="A705" s="9" t="str">
        <f>IF(E705="","", IF('Global Precios'!B713="",0,'Global Precios'!B713))</f>
        <v/>
      </c>
      <c r="B705" s="14" t="str">
        <f>IF('Global Precios'!B713="","",'Global Precios'!B713)</f>
        <v/>
      </c>
      <c r="C705" s="18" t="str">
        <f>IF('Global Precios'!A713="","",'Global Precios'!A713)</f>
        <v/>
      </c>
      <c r="D705" s="18"/>
      <c r="E705" s="25" t="str">
        <f>IF('Global Precios'!D713="","",'Global Precios'!D713)</f>
        <v/>
      </c>
      <c r="F705" s="18"/>
      <c r="G705" s="25"/>
      <c r="H705" s="25" t="str">
        <f t="shared" si="1"/>
        <v/>
      </c>
      <c r="I705" s="30" t="str">
        <f>IF('Global Precios'!H713="","",'Global Precios'!H713)</f>
        <v/>
      </c>
      <c r="J705" s="18" t="str">
        <f>IF('Global Precios'!K713="","",'Global Precios'!K713)</f>
        <v/>
      </c>
      <c r="K705" s="30" t="str">
        <f>IF('Global Precios'!Z713="Desactivado",0,IF('Global Precios'!L713="","",'Global Precios'!L713))</f>
        <v/>
      </c>
      <c r="L705" s="18"/>
      <c r="M705" s="18"/>
      <c r="N705" s="18"/>
      <c r="O705" s="18"/>
      <c r="P705" s="18"/>
      <c r="Q705" s="18"/>
      <c r="R705" s="18" t="str">
        <f>IF('Global Precios'!F713="","",'Global Precios'!F713)</f>
        <v/>
      </c>
      <c r="S705" s="18"/>
      <c r="T705" s="18" t="str">
        <f>IF('Global Precios'!E713="","",'Global Precios'!E713)</f>
        <v/>
      </c>
      <c r="U705" s="18"/>
      <c r="V705" s="18" t="str">
        <f t="shared" si="2"/>
        <v/>
      </c>
      <c r="W705" s="18"/>
      <c r="X705" s="18"/>
      <c r="Y705" s="18"/>
      <c r="Z705" s="18"/>
      <c r="AA705" s="18"/>
      <c r="AB705" s="18" t="str">
        <f t="shared" si="3"/>
        <v/>
      </c>
      <c r="AC705" s="18" t="str">
        <f t="shared" si="4"/>
        <v/>
      </c>
      <c r="AD705" s="18" t="str">
        <f t="shared" si="5"/>
        <v/>
      </c>
      <c r="AE705" s="18" t="str">
        <f t="shared" si="6"/>
        <v/>
      </c>
    </row>
    <row r="706">
      <c r="A706" s="9" t="str">
        <f>IF(E706="","", IF('Global Precios'!B714="",0,'Global Precios'!B714))</f>
        <v/>
      </c>
      <c r="B706" s="14" t="str">
        <f>IF('Global Precios'!B714="","",'Global Precios'!B714)</f>
        <v/>
      </c>
      <c r="C706" s="18" t="str">
        <f>IF('Global Precios'!A714="","",'Global Precios'!A714)</f>
        <v/>
      </c>
      <c r="D706" s="18"/>
      <c r="E706" s="25" t="str">
        <f>IF('Global Precios'!D714="","",'Global Precios'!D714)</f>
        <v/>
      </c>
      <c r="F706" s="18"/>
      <c r="G706" s="25"/>
      <c r="H706" s="25" t="str">
        <f t="shared" si="1"/>
        <v/>
      </c>
      <c r="I706" s="30" t="str">
        <f>IF('Global Precios'!H714="","",'Global Precios'!H714)</f>
        <v/>
      </c>
      <c r="J706" s="18" t="str">
        <f>IF('Global Precios'!K714="","",'Global Precios'!K714)</f>
        <v/>
      </c>
      <c r="K706" s="30" t="str">
        <f>IF('Global Precios'!Z714="Desactivado",0,IF('Global Precios'!L714="","",'Global Precios'!L714))</f>
        <v/>
      </c>
      <c r="L706" s="18"/>
      <c r="M706" s="18"/>
      <c r="N706" s="18"/>
      <c r="O706" s="18"/>
      <c r="P706" s="18"/>
      <c r="Q706" s="18"/>
      <c r="R706" s="18" t="str">
        <f>IF('Global Precios'!F714="","",'Global Precios'!F714)</f>
        <v/>
      </c>
      <c r="S706" s="18"/>
      <c r="T706" s="18" t="str">
        <f>IF('Global Precios'!E714="","",'Global Precios'!E714)</f>
        <v/>
      </c>
      <c r="U706" s="18"/>
      <c r="V706" s="18" t="str">
        <f t="shared" si="2"/>
        <v/>
      </c>
      <c r="W706" s="18"/>
      <c r="X706" s="18"/>
      <c r="Y706" s="18"/>
      <c r="Z706" s="18"/>
      <c r="AA706" s="18"/>
      <c r="AB706" s="18" t="str">
        <f t="shared" si="3"/>
        <v/>
      </c>
      <c r="AC706" s="18" t="str">
        <f t="shared" si="4"/>
        <v/>
      </c>
      <c r="AD706" s="18" t="str">
        <f t="shared" si="5"/>
        <v/>
      </c>
      <c r="AE706" s="18" t="str">
        <f t="shared" si="6"/>
        <v/>
      </c>
    </row>
    <row r="707">
      <c r="A707" s="9" t="str">
        <f>IF(E707="","", IF('Global Precios'!B715="",0,'Global Precios'!B715))</f>
        <v/>
      </c>
      <c r="B707" s="14" t="str">
        <f>IF('Global Precios'!B715="","",'Global Precios'!B715)</f>
        <v/>
      </c>
      <c r="C707" s="18" t="str">
        <f>IF('Global Precios'!A715="","",'Global Precios'!A715)</f>
        <v/>
      </c>
      <c r="D707" s="18"/>
      <c r="E707" s="25" t="str">
        <f>IF('Global Precios'!D715="","",'Global Precios'!D715)</f>
        <v/>
      </c>
      <c r="F707" s="18"/>
      <c r="G707" s="25"/>
      <c r="H707" s="25" t="str">
        <f t="shared" si="1"/>
        <v/>
      </c>
      <c r="I707" s="30" t="str">
        <f>IF('Global Precios'!H715="","",'Global Precios'!H715)</f>
        <v/>
      </c>
      <c r="J707" s="18" t="str">
        <f>IF('Global Precios'!K715="","",'Global Precios'!K715)</f>
        <v/>
      </c>
      <c r="K707" s="30" t="str">
        <f>IF('Global Precios'!Z715="Desactivado",0,IF('Global Precios'!L715="","",'Global Precios'!L715))</f>
        <v/>
      </c>
      <c r="L707" s="18"/>
      <c r="M707" s="18"/>
      <c r="N707" s="18"/>
      <c r="O707" s="18"/>
      <c r="P707" s="18"/>
      <c r="Q707" s="18"/>
      <c r="R707" s="18" t="str">
        <f>IF('Global Precios'!F715="","",'Global Precios'!F715)</f>
        <v/>
      </c>
      <c r="S707" s="18"/>
      <c r="T707" s="18" t="str">
        <f>IF('Global Precios'!E715="","",'Global Precios'!E715)</f>
        <v/>
      </c>
      <c r="U707" s="18"/>
      <c r="V707" s="18" t="str">
        <f t="shared" si="2"/>
        <v/>
      </c>
      <c r="W707" s="18"/>
      <c r="X707" s="18"/>
      <c r="Y707" s="18"/>
      <c r="Z707" s="18"/>
      <c r="AA707" s="18"/>
      <c r="AB707" s="18" t="str">
        <f t="shared" si="3"/>
        <v/>
      </c>
      <c r="AC707" s="18" t="str">
        <f t="shared" si="4"/>
        <v/>
      </c>
      <c r="AD707" s="18" t="str">
        <f t="shared" si="5"/>
        <v/>
      </c>
      <c r="AE707" s="18" t="str">
        <f t="shared" si="6"/>
        <v/>
      </c>
    </row>
    <row r="708">
      <c r="A708" s="9" t="str">
        <f>IF(E708="","", IF('Global Precios'!B716="",0,'Global Precios'!B716))</f>
        <v/>
      </c>
      <c r="B708" s="14" t="str">
        <f>IF('Global Precios'!B716="","",'Global Precios'!B716)</f>
        <v/>
      </c>
      <c r="C708" s="18" t="str">
        <f>IF('Global Precios'!A716="","",'Global Precios'!A716)</f>
        <v/>
      </c>
      <c r="D708" s="18"/>
      <c r="E708" s="25" t="str">
        <f>IF('Global Precios'!D716="","",'Global Precios'!D716)</f>
        <v/>
      </c>
      <c r="F708" s="18"/>
      <c r="G708" s="25"/>
      <c r="H708" s="25" t="str">
        <f t="shared" si="1"/>
        <v/>
      </c>
      <c r="I708" s="30" t="str">
        <f>IF('Global Precios'!H716="","",'Global Precios'!H716)</f>
        <v/>
      </c>
      <c r="J708" s="18" t="str">
        <f>IF('Global Precios'!K716="","",'Global Precios'!K716)</f>
        <v/>
      </c>
      <c r="K708" s="30" t="str">
        <f>IF('Global Precios'!Z716="Desactivado",0,IF('Global Precios'!L716="","",'Global Precios'!L716))</f>
        <v/>
      </c>
      <c r="L708" s="18"/>
      <c r="M708" s="18"/>
      <c r="N708" s="18"/>
      <c r="O708" s="18"/>
      <c r="P708" s="18"/>
      <c r="Q708" s="18"/>
      <c r="R708" s="18" t="str">
        <f>IF('Global Precios'!F716="","",'Global Precios'!F716)</f>
        <v/>
      </c>
      <c r="S708" s="18"/>
      <c r="T708" s="18" t="str">
        <f>IF('Global Precios'!E716="","",'Global Precios'!E716)</f>
        <v/>
      </c>
      <c r="U708" s="18"/>
      <c r="V708" s="18" t="str">
        <f t="shared" si="2"/>
        <v/>
      </c>
      <c r="W708" s="18"/>
      <c r="X708" s="18"/>
      <c r="Y708" s="18"/>
      <c r="Z708" s="18"/>
      <c r="AA708" s="18"/>
      <c r="AB708" s="18" t="str">
        <f t="shared" si="3"/>
        <v/>
      </c>
      <c r="AC708" s="18" t="str">
        <f t="shared" si="4"/>
        <v/>
      </c>
      <c r="AD708" s="18" t="str">
        <f t="shared" si="5"/>
        <v/>
      </c>
      <c r="AE708" s="18" t="str">
        <f t="shared" si="6"/>
        <v/>
      </c>
    </row>
    <row r="709">
      <c r="A709" s="9" t="str">
        <f>IF(E709="","", IF('Global Precios'!B717="",0,'Global Precios'!B717))</f>
        <v/>
      </c>
      <c r="B709" s="14" t="str">
        <f>IF('Global Precios'!B717="","",'Global Precios'!B717)</f>
        <v/>
      </c>
      <c r="C709" s="18" t="str">
        <f>IF('Global Precios'!A717="","",'Global Precios'!A717)</f>
        <v/>
      </c>
      <c r="D709" s="18"/>
      <c r="E709" s="25" t="str">
        <f>IF('Global Precios'!D717="","",'Global Precios'!D717)</f>
        <v/>
      </c>
      <c r="F709" s="18"/>
      <c r="G709" s="25"/>
      <c r="H709" s="25" t="str">
        <f t="shared" si="1"/>
        <v/>
      </c>
      <c r="I709" s="30" t="str">
        <f>IF('Global Precios'!H717="","",'Global Precios'!H717)</f>
        <v/>
      </c>
      <c r="J709" s="18" t="str">
        <f>IF('Global Precios'!K717="","",'Global Precios'!K717)</f>
        <v/>
      </c>
      <c r="K709" s="30" t="str">
        <f>IF('Global Precios'!Z717="Desactivado",0,IF('Global Precios'!L717="","",'Global Precios'!L717))</f>
        <v/>
      </c>
      <c r="L709" s="18"/>
      <c r="M709" s="18"/>
      <c r="N709" s="18"/>
      <c r="O709" s="18"/>
      <c r="P709" s="18"/>
      <c r="Q709" s="18"/>
      <c r="R709" s="18" t="str">
        <f>IF('Global Precios'!F717="","",'Global Precios'!F717)</f>
        <v/>
      </c>
      <c r="S709" s="18"/>
      <c r="T709" s="18" t="str">
        <f>IF('Global Precios'!E717="","",'Global Precios'!E717)</f>
        <v/>
      </c>
      <c r="U709" s="18"/>
      <c r="V709" s="18" t="str">
        <f t="shared" si="2"/>
        <v/>
      </c>
      <c r="W709" s="18"/>
      <c r="X709" s="18"/>
      <c r="Y709" s="18"/>
      <c r="Z709" s="18"/>
      <c r="AA709" s="18"/>
      <c r="AB709" s="18" t="str">
        <f t="shared" si="3"/>
        <v/>
      </c>
      <c r="AC709" s="18" t="str">
        <f t="shared" si="4"/>
        <v/>
      </c>
      <c r="AD709" s="18" t="str">
        <f t="shared" si="5"/>
        <v/>
      </c>
      <c r="AE709" s="18" t="str">
        <f t="shared" si="6"/>
        <v/>
      </c>
    </row>
    <row r="710">
      <c r="A710" s="9" t="str">
        <f>IF(E710="","", IF('Global Precios'!B718="",0,'Global Precios'!B718))</f>
        <v/>
      </c>
      <c r="B710" s="14" t="str">
        <f>IF('Global Precios'!B718="","",'Global Precios'!B718)</f>
        <v/>
      </c>
      <c r="C710" s="18" t="str">
        <f>IF('Global Precios'!A718="","",'Global Precios'!A718)</f>
        <v/>
      </c>
      <c r="D710" s="18"/>
      <c r="E710" s="25" t="str">
        <f>IF('Global Precios'!D718="","",'Global Precios'!D718)</f>
        <v/>
      </c>
      <c r="F710" s="18"/>
      <c r="G710" s="25"/>
      <c r="H710" s="25" t="str">
        <f t="shared" si="1"/>
        <v/>
      </c>
      <c r="I710" s="30" t="str">
        <f>IF('Global Precios'!H718="","",'Global Precios'!H718)</f>
        <v/>
      </c>
      <c r="J710" s="18" t="str">
        <f>IF('Global Precios'!K718="","",'Global Precios'!K718)</f>
        <v/>
      </c>
      <c r="K710" s="30" t="str">
        <f>IF('Global Precios'!Z718="Desactivado",0,IF('Global Precios'!L718="","",'Global Precios'!L718))</f>
        <v/>
      </c>
      <c r="L710" s="18"/>
      <c r="M710" s="18"/>
      <c r="N710" s="18"/>
      <c r="O710" s="18"/>
      <c r="P710" s="18"/>
      <c r="Q710" s="18"/>
      <c r="R710" s="18" t="str">
        <f>IF('Global Precios'!F718="","",'Global Precios'!F718)</f>
        <v/>
      </c>
      <c r="S710" s="18"/>
      <c r="T710" s="18" t="str">
        <f>IF('Global Precios'!E718="","",'Global Precios'!E718)</f>
        <v/>
      </c>
      <c r="U710" s="18"/>
      <c r="V710" s="18" t="str">
        <f t="shared" si="2"/>
        <v/>
      </c>
      <c r="W710" s="18"/>
      <c r="X710" s="18"/>
      <c r="Y710" s="18"/>
      <c r="Z710" s="18"/>
      <c r="AA710" s="18"/>
      <c r="AB710" s="18" t="str">
        <f t="shared" si="3"/>
        <v/>
      </c>
      <c r="AC710" s="18" t="str">
        <f t="shared" si="4"/>
        <v/>
      </c>
      <c r="AD710" s="18" t="str">
        <f t="shared" si="5"/>
        <v/>
      </c>
      <c r="AE710" s="18" t="str">
        <f t="shared" si="6"/>
        <v/>
      </c>
    </row>
    <row r="711">
      <c r="A711" s="9" t="str">
        <f>IF(E711="","", IF('Global Precios'!B719="",0,'Global Precios'!B719))</f>
        <v/>
      </c>
      <c r="B711" s="14" t="str">
        <f>IF('Global Precios'!B719="","",'Global Precios'!B719)</f>
        <v/>
      </c>
      <c r="C711" s="18" t="str">
        <f>IF('Global Precios'!A719="","",'Global Precios'!A719)</f>
        <v/>
      </c>
      <c r="D711" s="18"/>
      <c r="E711" s="25" t="str">
        <f>IF('Global Precios'!D719="","",'Global Precios'!D719)</f>
        <v/>
      </c>
      <c r="F711" s="18"/>
      <c r="G711" s="25"/>
      <c r="H711" s="25" t="str">
        <f t="shared" si="1"/>
        <v/>
      </c>
      <c r="I711" s="30" t="str">
        <f>IF('Global Precios'!H719="","",'Global Precios'!H719)</f>
        <v/>
      </c>
      <c r="J711" s="18" t="str">
        <f>IF('Global Precios'!K719="","",'Global Precios'!K719)</f>
        <v/>
      </c>
      <c r="K711" s="30" t="str">
        <f>IF('Global Precios'!Z719="Desactivado",0,IF('Global Precios'!L719="","",'Global Precios'!L719))</f>
        <v/>
      </c>
      <c r="L711" s="18"/>
      <c r="M711" s="18"/>
      <c r="N711" s="18"/>
      <c r="O711" s="18"/>
      <c r="P711" s="18"/>
      <c r="Q711" s="18"/>
      <c r="R711" s="18" t="str">
        <f>IF('Global Precios'!F719="","",'Global Precios'!F719)</f>
        <v/>
      </c>
      <c r="S711" s="18"/>
      <c r="T711" s="18" t="str">
        <f>IF('Global Precios'!E719="","",'Global Precios'!E719)</f>
        <v/>
      </c>
      <c r="U711" s="18"/>
      <c r="V711" s="18" t="str">
        <f t="shared" si="2"/>
        <v/>
      </c>
      <c r="W711" s="18"/>
      <c r="X711" s="18"/>
      <c r="Y711" s="18"/>
      <c r="Z711" s="18"/>
      <c r="AA711" s="18"/>
      <c r="AB711" s="18" t="str">
        <f t="shared" si="3"/>
        <v/>
      </c>
      <c r="AC711" s="18" t="str">
        <f t="shared" si="4"/>
        <v/>
      </c>
      <c r="AD711" s="18" t="str">
        <f t="shared" si="5"/>
        <v/>
      </c>
      <c r="AE711" s="18" t="str">
        <f t="shared" si="6"/>
        <v/>
      </c>
    </row>
    <row r="712">
      <c r="A712" s="9" t="str">
        <f>IF(E712="","", IF('Global Precios'!B720="",0,'Global Precios'!B720))</f>
        <v/>
      </c>
      <c r="B712" s="14" t="str">
        <f>IF('Global Precios'!B720="","",'Global Precios'!B720)</f>
        <v/>
      </c>
      <c r="C712" s="18" t="str">
        <f>IF('Global Precios'!A720="","",'Global Precios'!A720)</f>
        <v/>
      </c>
      <c r="D712" s="18"/>
      <c r="E712" s="25" t="str">
        <f>IF('Global Precios'!D720="","",'Global Precios'!D720)</f>
        <v/>
      </c>
      <c r="F712" s="18"/>
      <c r="G712" s="25"/>
      <c r="H712" s="25" t="str">
        <f t="shared" si="1"/>
        <v/>
      </c>
      <c r="I712" s="30" t="str">
        <f>IF('Global Precios'!H720="","",'Global Precios'!H720)</f>
        <v/>
      </c>
      <c r="J712" s="18" t="str">
        <f>IF('Global Precios'!K720="","",'Global Precios'!K720)</f>
        <v/>
      </c>
      <c r="K712" s="30" t="str">
        <f>IF('Global Precios'!Z720="Desactivado",0,IF('Global Precios'!L720="","",'Global Precios'!L720))</f>
        <v/>
      </c>
      <c r="L712" s="18"/>
      <c r="M712" s="18"/>
      <c r="N712" s="18"/>
      <c r="O712" s="18"/>
      <c r="P712" s="18"/>
      <c r="Q712" s="18"/>
      <c r="R712" s="18" t="str">
        <f>IF('Global Precios'!F720="","",'Global Precios'!F720)</f>
        <v/>
      </c>
      <c r="S712" s="18"/>
      <c r="T712" s="18" t="str">
        <f>IF('Global Precios'!E720="","",'Global Precios'!E720)</f>
        <v/>
      </c>
      <c r="U712" s="18"/>
      <c r="V712" s="18" t="str">
        <f t="shared" si="2"/>
        <v/>
      </c>
      <c r="W712" s="18"/>
      <c r="X712" s="18"/>
      <c r="Y712" s="18"/>
      <c r="Z712" s="18"/>
      <c r="AA712" s="18"/>
      <c r="AB712" s="18" t="str">
        <f t="shared" si="3"/>
        <v/>
      </c>
      <c r="AC712" s="18" t="str">
        <f t="shared" si="4"/>
        <v/>
      </c>
      <c r="AD712" s="18" t="str">
        <f t="shared" si="5"/>
        <v/>
      </c>
      <c r="AE712" s="18" t="str">
        <f t="shared" si="6"/>
        <v/>
      </c>
    </row>
    <row r="713">
      <c r="A713" s="9" t="str">
        <f>IF(E713="","", IF('Global Precios'!B717="",0,'Global Precios'!B717))</f>
        <v/>
      </c>
      <c r="B713" s="14" t="str">
        <f>IF('Global Precios'!B717="","",'Global Precios'!B717)</f>
        <v/>
      </c>
      <c r="C713" s="18" t="str">
        <f>IF('Global Precios'!A717="","",'Global Precios'!A717)</f>
        <v/>
      </c>
      <c r="D713" s="18"/>
      <c r="E713" s="25" t="str">
        <f>IF('Global Precios'!D717="","",'Global Precios'!D717)</f>
        <v/>
      </c>
      <c r="F713" s="18"/>
      <c r="G713" s="25"/>
      <c r="H713" s="25" t="str">
        <f t="shared" si="1"/>
        <v/>
      </c>
      <c r="I713" s="30" t="str">
        <f>IF('Global Precios'!H717="","",'Global Precios'!H717)</f>
        <v/>
      </c>
      <c r="J713" s="18" t="str">
        <f>IF('Global Precios'!K717="","",'Global Precios'!K717)</f>
        <v/>
      </c>
      <c r="K713" s="30" t="str">
        <f>IF('Global Precios'!Z717="Desactivado",0,IF('Global Precios'!L717="","",'Global Precios'!L717))</f>
        <v/>
      </c>
      <c r="L713" s="18"/>
      <c r="M713" s="18"/>
      <c r="N713" s="18"/>
      <c r="O713" s="18"/>
      <c r="P713" s="18"/>
      <c r="Q713" s="18"/>
      <c r="R713" s="18" t="str">
        <f>IF('Global Precios'!F717="","",'Global Precios'!F717)</f>
        <v/>
      </c>
      <c r="S713" s="18"/>
      <c r="T713" s="18" t="str">
        <f>IF('Global Precios'!E717="","",'Global Precios'!E717)</f>
        <v/>
      </c>
      <c r="U713" s="18"/>
      <c r="V713" s="18" t="str">
        <f t="shared" si="2"/>
        <v/>
      </c>
      <c r="W713" s="18"/>
      <c r="X713" s="18"/>
      <c r="Y713" s="18"/>
      <c r="Z713" s="18"/>
      <c r="AA713" s="18"/>
      <c r="AB713" s="18" t="str">
        <f t="shared" si="3"/>
        <v/>
      </c>
      <c r="AC713" s="18" t="str">
        <f t="shared" si="4"/>
        <v/>
      </c>
      <c r="AD713" s="18" t="str">
        <f t="shared" si="5"/>
        <v/>
      </c>
      <c r="AE713" s="18" t="str">
        <f t="shared" si="6"/>
        <v/>
      </c>
    </row>
    <row r="714">
      <c r="A714" s="9" t="str">
        <f>IF(E714="","", IF('Global Precios'!B718="",0,'Global Precios'!B718))</f>
        <v/>
      </c>
      <c r="B714" s="14" t="str">
        <f>IF('Global Precios'!B718="","",'Global Precios'!B718)</f>
        <v/>
      </c>
      <c r="C714" s="18" t="str">
        <f>IF('Global Precios'!A718="","",'Global Precios'!A718)</f>
        <v/>
      </c>
      <c r="D714" s="18"/>
      <c r="E714" s="25" t="str">
        <f>IF('Global Precios'!D718="","",'Global Precios'!D718)</f>
        <v/>
      </c>
      <c r="F714" s="18"/>
      <c r="G714" s="25"/>
      <c r="H714" s="25" t="str">
        <f t="shared" si="1"/>
        <v/>
      </c>
      <c r="I714" s="30" t="str">
        <f>IF('Global Precios'!H718="","",'Global Precios'!H718)</f>
        <v/>
      </c>
      <c r="J714" s="18" t="str">
        <f>IF('Global Precios'!K718="","",'Global Precios'!K718)</f>
        <v/>
      </c>
      <c r="K714" s="30" t="str">
        <f>IF('Global Precios'!Z718="Desactivado",0,IF('Global Precios'!L718="","",'Global Precios'!L718))</f>
        <v/>
      </c>
      <c r="L714" s="18"/>
      <c r="M714" s="18"/>
      <c r="N714" s="18"/>
      <c r="O714" s="18"/>
      <c r="P714" s="18"/>
      <c r="Q714" s="18"/>
      <c r="R714" s="18" t="str">
        <f>IF('Global Precios'!F718="","",'Global Precios'!F718)</f>
        <v/>
      </c>
      <c r="S714" s="18"/>
      <c r="T714" s="18" t="str">
        <f>IF('Global Precios'!E718="","",'Global Precios'!E718)</f>
        <v/>
      </c>
      <c r="U714" s="18"/>
      <c r="V714" s="18" t="str">
        <f t="shared" si="2"/>
        <v/>
      </c>
      <c r="W714" s="18"/>
      <c r="X714" s="18"/>
      <c r="Y714" s="18"/>
      <c r="Z714" s="18"/>
      <c r="AA714" s="18"/>
      <c r="AB714" s="18" t="str">
        <f t="shared" si="3"/>
        <v/>
      </c>
      <c r="AC714" s="18" t="str">
        <f t="shared" si="4"/>
        <v/>
      </c>
      <c r="AD714" s="18" t="str">
        <f t="shared" si="5"/>
        <v/>
      </c>
      <c r="AE714" s="18" t="str">
        <f t="shared" si="6"/>
        <v/>
      </c>
    </row>
    <row r="715">
      <c r="A715" s="9" t="str">
        <f>IF(E715="","", IF('Global Precios'!B719="",0,'Global Precios'!B719))</f>
        <v/>
      </c>
      <c r="B715" s="14" t="str">
        <f>IF('Global Precios'!B719="","",'Global Precios'!B719)</f>
        <v/>
      </c>
      <c r="C715" s="18" t="str">
        <f>IF('Global Precios'!A719="","",'Global Precios'!A719)</f>
        <v/>
      </c>
      <c r="D715" s="18"/>
      <c r="E715" s="25" t="str">
        <f>IF('Global Precios'!D719="","",'Global Precios'!D719)</f>
        <v/>
      </c>
      <c r="F715" s="18"/>
      <c r="G715" s="25"/>
      <c r="H715" s="25" t="str">
        <f t="shared" si="1"/>
        <v/>
      </c>
      <c r="I715" s="30" t="str">
        <f>IF('Global Precios'!H719="","",'Global Precios'!H719)</f>
        <v/>
      </c>
      <c r="J715" s="18" t="str">
        <f>IF('Global Precios'!K719="","",'Global Precios'!K719)</f>
        <v/>
      </c>
      <c r="K715" s="30" t="str">
        <f>IF('Global Precios'!Z719="Desactivado",0,IF('Global Precios'!L719="","",'Global Precios'!L719))</f>
        <v/>
      </c>
      <c r="L715" s="18"/>
      <c r="M715" s="18"/>
      <c r="N715" s="18"/>
      <c r="O715" s="18"/>
      <c r="P715" s="18"/>
      <c r="Q715" s="18"/>
      <c r="R715" s="18" t="str">
        <f>IF('Global Precios'!F719="","",'Global Precios'!F719)</f>
        <v/>
      </c>
      <c r="S715" s="18"/>
      <c r="T715" s="18" t="str">
        <f>IF('Global Precios'!E719="","",'Global Precios'!E719)</f>
        <v/>
      </c>
      <c r="U715" s="18"/>
      <c r="V715" s="18" t="str">
        <f t="shared" si="2"/>
        <v/>
      </c>
      <c r="W715" s="18"/>
      <c r="X715" s="18"/>
      <c r="Y715" s="18"/>
      <c r="Z715" s="18"/>
      <c r="AA715" s="18"/>
      <c r="AB715" s="18" t="str">
        <f t="shared" si="3"/>
        <v/>
      </c>
      <c r="AC715" s="18" t="str">
        <f t="shared" si="4"/>
        <v/>
      </c>
      <c r="AD715" s="18" t="str">
        <f t="shared" si="5"/>
        <v/>
      </c>
      <c r="AE715" s="18" t="str">
        <f t="shared" si="6"/>
        <v/>
      </c>
    </row>
    <row r="716">
      <c r="A716" s="9" t="str">
        <f>IF(E716="","", IF('Global Precios'!B720="",0,'Global Precios'!B720))</f>
        <v/>
      </c>
      <c r="B716" s="14" t="str">
        <f>IF('Global Precios'!B720="","",'Global Precios'!B720)</f>
        <v/>
      </c>
      <c r="C716" s="18" t="str">
        <f>IF('Global Precios'!A720="","",'Global Precios'!A720)</f>
        <v/>
      </c>
      <c r="D716" s="18"/>
      <c r="E716" s="25" t="str">
        <f>IF('Global Precios'!D720="","",'Global Precios'!D720)</f>
        <v/>
      </c>
      <c r="F716" s="18"/>
      <c r="G716" s="25"/>
      <c r="H716" s="25" t="str">
        <f t="shared" si="1"/>
        <v/>
      </c>
      <c r="I716" s="30" t="str">
        <f>IF('Global Precios'!H720="","",'Global Precios'!H720)</f>
        <v/>
      </c>
      <c r="J716" s="18" t="str">
        <f>IF('Global Precios'!K720="","",'Global Precios'!K720)</f>
        <v/>
      </c>
      <c r="K716" s="30" t="str">
        <f>IF('Global Precios'!Z720="Desactivado",0,IF('Global Precios'!L720="","",'Global Precios'!L720))</f>
        <v/>
      </c>
      <c r="L716" s="18"/>
      <c r="M716" s="18"/>
      <c r="N716" s="18"/>
      <c r="O716" s="18"/>
      <c r="P716" s="18"/>
      <c r="Q716" s="18"/>
      <c r="R716" s="18" t="str">
        <f>IF('Global Precios'!F720="","",'Global Precios'!F720)</f>
        <v/>
      </c>
      <c r="S716" s="18"/>
      <c r="T716" s="18" t="str">
        <f>IF('Global Precios'!E720="","",'Global Precios'!E720)</f>
        <v/>
      </c>
      <c r="U716" s="18"/>
      <c r="V716" s="18" t="str">
        <f t="shared" si="2"/>
        <v/>
      </c>
      <c r="W716" s="18"/>
      <c r="X716" s="18"/>
      <c r="Y716" s="18"/>
      <c r="Z716" s="18"/>
      <c r="AA716" s="18"/>
      <c r="AB716" s="18" t="str">
        <f t="shared" si="3"/>
        <v/>
      </c>
      <c r="AC716" s="18" t="str">
        <f t="shared" si="4"/>
        <v/>
      </c>
      <c r="AD716" s="18" t="str">
        <f t="shared" si="5"/>
        <v/>
      </c>
      <c r="AE716" s="18" t="str">
        <f t="shared" si="6"/>
        <v/>
      </c>
    </row>
    <row r="717">
      <c r="A717" s="9" t="str">
        <f>IF(E717="","", IF('Global Precios'!B721="",0,'Global Precios'!B721))</f>
        <v/>
      </c>
      <c r="B717" s="14" t="str">
        <f>IF('Global Precios'!B721="","",'Global Precios'!B721)</f>
        <v/>
      </c>
      <c r="C717" s="18" t="str">
        <f>IF('Global Precios'!A721="","",'Global Precios'!A721)</f>
        <v/>
      </c>
      <c r="D717" s="18"/>
      <c r="E717" s="25" t="str">
        <f>IF('Global Precios'!D721="","",'Global Precios'!D721)</f>
        <v/>
      </c>
      <c r="F717" s="18"/>
      <c r="G717" s="25"/>
      <c r="H717" s="25" t="str">
        <f t="shared" si="1"/>
        <v/>
      </c>
      <c r="I717" s="30" t="str">
        <f>IF('Global Precios'!H721="","",'Global Precios'!H721)</f>
        <v/>
      </c>
      <c r="J717" s="18" t="str">
        <f>IF('Global Precios'!K721="","",'Global Precios'!K721)</f>
        <v/>
      </c>
      <c r="K717" s="30" t="str">
        <f>IF('Global Precios'!Z721="Desactivado",0,IF('Global Precios'!L721="","",'Global Precios'!L721))</f>
        <v/>
      </c>
      <c r="L717" s="18"/>
      <c r="M717" s="18"/>
      <c r="N717" s="18"/>
      <c r="O717" s="18"/>
      <c r="P717" s="18"/>
      <c r="Q717" s="18"/>
      <c r="R717" s="18" t="str">
        <f>IF('Global Precios'!F721="","",'Global Precios'!F721)</f>
        <v/>
      </c>
      <c r="S717" s="18"/>
      <c r="T717" s="18" t="str">
        <f>IF('Global Precios'!E721="","",'Global Precios'!E721)</f>
        <v/>
      </c>
      <c r="U717" s="18"/>
      <c r="V717" s="18" t="str">
        <f t="shared" si="2"/>
        <v/>
      </c>
      <c r="W717" s="18"/>
      <c r="X717" s="18"/>
      <c r="Y717" s="18"/>
      <c r="Z717" s="18"/>
      <c r="AA717" s="18"/>
      <c r="AB717" s="18" t="str">
        <f t="shared" si="3"/>
        <v/>
      </c>
      <c r="AC717" s="18" t="str">
        <f t="shared" si="4"/>
        <v/>
      </c>
      <c r="AD717" s="18" t="str">
        <f t="shared" si="5"/>
        <v/>
      </c>
      <c r="AE717" s="18" t="str">
        <f t="shared" si="6"/>
        <v/>
      </c>
    </row>
    <row r="718">
      <c r="A718" s="9" t="str">
        <f>IF(E718="","", IF('Global Precios'!B722="",0,'Global Precios'!B722))</f>
        <v/>
      </c>
      <c r="B718" s="14" t="str">
        <f>IF('Global Precios'!B722="","",'Global Precios'!B722)</f>
        <v/>
      </c>
      <c r="C718" s="18" t="str">
        <f>IF('Global Precios'!A722="","",'Global Precios'!A722)</f>
        <v/>
      </c>
      <c r="D718" s="18"/>
      <c r="E718" s="25" t="str">
        <f>IF('Global Precios'!D722="","",'Global Precios'!D722)</f>
        <v/>
      </c>
      <c r="F718" s="18"/>
      <c r="G718" s="25"/>
      <c r="H718" s="25" t="str">
        <f t="shared" si="1"/>
        <v/>
      </c>
      <c r="I718" s="30" t="str">
        <f>IF('Global Precios'!H722="","",'Global Precios'!H722)</f>
        <v/>
      </c>
      <c r="J718" s="18" t="str">
        <f>IF('Global Precios'!K722="","",'Global Precios'!K722)</f>
        <v/>
      </c>
      <c r="K718" s="30" t="str">
        <f>IF('Global Precios'!Z722="Desactivado",0,IF('Global Precios'!L722="","",'Global Precios'!L722))</f>
        <v/>
      </c>
      <c r="L718" s="18"/>
      <c r="M718" s="18"/>
      <c r="N718" s="18"/>
      <c r="O718" s="18"/>
      <c r="P718" s="18"/>
      <c r="Q718" s="18"/>
      <c r="R718" s="18" t="str">
        <f>IF('Global Precios'!F722="","",'Global Precios'!F722)</f>
        <v/>
      </c>
      <c r="S718" s="18"/>
      <c r="T718" s="18" t="str">
        <f>IF('Global Precios'!E722="","",'Global Precios'!E722)</f>
        <v/>
      </c>
      <c r="U718" s="18"/>
      <c r="V718" s="18" t="str">
        <f t="shared" si="2"/>
        <v/>
      </c>
      <c r="W718" s="18"/>
      <c r="X718" s="18"/>
      <c r="Y718" s="18"/>
      <c r="Z718" s="18"/>
      <c r="AA718" s="18"/>
      <c r="AB718" s="18" t="str">
        <f t="shared" si="3"/>
        <v/>
      </c>
      <c r="AC718" s="18" t="str">
        <f t="shared" si="4"/>
        <v/>
      </c>
      <c r="AD718" s="18" t="str">
        <f t="shared" si="5"/>
        <v/>
      </c>
      <c r="AE718" s="18" t="str">
        <f t="shared" si="6"/>
        <v/>
      </c>
    </row>
    <row r="719">
      <c r="A719" s="9" t="str">
        <f>IF(E719="","", IF('Global Precios'!B723="",0,'Global Precios'!B723))</f>
        <v/>
      </c>
      <c r="B719" s="14" t="str">
        <f>IF('Global Precios'!B723="","",'Global Precios'!B723)</f>
        <v/>
      </c>
      <c r="C719" s="18" t="str">
        <f>IF('Global Precios'!A723="","",'Global Precios'!A723)</f>
        <v/>
      </c>
      <c r="D719" s="18"/>
      <c r="E719" s="25" t="str">
        <f>IF('Global Precios'!D723="","",'Global Precios'!D723)</f>
        <v/>
      </c>
      <c r="F719" s="18"/>
      <c r="G719" s="25"/>
      <c r="H719" s="25" t="str">
        <f t="shared" si="1"/>
        <v/>
      </c>
      <c r="I719" s="30" t="str">
        <f>IF('Global Precios'!H723="","",'Global Precios'!H723)</f>
        <v/>
      </c>
      <c r="J719" s="18" t="str">
        <f>IF('Global Precios'!K723="","",'Global Precios'!K723)</f>
        <v/>
      </c>
      <c r="K719" s="30" t="str">
        <f>IF('Global Precios'!Z723="Desactivado",0,IF('Global Precios'!L723="","",'Global Precios'!L723))</f>
        <v/>
      </c>
      <c r="L719" s="18"/>
      <c r="M719" s="18"/>
      <c r="N719" s="18"/>
      <c r="O719" s="18"/>
      <c r="P719" s="18"/>
      <c r="Q719" s="18"/>
      <c r="R719" s="18" t="str">
        <f>IF('Global Precios'!F723="","",'Global Precios'!F723)</f>
        <v/>
      </c>
      <c r="S719" s="18"/>
      <c r="T719" s="18" t="str">
        <f>IF('Global Precios'!E723="","",'Global Precios'!E723)</f>
        <v/>
      </c>
      <c r="U719" s="18"/>
      <c r="V719" s="18" t="str">
        <f t="shared" si="2"/>
        <v/>
      </c>
      <c r="W719" s="18"/>
      <c r="X719" s="18"/>
      <c r="Y719" s="18"/>
      <c r="Z719" s="18"/>
      <c r="AA719" s="18"/>
      <c r="AB719" s="18" t="str">
        <f t="shared" si="3"/>
        <v/>
      </c>
      <c r="AC719" s="18" t="str">
        <f t="shared" si="4"/>
        <v/>
      </c>
      <c r="AD719" s="18" t="str">
        <f t="shared" si="5"/>
        <v/>
      </c>
      <c r="AE719" s="18" t="str">
        <f t="shared" si="6"/>
        <v/>
      </c>
    </row>
    <row r="720">
      <c r="A720" s="9" t="str">
        <f>IF(E720="","", IF('Global Precios'!B724="",0,'Global Precios'!B724))</f>
        <v/>
      </c>
      <c r="B720" s="14" t="str">
        <f>IF('Global Precios'!B724="","",'Global Precios'!B724)</f>
        <v/>
      </c>
      <c r="C720" s="18" t="str">
        <f>IF('Global Precios'!A724="","",'Global Precios'!A724)</f>
        <v/>
      </c>
      <c r="D720" s="18"/>
      <c r="E720" s="25" t="str">
        <f>IF('Global Precios'!D724="","",'Global Precios'!D724)</f>
        <v/>
      </c>
      <c r="F720" s="18"/>
      <c r="G720" s="25"/>
      <c r="H720" s="25" t="str">
        <f t="shared" si="1"/>
        <v/>
      </c>
      <c r="I720" s="30" t="str">
        <f>IF('Global Precios'!H724="","",'Global Precios'!H724)</f>
        <v/>
      </c>
      <c r="J720" s="18" t="str">
        <f>IF('Global Precios'!K724="","",'Global Precios'!K724)</f>
        <v/>
      </c>
      <c r="K720" s="30" t="str">
        <f>IF('Global Precios'!Z724="Desactivado",0,IF('Global Precios'!L724="","",'Global Precios'!L724))</f>
        <v/>
      </c>
      <c r="L720" s="18"/>
      <c r="M720" s="18"/>
      <c r="N720" s="18"/>
      <c r="O720" s="18"/>
      <c r="P720" s="18"/>
      <c r="Q720" s="18"/>
      <c r="R720" s="18" t="str">
        <f>IF('Global Precios'!F724="","",'Global Precios'!F724)</f>
        <v/>
      </c>
      <c r="S720" s="18"/>
      <c r="T720" s="18" t="str">
        <f>IF('Global Precios'!E724="","",'Global Precios'!E724)</f>
        <v/>
      </c>
      <c r="U720" s="18"/>
      <c r="V720" s="18" t="str">
        <f t="shared" si="2"/>
        <v/>
      </c>
      <c r="W720" s="18"/>
      <c r="X720" s="18"/>
      <c r="Y720" s="18"/>
      <c r="Z720" s="18"/>
      <c r="AA720" s="18"/>
      <c r="AB720" s="18" t="str">
        <f t="shared" si="3"/>
        <v/>
      </c>
      <c r="AC720" s="18" t="str">
        <f t="shared" si="4"/>
        <v/>
      </c>
      <c r="AD720" s="18" t="str">
        <f t="shared" si="5"/>
        <v/>
      </c>
      <c r="AE720" s="18" t="str">
        <f t="shared" si="6"/>
        <v/>
      </c>
    </row>
    <row r="721">
      <c r="A721" s="9" t="str">
        <f>IF(E721="","", IF('Global Precios'!B725="",0,'Global Precios'!B725))</f>
        <v/>
      </c>
      <c r="B721" s="14" t="str">
        <f>IF('Global Precios'!B725="","",'Global Precios'!B725)</f>
        <v/>
      </c>
      <c r="C721" s="18" t="str">
        <f>IF('Global Precios'!A725="","",'Global Precios'!A725)</f>
        <v/>
      </c>
      <c r="D721" s="18"/>
      <c r="E721" s="25" t="str">
        <f>IF('Global Precios'!D725="","",'Global Precios'!D725)</f>
        <v/>
      </c>
      <c r="F721" s="18"/>
      <c r="G721" s="25"/>
      <c r="H721" s="25" t="str">
        <f t="shared" si="1"/>
        <v/>
      </c>
      <c r="I721" s="30" t="str">
        <f>IF('Global Precios'!H725="","",'Global Precios'!H725)</f>
        <v/>
      </c>
      <c r="J721" s="18" t="str">
        <f>IF('Global Precios'!K725="","",'Global Precios'!K725)</f>
        <v/>
      </c>
      <c r="K721" s="30" t="str">
        <f>IF('Global Precios'!Z725="Desactivado",0,IF('Global Precios'!L725="","",'Global Precios'!L725))</f>
        <v/>
      </c>
      <c r="L721" s="18"/>
      <c r="M721" s="18"/>
      <c r="N721" s="18"/>
      <c r="O721" s="18"/>
      <c r="P721" s="18"/>
      <c r="Q721" s="18"/>
      <c r="R721" s="18" t="str">
        <f>IF('Global Precios'!F725="","",'Global Precios'!F725)</f>
        <v/>
      </c>
      <c r="S721" s="18"/>
      <c r="T721" s="18" t="str">
        <f>IF('Global Precios'!E725="","",'Global Precios'!E725)</f>
        <v/>
      </c>
      <c r="U721" s="18"/>
      <c r="V721" s="18" t="str">
        <f t="shared" si="2"/>
        <v/>
      </c>
      <c r="W721" s="18"/>
      <c r="X721" s="18"/>
      <c r="Y721" s="18"/>
      <c r="Z721" s="18"/>
      <c r="AA721" s="18"/>
      <c r="AB721" s="18" t="str">
        <f t="shared" si="3"/>
        <v/>
      </c>
      <c r="AC721" s="18" t="str">
        <f t="shared" si="4"/>
        <v/>
      </c>
      <c r="AD721" s="18" t="str">
        <f t="shared" si="5"/>
        <v/>
      </c>
      <c r="AE721" s="18" t="str">
        <f t="shared" si="6"/>
        <v/>
      </c>
    </row>
    <row r="722">
      <c r="A722" s="9" t="str">
        <f>IF(E722="","", IF('Global Precios'!B726="",0,'Global Precios'!B726))</f>
        <v/>
      </c>
      <c r="B722" s="14" t="str">
        <f>IF('Global Precios'!B726="","",'Global Precios'!B726)</f>
        <v/>
      </c>
      <c r="C722" s="18" t="str">
        <f>IF('Global Precios'!A726="","",'Global Precios'!A726)</f>
        <v/>
      </c>
      <c r="D722" s="18"/>
      <c r="E722" s="25" t="str">
        <f>IF('Global Precios'!D726="","",'Global Precios'!D726)</f>
        <v/>
      </c>
      <c r="F722" s="18"/>
      <c r="G722" s="25"/>
      <c r="H722" s="25" t="str">
        <f t="shared" si="1"/>
        <v/>
      </c>
      <c r="I722" s="30" t="str">
        <f>IF('Global Precios'!H726="","",'Global Precios'!H726)</f>
        <v/>
      </c>
      <c r="J722" s="18" t="str">
        <f>IF('Global Precios'!K726="","",'Global Precios'!K726)</f>
        <v/>
      </c>
      <c r="K722" s="30" t="str">
        <f>IF('Global Precios'!Z726="Desactivado",0,IF('Global Precios'!L726="","",'Global Precios'!L726))</f>
        <v/>
      </c>
      <c r="L722" s="18"/>
      <c r="M722" s="18"/>
      <c r="N722" s="18"/>
      <c r="O722" s="18"/>
      <c r="P722" s="18"/>
      <c r="Q722" s="18"/>
      <c r="R722" s="18" t="str">
        <f>IF('Global Precios'!F726="","",'Global Precios'!F726)</f>
        <v/>
      </c>
      <c r="S722" s="18"/>
      <c r="T722" s="18" t="str">
        <f>IF('Global Precios'!E726="","",'Global Precios'!E726)</f>
        <v/>
      </c>
      <c r="U722" s="18"/>
      <c r="V722" s="18" t="str">
        <f t="shared" si="2"/>
        <v/>
      </c>
      <c r="W722" s="18"/>
      <c r="X722" s="18"/>
      <c r="Y722" s="18"/>
      <c r="Z722" s="18"/>
      <c r="AA722" s="18"/>
      <c r="AB722" s="18" t="str">
        <f t="shared" si="3"/>
        <v/>
      </c>
      <c r="AC722" s="18" t="str">
        <f t="shared" si="4"/>
        <v/>
      </c>
      <c r="AD722" s="18" t="str">
        <f t="shared" si="5"/>
        <v/>
      </c>
      <c r="AE722" s="18" t="str">
        <f t="shared" si="6"/>
        <v/>
      </c>
    </row>
    <row r="723">
      <c r="A723" s="9" t="str">
        <f>IF(E723="","", IF('Global Precios'!B727="",0,'Global Precios'!B727))</f>
        <v/>
      </c>
      <c r="B723" s="14" t="str">
        <f>IF('Global Precios'!B727="","",'Global Precios'!B727)</f>
        <v/>
      </c>
      <c r="C723" s="18" t="str">
        <f>IF('Global Precios'!A727="","",'Global Precios'!A727)</f>
        <v/>
      </c>
      <c r="D723" s="18"/>
      <c r="E723" s="25" t="str">
        <f>IF('Global Precios'!D727="","",'Global Precios'!D727)</f>
        <v/>
      </c>
      <c r="F723" s="18"/>
      <c r="G723" s="25"/>
      <c r="H723" s="25" t="str">
        <f t="shared" si="1"/>
        <v/>
      </c>
      <c r="I723" s="30" t="str">
        <f>IF('Global Precios'!H727="","",'Global Precios'!H727)</f>
        <v/>
      </c>
      <c r="J723" s="18" t="str">
        <f>IF('Global Precios'!K727="","",'Global Precios'!K727)</f>
        <v/>
      </c>
      <c r="K723" s="30" t="str">
        <f>IF('Global Precios'!Z727="Desactivado",0,IF('Global Precios'!L727="","",'Global Precios'!L727))</f>
        <v/>
      </c>
      <c r="L723" s="18"/>
      <c r="M723" s="18"/>
      <c r="N723" s="18"/>
      <c r="O723" s="18"/>
      <c r="P723" s="18"/>
      <c r="Q723" s="18"/>
      <c r="R723" s="18" t="str">
        <f>IF('Global Precios'!F727="","",'Global Precios'!F727)</f>
        <v/>
      </c>
      <c r="S723" s="18"/>
      <c r="T723" s="18" t="str">
        <f>IF('Global Precios'!E727="","",'Global Precios'!E727)</f>
        <v/>
      </c>
      <c r="U723" s="18"/>
      <c r="V723" s="18" t="str">
        <f t="shared" si="2"/>
        <v/>
      </c>
      <c r="W723" s="18"/>
      <c r="X723" s="18"/>
      <c r="Y723" s="18"/>
      <c r="Z723" s="18"/>
      <c r="AA723" s="18"/>
      <c r="AB723" s="18" t="str">
        <f t="shared" si="3"/>
        <v/>
      </c>
      <c r="AC723" s="18" t="str">
        <f t="shared" si="4"/>
        <v/>
      </c>
      <c r="AD723" s="18" t="str">
        <f t="shared" si="5"/>
        <v/>
      </c>
      <c r="AE723" s="18" t="str">
        <f t="shared" si="6"/>
        <v/>
      </c>
    </row>
    <row r="724">
      <c r="A724" s="9" t="str">
        <f>IF(E724="","", IF('Global Precios'!B728="",0,'Global Precios'!B728))</f>
        <v/>
      </c>
      <c r="B724" s="14" t="str">
        <f>IF('Global Precios'!B728="","",'Global Precios'!B728)</f>
        <v/>
      </c>
      <c r="C724" s="18" t="str">
        <f>IF('Global Precios'!A728="","",'Global Precios'!A728)</f>
        <v/>
      </c>
      <c r="D724" s="18"/>
      <c r="E724" s="25" t="str">
        <f>IF('Global Precios'!D728="","",'Global Precios'!D728)</f>
        <v/>
      </c>
      <c r="F724" s="18"/>
      <c r="G724" s="25"/>
      <c r="H724" s="25" t="str">
        <f t="shared" si="1"/>
        <v/>
      </c>
      <c r="I724" s="30" t="str">
        <f>IF('Global Precios'!H728="","",'Global Precios'!H728)</f>
        <v/>
      </c>
      <c r="J724" s="18" t="str">
        <f>IF('Global Precios'!K728="","",'Global Precios'!K728)</f>
        <v/>
      </c>
      <c r="K724" s="30" t="str">
        <f>IF('Global Precios'!Z728="Desactivado",0,IF('Global Precios'!L728="","",'Global Precios'!L728))</f>
        <v/>
      </c>
      <c r="L724" s="18"/>
      <c r="M724" s="18"/>
      <c r="N724" s="18"/>
      <c r="O724" s="18"/>
      <c r="P724" s="18"/>
      <c r="Q724" s="18"/>
      <c r="R724" s="18" t="str">
        <f>IF('Global Precios'!F728="","",'Global Precios'!F728)</f>
        <v/>
      </c>
      <c r="S724" s="18"/>
      <c r="T724" s="18" t="str">
        <f>IF('Global Precios'!E728="","",'Global Precios'!E728)</f>
        <v/>
      </c>
      <c r="U724" s="18"/>
      <c r="V724" s="18" t="str">
        <f t="shared" si="2"/>
        <v/>
      </c>
      <c r="W724" s="18"/>
      <c r="X724" s="18"/>
      <c r="Y724" s="18"/>
      <c r="Z724" s="18"/>
      <c r="AA724" s="18"/>
      <c r="AB724" s="18" t="str">
        <f t="shared" si="3"/>
        <v/>
      </c>
      <c r="AC724" s="18" t="str">
        <f t="shared" si="4"/>
        <v/>
      </c>
      <c r="AD724" s="18" t="str">
        <f t="shared" si="5"/>
        <v/>
      </c>
      <c r="AE724" s="18" t="str">
        <f t="shared" si="6"/>
        <v/>
      </c>
    </row>
    <row r="725">
      <c r="A725" s="9" t="str">
        <f>IF(E725="","", IF('Global Precios'!B727="",0,'Global Precios'!B727))</f>
        <v/>
      </c>
      <c r="B725" s="14" t="str">
        <f>IF('Global Precios'!B727="","",'Global Precios'!B727)</f>
        <v/>
      </c>
      <c r="C725" s="18" t="str">
        <f>IF('Global Precios'!A727="","",'Global Precios'!A727)</f>
        <v/>
      </c>
      <c r="D725" s="18"/>
      <c r="E725" s="25" t="str">
        <f>IF('Global Precios'!D727="","",'Global Precios'!D727)</f>
        <v/>
      </c>
      <c r="F725" s="18"/>
      <c r="G725" s="25" t="str">
        <f t="shared" ref="G725:G988" si="7">IF(E725="","",0)</f>
        <v/>
      </c>
      <c r="H725" s="25" t="str">
        <f t="shared" si="1"/>
        <v/>
      </c>
      <c r="I725" s="30" t="str">
        <f>IF('Global Precios'!I727="","",'Global Precios'!I727)</f>
        <v/>
      </c>
      <c r="J725" s="18" t="str">
        <f>IF('Global Precios'!K727="","",'Global Precios'!K727)</f>
        <v/>
      </c>
      <c r="K725" s="30" t="str">
        <f>IF('Global Precios'!Z729="Desactivado",0,IF('Global Precios'!L729="","",'Global Precios'!L729))</f>
        <v/>
      </c>
      <c r="L725" s="18"/>
      <c r="M725" s="18"/>
      <c r="N725" s="18"/>
      <c r="O725" s="18"/>
      <c r="P725" s="18"/>
      <c r="Q725" s="18"/>
      <c r="R725" s="18" t="str">
        <f>IF('Global Precios'!F727="","",'Global Precios'!F727)</f>
        <v/>
      </c>
      <c r="S725" s="18"/>
      <c r="T725" s="18" t="str">
        <f>IF('Global Precios'!E727="","",'Global Precios'!E727)</f>
        <v/>
      </c>
      <c r="U725" s="18"/>
      <c r="V725" s="18" t="str">
        <f t="shared" si="2"/>
        <v/>
      </c>
      <c r="W725" s="18"/>
      <c r="X725" s="18"/>
      <c r="Y725" s="18"/>
      <c r="Z725" s="18"/>
      <c r="AA725" s="18"/>
      <c r="AB725" s="18" t="str">
        <f t="shared" si="3"/>
        <v/>
      </c>
      <c r="AC725" s="18" t="str">
        <f t="shared" si="4"/>
        <v/>
      </c>
      <c r="AD725" s="18" t="str">
        <f t="shared" si="5"/>
        <v/>
      </c>
      <c r="AE725" s="18" t="str">
        <f t="shared" si="6"/>
        <v/>
      </c>
    </row>
    <row r="726">
      <c r="A726" s="9" t="str">
        <f>IF(E726="","", IF('Global Precios'!B728="",0,'Global Precios'!B728))</f>
        <v/>
      </c>
      <c r="B726" s="14" t="str">
        <f>IF('Global Precios'!B728="","",'Global Precios'!B728)</f>
        <v/>
      </c>
      <c r="C726" s="18" t="str">
        <f>IF('Global Precios'!A728="","",'Global Precios'!A728)</f>
        <v/>
      </c>
      <c r="D726" s="18"/>
      <c r="E726" s="25" t="str">
        <f>IF('Global Precios'!D728="","",'Global Precios'!D728)</f>
        <v/>
      </c>
      <c r="F726" s="18"/>
      <c r="G726" s="25" t="str">
        <f t="shared" si="7"/>
        <v/>
      </c>
      <c r="H726" s="25" t="str">
        <f t="shared" si="1"/>
        <v/>
      </c>
      <c r="I726" s="30" t="str">
        <f>IF('Global Precios'!I728="","",'Global Precios'!I728)</f>
        <v/>
      </c>
      <c r="J726" s="18" t="str">
        <f>IF('Global Precios'!K728="","",'Global Precios'!K728)</f>
        <v/>
      </c>
      <c r="K726" s="30" t="str">
        <f>IF('Global Precios'!Z730="Desactivado",0,IF('Global Precios'!L730="","",'Global Precios'!L730))</f>
        <v/>
      </c>
      <c r="L726" s="18"/>
      <c r="M726" s="18"/>
      <c r="N726" s="18"/>
      <c r="O726" s="18"/>
      <c r="P726" s="18"/>
      <c r="Q726" s="18"/>
      <c r="R726" s="18" t="str">
        <f>IF('Global Precios'!F728="","",'Global Precios'!F728)</f>
        <v/>
      </c>
      <c r="S726" s="18"/>
      <c r="T726" s="18" t="str">
        <f>IF('Global Precios'!E728="","",'Global Precios'!E728)</f>
        <v/>
      </c>
      <c r="U726" s="18"/>
      <c r="V726" s="18" t="str">
        <f t="shared" si="2"/>
        <v/>
      </c>
      <c r="W726" s="18"/>
      <c r="X726" s="18"/>
      <c r="Y726" s="18"/>
      <c r="Z726" s="18"/>
      <c r="AA726" s="18"/>
      <c r="AB726" s="18" t="str">
        <f t="shared" si="3"/>
        <v/>
      </c>
      <c r="AC726" s="18" t="str">
        <f t="shared" si="4"/>
        <v/>
      </c>
      <c r="AD726" s="18" t="str">
        <f t="shared" si="5"/>
        <v/>
      </c>
      <c r="AE726" s="18" t="str">
        <f t="shared" si="6"/>
        <v/>
      </c>
    </row>
    <row r="727">
      <c r="A727" s="9" t="str">
        <f>IF(E727="","", IF('Global Precios'!B729="",0,'Global Precios'!B729))</f>
        <v/>
      </c>
      <c r="B727" s="14" t="str">
        <f>IF('Global Precios'!B729="","",'Global Precios'!B729)</f>
        <v/>
      </c>
      <c r="C727" s="18" t="str">
        <f>IF('Global Precios'!A729="","",'Global Precios'!A729)</f>
        <v/>
      </c>
      <c r="D727" s="18"/>
      <c r="E727" s="25" t="str">
        <f>IF('Global Precios'!D729="","",'Global Precios'!D729)</f>
        <v/>
      </c>
      <c r="F727" s="18"/>
      <c r="G727" s="25" t="str">
        <f t="shared" si="7"/>
        <v/>
      </c>
      <c r="H727" s="25" t="str">
        <f t="shared" si="1"/>
        <v/>
      </c>
      <c r="I727" s="30" t="str">
        <f>IF('Global Precios'!I729="","",'Global Precios'!I729)</f>
        <v/>
      </c>
      <c r="J727" s="18" t="str">
        <f>IF('Global Precios'!K729="","",'Global Precios'!K729)</f>
        <v/>
      </c>
      <c r="K727" s="30" t="str">
        <f>IF('Global Precios'!Z731="Desactivado",0,IF('Global Precios'!L731="","",'Global Precios'!L731))</f>
        <v/>
      </c>
      <c r="L727" s="18"/>
      <c r="M727" s="18"/>
      <c r="N727" s="18"/>
      <c r="O727" s="18"/>
      <c r="P727" s="18"/>
      <c r="Q727" s="18"/>
      <c r="R727" s="18" t="str">
        <f>IF('Global Precios'!F729="","",'Global Precios'!F729)</f>
        <v/>
      </c>
      <c r="S727" s="18"/>
      <c r="T727" s="18" t="str">
        <f>IF('Global Precios'!E729="","",'Global Precios'!E729)</f>
        <v/>
      </c>
      <c r="U727" s="18"/>
      <c r="V727" s="18" t="str">
        <f t="shared" si="2"/>
        <v/>
      </c>
      <c r="W727" s="18"/>
      <c r="X727" s="18"/>
      <c r="Y727" s="18"/>
      <c r="Z727" s="18"/>
      <c r="AA727" s="18"/>
      <c r="AB727" s="18" t="str">
        <f t="shared" si="3"/>
        <v/>
      </c>
      <c r="AC727" s="18" t="str">
        <f t="shared" si="4"/>
        <v/>
      </c>
      <c r="AD727" s="18" t="str">
        <f t="shared" si="5"/>
        <v/>
      </c>
      <c r="AE727" s="18" t="str">
        <f t="shared" si="6"/>
        <v/>
      </c>
    </row>
    <row r="728">
      <c r="A728" s="9" t="str">
        <f>IF(E728="","", IF('Global Precios'!B730="",0,'Global Precios'!B730))</f>
        <v/>
      </c>
      <c r="B728" s="14" t="str">
        <f>IF('Global Precios'!B730="","",'Global Precios'!B730)</f>
        <v/>
      </c>
      <c r="C728" s="18" t="str">
        <f>IF('Global Precios'!A730="","",'Global Precios'!A730)</f>
        <v/>
      </c>
      <c r="D728" s="18"/>
      <c r="E728" s="25" t="str">
        <f>IF('Global Precios'!D730="","",'Global Precios'!D730)</f>
        <v/>
      </c>
      <c r="F728" s="18"/>
      <c r="G728" s="25" t="str">
        <f t="shared" si="7"/>
        <v/>
      </c>
      <c r="H728" s="25" t="str">
        <f t="shared" si="1"/>
        <v/>
      </c>
      <c r="I728" s="30" t="str">
        <f>IF('Global Precios'!I730="","",'Global Precios'!I730)</f>
        <v/>
      </c>
      <c r="J728" s="18" t="str">
        <f>IF('Global Precios'!K730="","",'Global Precios'!K730)</f>
        <v/>
      </c>
      <c r="K728" s="30" t="str">
        <f>IF('Global Precios'!Z732="Desactivado",0,IF('Global Precios'!L732="","",'Global Precios'!L732))</f>
        <v/>
      </c>
      <c r="L728" s="18"/>
      <c r="M728" s="18"/>
      <c r="N728" s="18"/>
      <c r="O728" s="18"/>
      <c r="P728" s="18"/>
      <c r="Q728" s="18"/>
      <c r="R728" s="18" t="str">
        <f>IF('Global Precios'!F730="","",'Global Precios'!F730)</f>
        <v/>
      </c>
      <c r="S728" s="18"/>
      <c r="T728" s="18" t="str">
        <f>IF('Global Precios'!E730="","",'Global Precios'!E730)</f>
        <v/>
      </c>
      <c r="U728" s="18"/>
      <c r="V728" s="18" t="str">
        <f t="shared" si="2"/>
        <v/>
      </c>
      <c r="W728" s="18"/>
      <c r="X728" s="18"/>
      <c r="Y728" s="18"/>
      <c r="Z728" s="18"/>
      <c r="AA728" s="18"/>
      <c r="AB728" s="18" t="str">
        <f t="shared" si="3"/>
        <v/>
      </c>
      <c r="AC728" s="18" t="str">
        <f t="shared" si="4"/>
        <v/>
      </c>
      <c r="AD728" s="18" t="str">
        <f t="shared" si="5"/>
        <v/>
      </c>
      <c r="AE728" s="18" t="str">
        <f t="shared" si="6"/>
        <v/>
      </c>
    </row>
    <row r="729">
      <c r="A729" s="9" t="str">
        <f>IF(E729="","", IF('Global Precios'!B731="",0,'Global Precios'!B731))</f>
        <v/>
      </c>
      <c r="B729" s="14" t="str">
        <f>IF('Global Precios'!B731="","",'Global Precios'!B731)</f>
        <v/>
      </c>
      <c r="C729" s="18" t="str">
        <f>IF('Global Precios'!A731="","",'Global Precios'!A731)</f>
        <v/>
      </c>
      <c r="D729" s="18"/>
      <c r="E729" s="25" t="str">
        <f>IF('Global Precios'!D731="","",'Global Precios'!D731)</f>
        <v/>
      </c>
      <c r="F729" s="18"/>
      <c r="G729" s="25" t="str">
        <f t="shared" si="7"/>
        <v/>
      </c>
      <c r="H729" s="25" t="str">
        <f t="shared" si="1"/>
        <v/>
      </c>
      <c r="I729" s="30" t="str">
        <f>IF('Global Precios'!I731="","",'Global Precios'!I731)</f>
        <v/>
      </c>
      <c r="J729" s="18" t="str">
        <f>IF('Global Precios'!K731="","",'Global Precios'!K731)</f>
        <v/>
      </c>
      <c r="K729" s="30" t="str">
        <f>IF('Global Precios'!Z733="Desactivado",0,IF('Global Precios'!L733="","",'Global Precios'!L733))</f>
        <v/>
      </c>
      <c r="L729" s="18"/>
      <c r="M729" s="18"/>
      <c r="N729" s="18"/>
      <c r="O729" s="18"/>
      <c r="P729" s="18"/>
      <c r="Q729" s="18"/>
      <c r="R729" s="18" t="str">
        <f>IF('Global Precios'!F731="","",'Global Precios'!F731)</f>
        <v/>
      </c>
      <c r="S729" s="18"/>
      <c r="T729" s="18" t="str">
        <f>IF('Global Precios'!E731="","",'Global Precios'!E731)</f>
        <v/>
      </c>
      <c r="U729" s="18"/>
      <c r="V729" s="18" t="str">
        <f t="shared" si="2"/>
        <v/>
      </c>
      <c r="W729" s="18"/>
      <c r="X729" s="18"/>
      <c r="Y729" s="18"/>
      <c r="Z729" s="18"/>
      <c r="AA729" s="18"/>
      <c r="AB729" s="18" t="str">
        <f t="shared" si="3"/>
        <v/>
      </c>
      <c r="AC729" s="18" t="str">
        <f t="shared" si="4"/>
        <v/>
      </c>
      <c r="AD729" s="18" t="str">
        <f t="shared" si="5"/>
        <v/>
      </c>
      <c r="AE729" s="18" t="str">
        <f t="shared" si="6"/>
        <v/>
      </c>
    </row>
    <row r="730">
      <c r="A730" s="9" t="str">
        <f>IF(E730="","", IF('Global Precios'!B732="",0,'Global Precios'!B732))</f>
        <v/>
      </c>
      <c r="B730" s="14" t="str">
        <f>IF('Global Precios'!B732="","",'Global Precios'!B732)</f>
        <v/>
      </c>
      <c r="C730" s="18" t="str">
        <f>IF('Global Precios'!A732="","",'Global Precios'!A732)</f>
        <v/>
      </c>
      <c r="D730" s="18"/>
      <c r="E730" s="25" t="str">
        <f>IF('Global Precios'!D732="","",'Global Precios'!D732)</f>
        <v/>
      </c>
      <c r="F730" s="18"/>
      <c r="G730" s="25" t="str">
        <f t="shared" si="7"/>
        <v/>
      </c>
      <c r="H730" s="25" t="str">
        <f t="shared" si="1"/>
        <v/>
      </c>
      <c r="I730" s="30" t="str">
        <f>IF('Global Precios'!I732="","",'Global Precios'!I732)</f>
        <v/>
      </c>
      <c r="J730" s="18" t="str">
        <f>IF('Global Precios'!K732="","",'Global Precios'!K732)</f>
        <v/>
      </c>
      <c r="K730" s="30" t="str">
        <f>IF('Global Precios'!Z734="Desactivado",0,IF('Global Precios'!L734="","",'Global Precios'!L734))</f>
        <v/>
      </c>
      <c r="L730" s="18"/>
      <c r="M730" s="18"/>
      <c r="N730" s="18"/>
      <c r="O730" s="18"/>
      <c r="P730" s="18"/>
      <c r="Q730" s="18"/>
      <c r="R730" s="18" t="str">
        <f>IF('Global Precios'!F732="","",'Global Precios'!F732)</f>
        <v/>
      </c>
      <c r="S730" s="18"/>
      <c r="T730" s="18" t="str">
        <f>IF('Global Precios'!E732="","",'Global Precios'!E732)</f>
        <v/>
      </c>
      <c r="U730" s="18"/>
      <c r="V730" s="18" t="str">
        <f t="shared" si="2"/>
        <v/>
      </c>
      <c r="W730" s="18"/>
      <c r="X730" s="18"/>
      <c r="Y730" s="18"/>
      <c r="Z730" s="18"/>
      <c r="AA730" s="18"/>
      <c r="AB730" s="18" t="str">
        <f t="shared" si="3"/>
        <v/>
      </c>
      <c r="AC730" s="18" t="str">
        <f t="shared" si="4"/>
        <v/>
      </c>
      <c r="AD730" s="18" t="str">
        <f t="shared" si="5"/>
        <v/>
      </c>
      <c r="AE730" s="18" t="str">
        <f t="shared" si="6"/>
        <v/>
      </c>
    </row>
    <row r="731">
      <c r="A731" s="9" t="str">
        <f>IF(E731="","", IF('Global Precios'!B733="",0,'Global Precios'!B733))</f>
        <v/>
      </c>
      <c r="B731" s="14" t="str">
        <f>IF('Global Precios'!B733="","",'Global Precios'!B733)</f>
        <v/>
      </c>
      <c r="C731" s="18" t="str">
        <f>IF('Global Precios'!A733="","",'Global Precios'!A733)</f>
        <v/>
      </c>
      <c r="D731" s="18"/>
      <c r="E731" s="25" t="str">
        <f>IF('Global Precios'!D733="","",'Global Precios'!D733)</f>
        <v/>
      </c>
      <c r="F731" s="18"/>
      <c r="G731" s="25" t="str">
        <f t="shared" si="7"/>
        <v/>
      </c>
      <c r="H731" s="25" t="str">
        <f t="shared" si="1"/>
        <v/>
      </c>
      <c r="I731" s="30" t="str">
        <f>IF('Global Precios'!I733="","",'Global Precios'!I733)</f>
        <v/>
      </c>
      <c r="J731" s="18" t="str">
        <f>IF('Global Precios'!K733="","",'Global Precios'!K733)</f>
        <v/>
      </c>
      <c r="K731" s="30" t="str">
        <f>IF('Global Precios'!Z735="Desactivado",0,IF('Global Precios'!L735="","",'Global Precios'!L735))</f>
        <v/>
      </c>
      <c r="L731" s="18"/>
      <c r="M731" s="18"/>
      <c r="N731" s="18"/>
      <c r="O731" s="18"/>
      <c r="P731" s="18"/>
      <c r="Q731" s="18"/>
      <c r="R731" s="18" t="str">
        <f>IF('Global Precios'!F733="","",'Global Precios'!F733)</f>
        <v/>
      </c>
      <c r="S731" s="18"/>
      <c r="T731" s="18" t="str">
        <f>IF('Global Precios'!E733="","",'Global Precios'!E733)</f>
        <v/>
      </c>
      <c r="U731" s="18"/>
      <c r="V731" s="18" t="str">
        <f t="shared" si="2"/>
        <v/>
      </c>
      <c r="W731" s="18"/>
      <c r="X731" s="18"/>
      <c r="Y731" s="18"/>
      <c r="Z731" s="18"/>
      <c r="AA731" s="18"/>
      <c r="AB731" s="18" t="str">
        <f t="shared" si="3"/>
        <v/>
      </c>
      <c r="AC731" s="18" t="str">
        <f t="shared" si="4"/>
        <v/>
      </c>
      <c r="AD731" s="18" t="str">
        <f t="shared" si="5"/>
        <v/>
      </c>
      <c r="AE731" s="18" t="str">
        <f t="shared" si="6"/>
        <v/>
      </c>
    </row>
    <row r="732">
      <c r="A732" s="9" t="str">
        <f>IF(E732="","", IF('Global Precios'!B734="",0,'Global Precios'!B734))</f>
        <v/>
      </c>
      <c r="B732" s="14" t="str">
        <f>IF('Global Precios'!B734="","",'Global Precios'!B734)</f>
        <v/>
      </c>
      <c r="C732" s="18" t="str">
        <f>IF('Global Precios'!A734="","",'Global Precios'!A734)</f>
        <v/>
      </c>
      <c r="D732" s="18"/>
      <c r="E732" s="25" t="str">
        <f>IF('Global Precios'!D734="","",'Global Precios'!D734)</f>
        <v/>
      </c>
      <c r="F732" s="18"/>
      <c r="G732" s="25" t="str">
        <f t="shared" si="7"/>
        <v/>
      </c>
      <c r="H732" s="25" t="str">
        <f t="shared" si="1"/>
        <v/>
      </c>
      <c r="I732" s="30" t="str">
        <f>IF('Global Precios'!I734="","",'Global Precios'!I734)</f>
        <v/>
      </c>
      <c r="J732" s="18" t="str">
        <f>IF('Global Precios'!K734="","",'Global Precios'!K734)</f>
        <v/>
      </c>
      <c r="K732" s="30" t="str">
        <f>IF('Global Precios'!Z736="Desactivado",0,IF('Global Precios'!L736="","",'Global Precios'!L736))</f>
        <v/>
      </c>
      <c r="L732" s="18"/>
      <c r="M732" s="18"/>
      <c r="N732" s="18"/>
      <c r="O732" s="18"/>
      <c r="P732" s="18"/>
      <c r="Q732" s="18"/>
      <c r="R732" s="18" t="str">
        <f>IF('Global Precios'!F734="","",'Global Precios'!F734)</f>
        <v/>
      </c>
      <c r="S732" s="18"/>
      <c r="T732" s="18" t="str">
        <f>IF('Global Precios'!E734="","",'Global Precios'!E734)</f>
        <v/>
      </c>
      <c r="U732" s="18"/>
      <c r="V732" s="18" t="str">
        <f t="shared" si="2"/>
        <v/>
      </c>
      <c r="W732" s="18"/>
      <c r="X732" s="18"/>
      <c r="Y732" s="18"/>
      <c r="Z732" s="18"/>
      <c r="AA732" s="18"/>
      <c r="AB732" s="18" t="str">
        <f t="shared" si="3"/>
        <v/>
      </c>
      <c r="AC732" s="18" t="str">
        <f t="shared" si="4"/>
        <v/>
      </c>
      <c r="AD732" s="18" t="str">
        <f t="shared" si="5"/>
        <v/>
      </c>
      <c r="AE732" s="18" t="str">
        <f t="shared" si="6"/>
        <v/>
      </c>
    </row>
    <row r="733">
      <c r="A733" s="9" t="str">
        <f>IF(E733="","", IF('Global Precios'!B735="",0,'Global Precios'!B735))</f>
        <v/>
      </c>
      <c r="B733" s="14" t="str">
        <f>IF('Global Precios'!B735="","",'Global Precios'!B735)</f>
        <v/>
      </c>
      <c r="C733" s="18" t="str">
        <f>IF('Global Precios'!A735="","",'Global Precios'!A735)</f>
        <v/>
      </c>
      <c r="D733" s="18"/>
      <c r="E733" s="25" t="str">
        <f>IF('Global Precios'!D735="","",'Global Precios'!D735)</f>
        <v/>
      </c>
      <c r="F733" s="18"/>
      <c r="G733" s="25" t="str">
        <f t="shared" si="7"/>
        <v/>
      </c>
      <c r="H733" s="25" t="str">
        <f t="shared" si="1"/>
        <v/>
      </c>
      <c r="I733" s="30" t="str">
        <f>IF('Global Precios'!I735="","",'Global Precios'!I735)</f>
        <v/>
      </c>
      <c r="J733" s="18" t="str">
        <f>IF('Global Precios'!K735="","",'Global Precios'!K735)</f>
        <v/>
      </c>
      <c r="K733" s="30" t="str">
        <f>IF('Global Precios'!L735="","",'Global Precios'!L735)</f>
        <v/>
      </c>
      <c r="L733" s="18"/>
      <c r="M733" s="18"/>
      <c r="N733" s="18"/>
      <c r="O733" s="18"/>
      <c r="P733" s="18"/>
      <c r="Q733" s="18"/>
      <c r="R733" s="18" t="str">
        <f>IF('Global Precios'!F735="","",'Global Precios'!F735)</f>
        <v/>
      </c>
      <c r="S733" s="18"/>
      <c r="T733" s="18" t="str">
        <f>IF('Global Precios'!E735="","",'Global Precios'!E735)</f>
        <v/>
      </c>
      <c r="U733" s="18"/>
      <c r="V733" s="18" t="str">
        <f t="shared" si="2"/>
        <v/>
      </c>
      <c r="W733" s="18"/>
      <c r="X733" s="18"/>
      <c r="Y733" s="18"/>
      <c r="Z733" s="18"/>
      <c r="AA733" s="18"/>
      <c r="AB733" s="18" t="str">
        <f t="shared" si="3"/>
        <v/>
      </c>
      <c r="AC733" s="18" t="str">
        <f t="shared" si="4"/>
        <v/>
      </c>
      <c r="AD733" s="18" t="str">
        <f t="shared" si="5"/>
        <v/>
      </c>
      <c r="AE733" s="18" t="str">
        <f t="shared" si="6"/>
        <v/>
      </c>
    </row>
    <row r="734">
      <c r="A734" s="9" t="str">
        <f>IF(E734="","", IF('Global Precios'!B736="",0,'Global Precios'!B736))</f>
        <v/>
      </c>
      <c r="B734" s="14" t="str">
        <f>IF('Global Precios'!B736="","",'Global Precios'!B736)</f>
        <v/>
      </c>
      <c r="C734" s="18" t="str">
        <f>IF('Global Precios'!A736="","",'Global Precios'!A736)</f>
        <v/>
      </c>
      <c r="D734" s="18"/>
      <c r="E734" s="25" t="str">
        <f>IF('Global Precios'!D736="","",'Global Precios'!D736)</f>
        <v/>
      </c>
      <c r="F734" s="18"/>
      <c r="G734" s="25" t="str">
        <f t="shared" si="7"/>
        <v/>
      </c>
      <c r="H734" s="25" t="str">
        <f t="shared" si="1"/>
        <v/>
      </c>
      <c r="I734" s="30" t="str">
        <f>IF('Global Precios'!I736="","",'Global Precios'!I736)</f>
        <v/>
      </c>
      <c r="J734" s="18" t="str">
        <f>IF('Global Precios'!K736="","",'Global Precios'!K736)</f>
        <v/>
      </c>
      <c r="K734" s="30" t="str">
        <f>IF('Global Precios'!L736="","",'Global Precios'!L736)</f>
        <v/>
      </c>
      <c r="L734" s="18"/>
      <c r="M734" s="18"/>
      <c r="N734" s="18"/>
      <c r="O734" s="18"/>
      <c r="P734" s="18"/>
      <c r="Q734" s="18"/>
      <c r="R734" s="18" t="str">
        <f>IF('Global Precios'!F736="","",'Global Precios'!F736)</f>
        <v/>
      </c>
      <c r="S734" s="18"/>
      <c r="T734" s="18" t="str">
        <f>IF('Global Precios'!E736="","",'Global Precios'!E736)</f>
        <v/>
      </c>
      <c r="U734" s="18"/>
      <c r="V734" s="18" t="str">
        <f t="shared" si="2"/>
        <v/>
      </c>
      <c r="W734" s="18"/>
      <c r="X734" s="18"/>
      <c r="Y734" s="18"/>
      <c r="Z734" s="18"/>
      <c r="AA734" s="18"/>
      <c r="AB734" s="18" t="str">
        <f t="shared" si="3"/>
        <v/>
      </c>
      <c r="AC734" s="18" t="str">
        <f t="shared" si="4"/>
        <v/>
      </c>
      <c r="AD734" s="18" t="str">
        <f t="shared" si="5"/>
        <v/>
      </c>
      <c r="AE734" s="18" t="str">
        <f t="shared" si="6"/>
        <v/>
      </c>
    </row>
    <row r="735">
      <c r="A735" s="9" t="str">
        <f>IF(E735="","", IF('Global Precios'!B737="",0,'Global Precios'!B737))</f>
        <v/>
      </c>
      <c r="B735" s="14" t="str">
        <f>IF('Global Precios'!B737="","",'Global Precios'!B737)</f>
        <v/>
      </c>
      <c r="C735" s="18" t="str">
        <f>IF('Global Precios'!A737="","",'Global Precios'!A737)</f>
        <v/>
      </c>
      <c r="D735" s="18"/>
      <c r="E735" s="25" t="str">
        <f>IF('Global Precios'!D737="","",'Global Precios'!D737)</f>
        <v/>
      </c>
      <c r="F735" s="18"/>
      <c r="G735" s="25" t="str">
        <f t="shared" si="7"/>
        <v/>
      </c>
      <c r="H735" s="25" t="str">
        <f t="shared" si="1"/>
        <v/>
      </c>
      <c r="I735" s="30" t="str">
        <f>IF('Global Precios'!I737="","",'Global Precios'!I737)</f>
        <v/>
      </c>
      <c r="J735" s="18" t="str">
        <f>IF('Global Precios'!K737="","",'Global Precios'!K737)</f>
        <v/>
      </c>
      <c r="K735" s="30" t="str">
        <f>IF('Global Precios'!L737="","",'Global Precios'!L737)</f>
        <v/>
      </c>
      <c r="L735" s="18"/>
      <c r="M735" s="18"/>
      <c r="N735" s="18"/>
      <c r="O735" s="18"/>
      <c r="P735" s="18"/>
      <c r="Q735" s="18"/>
      <c r="R735" s="18" t="str">
        <f>IF('Global Precios'!F737="","",'Global Precios'!F737)</f>
        <v/>
      </c>
      <c r="S735" s="18"/>
      <c r="T735" s="18" t="str">
        <f>IF('Global Precios'!E737="","",'Global Precios'!E737)</f>
        <v/>
      </c>
      <c r="U735" s="18"/>
      <c r="V735" s="18" t="str">
        <f t="shared" si="2"/>
        <v/>
      </c>
      <c r="W735" s="18"/>
      <c r="X735" s="18"/>
      <c r="Y735" s="18"/>
      <c r="Z735" s="18"/>
      <c r="AA735" s="18"/>
      <c r="AB735" s="18" t="str">
        <f t="shared" si="3"/>
        <v/>
      </c>
      <c r="AC735" s="18" t="str">
        <f t="shared" si="4"/>
        <v/>
      </c>
      <c r="AD735" s="18" t="str">
        <f t="shared" si="5"/>
        <v/>
      </c>
      <c r="AE735" s="18" t="str">
        <f t="shared" si="6"/>
        <v/>
      </c>
    </row>
    <row r="736">
      <c r="A736" s="9" t="str">
        <f>IF(E736="","", IF('Global Precios'!B738="",0,'Global Precios'!B738))</f>
        <v/>
      </c>
      <c r="B736" s="14" t="str">
        <f>IF('Global Precios'!B738="","",'Global Precios'!B738)</f>
        <v/>
      </c>
      <c r="C736" s="18" t="str">
        <f>IF('Global Precios'!A738="","",'Global Precios'!A738)</f>
        <v/>
      </c>
      <c r="D736" s="18"/>
      <c r="E736" s="25" t="str">
        <f>IF('Global Precios'!D738="","",'Global Precios'!D738)</f>
        <v/>
      </c>
      <c r="F736" s="18"/>
      <c r="G736" s="25" t="str">
        <f t="shared" si="7"/>
        <v/>
      </c>
      <c r="H736" s="25" t="str">
        <f t="shared" si="1"/>
        <v/>
      </c>
      <c r="I736" s="30" t="str">
        <f>IF('Global Precios'!I738="","",'Global Precios'!I738)</f>
        <v/>
      </c>
      <c r="J736" s="18" t="str">
        <f>IF('Global Precios'!K738="","",'Global Precios'!K738)</f>
        <v/>
      </c>
      <c r="K736" s="30" t="str">
        <f>IF('Global Precios'!L738="","",'Global Precios'!L738)</f>
        <v/>
      </c>
      <c r="L736" s="18"/>
      <c r="M736" s="18"/>
      <c r="N736" s="18"/>
      <c r="O736" s="18"/>
      <c r="P736" s="18"/>
      <c r="Q736" s="18"/>
      <c r="R736" s="18" t="str">
        <f>IF('Global Precios'!F738="","",'Global Precios'!F738)</f>
        <v/>
      </c>
      <c r="S736" s="18"/>
      <c r="T736" s="18" t="str">
        <f>IF('Global Precios'!E738="","",'Global Precios'!E738)</f>
        <v/>
      </c>
      <c r="U736" s="18"/>
      <c r="V736" s="18" t="str">
        <f t="shared" si="2"/>
        <v/>
      </c>
      <c r="W736" s="18"/>
      <c r="X736" s="18"/>
      <c r="Y736" s="18"/>
      <c r="Z736" s="18"/>
      <c r="AA736" s="18"/>
      <c r="AB736" s="18" t="str">
        <f t="shared" si="3"/>
        <v/>
      </c>
      <c r="AC736" s="18" t="str">
        <f t="shared" si="4"/>
        <v/>
      </c>
      <c r="AD736" s="18" t="str">
        <f t="shared" si="5"/>
        <v/>
      </c>
      <c r="AE736" s="18" t="str">
        <f t="shared" si="6"/>
        <v/>
      </c>
    </row>
    <row r="737">
      <c r="A737" s="9" t="str">
        <f>IF(E737="","", IF('Global Precios'!B739="",0,'Global Precios'!B739))</f>
        <v/>
      </c>
      <c r="B737" s="14" t="str">
        <f>IF('Global Precios'!B739="","",'Global Precios'!B739)</f>
        <v/>
      </c>
      <c r="C737" s="18" t="str">
        <f>IF('Global Precios'!A739="","",'Global Precios'!A739)</f>
        <v/>
      </c>
      <c r="D737" s="18"/>
      <c r="E737" s="25" t="str">
        <f>IF('Global Precios'!D739="","",'Global Precios'!D739)</f>
        <v/>
      </c>
      <c r="F737" s="18"/>
      <c r="G737" s="25" t="str">
        <f t="shared" si="7"/>
        <v/>
      </c>
      <c r="H737" s="25" t="str">
        <f t="shared" si="1"/>
        <v/>
      </c>
      <c r="I737" s="30" t="str">
        <f>IF('Global Precios'!I739="","",'Global Precios'!I739)</f>
        <v/>
      </c>
      <c r="J737" s="18" t="str">
        <f>IF('Global Precios'!K739="","",'Global Precios'!K739)</f>
        <v/>
      </c>
      <c r="K737" s="30" t="str">
        <f>IF('Global Precios'!L739="","",'Global Precios'!L739)</f>
        <v/>
      </c>
      <c r="L737" s="18"/>
      <c r="M737" s="18"/>
      <c r="N737" s="18"/>
      <c r="O737" s="18"/>
      <c r="P737" s="18"/>
      <c r="Q737" s="18"/>
      <c r="R737" s="18" t="str">
        <f>IF('Global Precios'!F739="","",'Global Precios'!F739)</f>
        <v/>
      </c>
      <c r="S737" s="18"/>
      <c r="T737" s="18" t="str">
        <f>IF('Global Precios'!E739="","",'Global Precios'!E739)</f>
        <v/>
      </c>
      <c r="U737" s="18"/>
      <c r="V737" s="18" t="str">
        <f t="shared" si="2"/>
        <v/>
      </c>
      <c r="W737" s="18"/>
      <c r="X737" s="18"/>
      <c r="Y737" s="18"/>
      <c r="Z737" s="18"/>
      <c r="AA737" s="18"/>
      <c r="AB737" s="18" t="str">
        <f t="shared" si="3"/>
        <v/>
      </c>
      <c r="AC737" s="18" t="str">
        <f t="shared" si="4"/>
        <v/>
      </c>
      <c r="AD737" s="18" t="str">
        <f t="shared" si="5"/>
        <v/>
      </c>
      <c r="AE737" s="18" t="str">
        <f t="shared" si="6"/>
        <v/>
      </c>
    </row>
    <row r="738">
      <c r="A738" s="9" t="str">
        <f>IF(E738="","", IF('Global Precios'!B740="",0,'Global Precios'!B740))</f>
        <v/>
      </c>
      <c r="B738" s="14" t="str">
        <f>IF('Global Precios'!B740="","",'Global Precios'!B740)</f>
        <v/>
      </c>
      <c r="C738" s="18" t="str">
        <f>IF('Global Precios'!A740="","",'Global Precios'!A740)</f>
        <v/>
      </c>
      <c r="D738" s="18"/>
      <c r="E738" s="25" t="str">
        <f>IF('Global Precios'!D740="","",'Global Precios'!D740)</f>
        <v/>
      </c>
      <c r="F738" s="18"/>
      <c r="G738" s="25" t="str">
        <f t="shared" si="7"/>
        <v/>
      </c>
      <c r="H738" s="25" t="str">
        <f t="shared" si="1"/>
        <v/>
      </c>
      <c r="I738" s="30" t="str">
        <f>IF('Global Precios'!I740="","",'Global Precios'!I740)</f>
        <v/>
      </c>
      <c r="J738" s="18" t="str">
        <f>IF('Global Precios'!K740="","",'Global Precios'!K740)</f>
        <v/>
      </c>
      <c r="K738" s="30" t="str">
        <f>IF('Global Precios'!L740="","",'Global Precios'!L740)</f>
        <v/>
      </c>
      <c r="L738" s="18"/>
      <c r="M738" s="18"/>
      <c r="N738" s="18"/>
      <c r="O738" s="18"/>
      <c r="P738" s="18"/>
      <c r="Q738" s="18"/>
      <c r="R738" s="18" t="str">
        <f>IF('Global Precios'!F740="","",'Global Precios'!F740)</f>
        <v/>
      </c>
      <c r="S738" s="18"/>
      <c r="T738" s="18" t="str">
        <f>IF('Global Precios'!E740="","",'Global Precios'!E740)</f>
        <v/>
      </c>
      <c r="U738" s="18"/>
      <c r="V738" s="18" t="str">
        <f t="shared" si="2"/>
        <v/>
      </c>
      <c r="W738" s="18"/>
      <c r="X738" s="18"/>
      <c r="Y738" s="18"/>
      <c r="Z738" s="18"/>
      <c r="AA738" s="18"/>
      <c r="AB738" s="18" t="str">
        <f t="shared" si="3"/>
        <v/>
      </c>
      <c r="AC738" s="18" t="str">
        <f t="shared" si="4"/>
        <v/>
      </c>
      <c r="AD738" s="18" t="str">
        <f t="shared" si="5"/>
        <v/>
      </c>
      <c r="AE738" s="18" t="str">
        <f t="shared" si="6"/>
        <v/>
      </c>
    </row>
    <row r="739">
      <c r="A739" s="9" t="str">
        <f>IF(E739="","", IF('Global Precios'!B741="",0,'Global Precios'!B741))</f>
        <v/>
      </c>
      <c r="B739" s="14" t="str">
        <f>IF('Global Precios'!B741="","",'Global Precios'!B741)</f>
        <v/>
      </c>
      <c r="C739" s="18" t="str">
        <f>IF('Global Precios'!A741="","",'Global Precios'!A741)</f>
        <v/>
      </c>
      <c r="D739" s="18"/>
      <c r="E739" s="25" t="str">
        <f>IF('Global Precios'!D741="","",'Global Precios'!D741)</f>
        <v/>
      </c>
      <c r="F739" s="18"/>
      <c r="G739" s="25" t="str">
        <f t="shared" si="7"/>
        <v/>
      </c>
      <c r="H739" s="25" t="str">
        <f t="shared" si="1"/>
        <v/>
      </c>
      <c r="I739" s="30" t="str">
        <f>IF('Global Precios'!I741="","",'Global Precios'!I741)</f>
        <v/>
      </c>
      <c r="J739" s="18" t="str">
        <f>IF('Global Precios'!K741="","",'Global Precios'!K741)</f>
        <v/>
      </c>
      <c r="K739" s="30" t="str">
        <f>IF('Global Precios'!L741="","",'Global Precios'!L741)</f>
        <v/>
      </c>
      <c r="L739" s="18"/>
      <c r="M739" s="18"/>
      <c r="N739" s="18"/>
      <c r="O739" s="18"/>
      <c r="P739" s="18"/>
      <c r="Q739" s="18"/>
      <c r="R739" s="18" t="str">
        <f>IF('Global Precios'!F741="","",'Global Precios'!F741)</f>
        <v/>
      </c>
      <c r="S739" s="18"/>
      <c r="T739" s="18" t="str">
        <f>IF('Global Precios'!E741="","",'Global Precios'!E741)</f>
        <v/>
      </c>
      <c r="U739" s="18"/>
      <c r="V739" s="18" t="str">
        <f t="shared" si="2"/>
        <v/>
      </c>
      <c r="W739" s="18"/>
      <c r="X739" s="18"/>
      <c r="Y739" s="18"/>
      <c r="Z739" s="18"/>
      <c r="AA739" s="18"/>
      <c r="AB739" s="18" t="str">
        <f t="shared" si="3"/>
        <v/>
      </c>
      <c r="AC739" s="18" t="str">
        <f t="shared" si="4"/>
        <v/>
      </c>
      <c r="AD739" s="18" t="str">
        <f t="shared" si="5"/>
        <v/>
      </c>
      <c r="AE739" s="18" t="str">
        <f t="shared" si="6"/>
        <v/>
      </c>
    </row>
    <row r="740">
      <c r="A740" s="9" t="str">
        <f>IF(E740="","", IF('Global Precios'!B742="",0,'Global Precios'!B742))</f>
        <v/>
      </c>
      <c r="B740" s="14" t="str">
        <f>IF('Global Precios'!B742="","",'Global Precios'!B742)</f>
        <v/>
      </c>
      <c r="C740" s="18" t="str">
        <f>IF('Global Precios'!A742="","",'Global Precios'!A742)</f>
        <v/>
      </c>
      <c r="D740" s="18"/>
      <c r="E740" s="25" t="str">
        <f>IF('Global Precios'!D742="","",'Global Precios'!D742)</f>
        <v/>
      </c>
      <c r="F740" s="18"/>
      <c r="G740" s="25" t="str">
        <f t="shared" si="7"/>
        <v/>
      </c>
      <c r="H740" s="25" t="str">
        <f t="shared" si="1"/>
        <v/>
      </c>
      <c r="I740" s="30" t="str">
        <f>IF('Global Precios'!I742="","",'Global Precios'!I742)</f>
        <v/>
      </c>
      <c r="J740" s="18" t="str">
        <f>IF('Global Precios'!K742="","",'Global Precios'!K742)</f>
        <v/>
      </c>
      <c r="K740" s="30" t="str">
        <f>IF('Global Precios'!L742="","",'Global Precios'!L742)</f>
        <v/>
      </c>
      <c r="L740" s="18"/>
      <c r="M740" s="18"/>
      <c r="N740" s="18"/>
      <c r="O740" s="18"/>
      <c r="P740" s="18"/>
      <c r="Q740" s="18"/>
      <c r="R740" s="18" t="str">
        <f>IF('Global Precios'!F742="","",'Global Precios'!F742)</f>
        <v/>
      </c>
      <c r="S740" s="18"/>
      <c r="T740" s="18" t="str">
        <f>IF('Global Precios'!E742="","",'Global Precios'!E742)</f>
        <v/>
      </c>
      <c r="U740" s="18"/>
      <c r="V740" s="18" t="str">
        <f t="shared" si="2"/>
        <v/>
      </c>
      <c r="W740" s="18"/>
      <c r="X740" s="18"/>
      <c r="Y740" s="18"/>
      <c r="Z740" s="18"/>
      <c r="AA740" s="18"/>
      <c r="AB740" s="18" t="str">
        <f t="shared" si="3"/>
        <v/>
      </c>
      <c r="AC740" s="18" t="str">
        <f t="shared" si="4"/>
        <v/>
      </c>
      <c r="AD740" s="18" t="str">
        <f t="shared" si="5"/>
        <v/>
      </c>
      <c r="AE740" s="18" t="str">
        <f t="shared" si="6"/>
        <v/>
      </c>
    </row>
    <row r="741">
      <c r="A741" s="9" t="str">
        <f>IF(E741="","", IF('Global Precios'!B743="",0,'Global Precios'!B743))</f>
        <v/>
      </c>
      <c r="B741" s="14" t="str">
        <f>IF('Global Precios'!B743="","",'Global Precios'!B743)</f>
        <v/>
      </c>
      <c r="C741" s="18" t="str">
        <f>IF('Global Precios'!A743="","",'Global Precios'!A743)</f>
        <v/>
      </c>
      <c r="D741" s="18"/>
      <c r="E741" s="25" t="str">
        <f>IF('Global Precios'!D743="","",'Global Precios'!D743)</f>
        <v/>
      </c>
      <c r="F741" s="18"/>
      <c r="G741" s="25" t="str">
        <f t="shared" si="7"/>
        <v/>
      </c>
      <c r="H741" s="25" t="str">
        <f t="shared" si="1"/>
        <v/>
      </c>
      <c r="I741" s="30" t="str">
        <f>IF('Global Precios'!I743="","",'Global Precios'!I743)</f>
        <v/>
      </c>
      <c r="J741" s="18" t="str">
        <f>IF('Global Precios'!K743="","",'Global Precios'!K743)</f>
        <v/>
      </c>
      <c r="K741" s="30" t="str">
        <f>IF('Global Precios'!L743="","",'Global Precios'!L743)</f>
        <v/>
      </c>
      <c r="L741" s="18"/>
      <c r="M741" s="18"/>
      <c r="N741" s="18"/>
      <c r="O741" s="18"/>
      <c r="P741" s="18"/>
      <c r="Q741" s="18"/>
      <c r="R741" s="18" t="str">
        <f>IF('Global Precios'!F743="","",'Global Precios'!F743)</f>
        <v/>
      </c>
      <c r="S741" s="18"/>
      <c r="T741" s="18" t="str">
        <f>IF('Global Precios'!E743="","",'Global Precios'!E743)</f>
        <v/>
      </c>
      <c r="U741" s="18"/>
      <c r="V741" s="18" t="str">
        <f t="shared" si="2"/>
        <v/>
      </c>
      <c r="W741" s="18"/>
      <c r="X741" s="18"/>
      <c r="Y741" s="18"/>
      <c r="Z741" s="18"/>
      <c r="AA741" s="18"/>
      <c r="AB741" s="18" t="str">
        <f t="shared" si="3"/>
        <v/>
      </c>
      <c r="AC741" s="18" t="str">
        <f t="shared" si="4"/>
        <v/>
      </c>
      <c r="AD741" s="18" t="str">
        <f t="shared" si="5"/>
        <v/>
      </c>
      <c r="AE741" s="18" t="str">
        <f t="shared" si="6"/>
        <v/>
      </c>
    </row>
    <row r="742">
      <c r="A742" s="9" t="str">
        <f>IF(E742="","", IF('Global Precios'!B744="",0,'Global Precios'!B744))</f>
        <v/>
      </c>
      <c r="B742" s="14" t="str">
        <f>IF('Global Precios'!B744="","",'Global Precios'!B744)</f>
        <v/>
      </c>
      <c r="C742" s="18" t="str">
        <f>IF('Global Precios'!A744="","",'Global Precios'!A744)</f>
        <v/>
      </c>
      <c r="D742" s="18"/>
      <c r="E742" s="25" t="str">
        <f>IF('Global Precios'!D744="","",'Global Precios'!D744)</f>
        <v/>
      </c>
      <c r="F742" s="18"/>
      <c r="G742" s="25" t="str">
        <f t="shared" si="7"/>
        <v/>
      </c>
      <c r="H742" s="25" t="str">
        <f t="shared" si="1"/>
        <v/>
      </c>
      <c r="I742" s="30" t="str">
        <f>IF('Global Precios'!I744="","",'Global Precios'!I744)</f>
        <v/>
      </c>
      <c r="J742" s="18" t="str">
        <f>IF('Global Precios'!K744="","",'Global Precios'!K744)</f>
        <v/>
      </c>
      <c r="K742" s="30" t="str">
        <f>IF('Global Precios'!L744="","",'Global Precios'!L744)</f>
        <v/>
      </c>
      <c r="L742" s="18"/>
      <c r="M742" s="18"/>
      <c r="N742" s="18"/>
      <c r="O742" s="18"/>
      <c r="P742" s="18"/>
      <c r="Q742" s="18"/>
      <c r="R742" s="18" t="str">
        <f>IF('Global Precios'!F744="","",'Global Precios'!F744)</f>
        <v/>
      </c>
      <c r="S742" s="18"/>
      <c r="T742" s="18" t="str">
        <f>IF('Global Precios'!E744="","",'Global Precios'!E744)</f>
        <v/>
      </c>
      <c r="U742" s="18"/>
      <c r="V742" s="18" t="str">
        <f t="shared" si="2"/>
        <v/>
      </c>
      <c r="W742" s="18"/>
      <c r="X742" s="18"/>
      <c r="Y742" s="18"/>
      <c r="Z742" s="18"/>
      <c r="AA742" s="18"/>
      <c r="AB742" s="18" t="str">
        <f t="shared" si="3"/>
        <v/>
      </c>
      <c r="AC742" s="18" t="str">
        <f t="shared" si="4"/>
        <v/>
      </c>
      <c r="AD742" s="18" t="str">
        <f t="shared" si="5"/>
        <v/>
      </c>
      <c r="AE742" s="18" t="str">
        <f t="shared" si="6"/>
        <v/>
      </c>
    </row>
    <row r="743">
      <c r="A743" s="9" t="str">
        <f>IF(E743="","", IF('Global Precios'!B745="",0,'Global Precios'!B745))</f>
        <v/>
      </c>
      <c r="B743" s="14" t="str">
        <f>IF('Global Precios'!B745="","",'Global Precios'!B745)</f>
        <v/>
      </c>
      <c r="C743" s="18" t="str">
        <f>IF('Global Precios'!A745="","",'Global Precios'!A745)</f>
        <v/>
      </c>
      <c r="D743" s="18"/>
      <c r="E743" s="25" t="str">
        <f>IF('Global Precios'!D745="","",'Global Precios'!D745)</f>
        <v/>
      </c>
      <c r="F743" s="18"/>
      <c r="G743" s="25" t="str">
        <f t="shared" si="7"/>
        <v/>
      </c>
      <c r="H743" s="25" t="str">
        <f t="shared" si="1"/>
        <v/>
      </c>
      <c r="I743" s="30" t="str">
        <f>IF('Global Precios'!I745="","",'Global Precios'!I745)</f>
        <v/>
      </c>
      <c r="J743" s="18" t="str">
        <f>IF('Global Precios'!K745="","",'Global Precios'!K745)</f>
        <v/>
      </c>
      <c r="K743" s="30" t="str">
        <f>IF('Global Precios'!L745="","",'Global Precios'!L745)</f>
        <v/>
      </c>
      <c r="L743" s="18"/>
      <c r="M743" s="18"/>
      <c r="N743" s="18"/>
      <c r="O743" s="18"/>
      <c r="P743" s="18"/>
      <c r="Q743" s="18"/>
      <c r="R743" s="18" t="str">
        <f>IF('Global Precios'!F745="","",'Global Precios'!F745)</f>
        <v/>
      </c>
      <c r="S743" s="18"/>
      <c r="T743" s="18" t="str">
        <f>IF('Global Precios'!E745="","",'Global Precios'!E745)</f>
        <v/>
      </c>
      <c r="U743" s="18"/>
      <c r="V743" s="18" t="str">
        <f t="shared" si="2"/>
        <v/>
      </c>
      <c r="W743" s="18"/>
      <c r="X743" s="18"/>
      <c r="Y743" s="18"/>
      <c r="Z743" s="18"/>
      <c r="AA743" s="18"/>
      <c r="AB743" s="18" t="str">
        <f t="shared" si="3"/>
        <v/>
      </c>
      <c r="AC743" s="18" t="str">
        <f t="shared" si="4"/>
        <v/>
      </c>
      <c r="AD743" s="18" t="str">
        <f t="shared" si="5"/>
        <v/>
      </c>
      <c r="AE743" s="18" t="str">
        <f t="shared" si="6"/>
        <v/>
      </c>
    </row>
    <row r="744">
      <c r="A744" s="9" t="str">
        <f>IF(E744="","", IF('Global Precios'!B746="",0,'Global Precios'!B746))</f>
        <v/>
      </c>
      <c r="B744" s="14" t="str">
        <f>IF('Global Precios'!B746="","",'Global Precios'!B746)</f>
        <v/>
      </c>
      <c r="C744" s="18" t="str">
        <f>IF('Global Precios'!A746="","",'Global Precios'!A746)</f>
        <v/>
      </c>
      <c r="D744" s="18"/>
      <c r="E744" s="25" t="str">
        <f>IF('Global Precios'!D746="","",'Global Precios'!D746)</f>
        <v/>
      </c>
      <c r="F744" s="18"/>
      <c r="G744" s="25" t="str">
        <f t="shared" si="7"/>
        <v/>
      </c>
      <c r="H744" s="25" t="str">
        <f t="shared" si="1"/>
        <v/>
      </c>
      <c r="I744" s="30" t="str">
        <f>IF('Global Precios'!I746="","",'Global Precios'!I746)</f>
        <v/>
      </c>
      <c r="J744" s="18" t="str">
        <f>IF('Global Precios'!K746="","",'Global Precios'!K746)</f>
        <v/>
      </c>
      <c r="K744" s="30" t="str">
        <f>IF('Global Precios'!L746="","",'Global Precios'!L746)</f>
        <v/>
      </c>
      <c r="L744" s="18"/>
      <c r="M744" s="18"/>
      <c r="N744" s="18"/>
      <c r="O744" s="18"/>
      <c r="P744" s="18"/>
      <c r="Q744" s="18"/>
      <c r="R744" s="18" t="str">
        <f>IF('Global Precios'!F746="","",'Global Precios'!F746)</f>
        <v/>
      </c>
      <c r="S744" s="18"/>
      <c r="T744" s="18" t="str">
        <f>IF('Global Precios'!E746="","",'Global Precios'!E746)</f>
        <v/>
      </c>
      <c r="U744" s="18"/>
      <c r="V744" s="18" t="str">
        <f t="shared" si="2"/>
        <v/>
      </c>
      <c r="W744" s="18"/>
      <c r="X744" s="18"/>
      <c r="Y744" s="18"/>
      <c r="Z744" s="18"/>
      <c r="AA744" s="18"/>
      <c r="AB744" s="18" t="str">
        <f t="shared" si="3"/>
        <v/>
      </c>
      <c r="AC744" s="18" t="str">
        <f t="shared" si="4"/>
        <v/>
      </c>
      <c r="AD744" s="18" t="str">
        <f t="shared" si="5"/>
        <v/>
      </c>
      <c r="AE744" s="18" t="str">
        <f t="shared" si="6"/>
        <v/>
      </c>
    </row>
    <row r="745">
      <c r="A745" s="9" t="str">
        <f>IF(E745="","", IF('Global Precios'!B747="",0,'Global Precios'!B747))</f>
        <v/>
      </c>
      <c r="B745" s="14" t="str">
        <f>IF('Global Precios'!B747="","",'Global Precios'!B747)</f>
        <v/>
      </c>
      <c r="C745" s="18" t="str">
        <f>IF('Global Precios'!A747="","",'Global Precios'!A747)</f>
        <v/>
      </c>
      <c r="D745" s="18"/>
      <c r="E745" s="25" t="str">
        <f>IF('Global Precios'!D747="","",'Global Precios'!D747)</f>
        <v/>
      </c>
      <c r="F745" s="18"/>
      <c r="G745" s="25" t="str">
        <f t="shared" si="7"/>
        <v/>
      </c>
      <c r="H745" s="25" t="str">
        <f t="shared" si="1"/>
        <v/>
      </c>
      <c r="I745" s="30" t="str">
        <f>IF('Global Precios'!I747="","",'Global Precios'!I747)</f>
        <v/>
      </c>
      <c r="J745" s="18" t="str">
        <f>IF('Global Precios'!K747="","",'Global Precios'!K747)</f>
        <v/>
      </c>
      <c r="K745" s="30" t="str">
        <f>IF('Global Precios'!L747="","",'Global Precios'!L747)</f>
        <v/>
      </c>
      <c r="L745" s="18"/>
      <c r="M745" s="18"/>
      <c r="N745" s="18"/>
      <c r="O745" s="18"/>
      <c r="P745" s="18"/>
      <c r="Q745" s="18"/>
      <c r="R745" s="18" t="str">
        <f>IF('Global Precios'!F747="","",'Global Precios'!F747)</f>
        <v/>
      </c>
      <c r="S745" s="18"/>
      <c r="T745" s="18" t="str">
        <f>IF('Global Precios'!E747="","",'Global Precios'!E747)</f>
        <v/>
      </c>
      <c r="U745" s="18"/>
      <c r="V745" s="18" t="str">
        <f t="shared" si="2"/>
        <v/>
      </c>
      <c r="W745" s="18"/>
      <c r="X745" s="18"/>
      <c r="Y745" s="18"/>
      <c r="Z745" s="18"/>
      <c r="AA745" s="18"/>
      <c r="AB745" s="18" t="str">
        <f t="shared" si="3"/>
        <v/>
      </c>
      <c r="AC745" s="18" t="str">
        <f t="shared" si="4"/>
        <v/>
      </c>
      <c r="AD745" s="18" t="str">
        <f t="shared" si="5"/>
        <v/>
      </c>
      <c r="AE745" s="18" t="str">
        <f t="shared" si="6"/>
        <v/>
      </c>
    </row>
    <row r="746">
      <c r="A746" s="9" t="str">
        <f>IF(E746="","", IF('Global Precios'!B748="",0,'Global Precios'!B748))</f>
        <v/>
      </c>
      <c r="B746" s="14" t="str">
        <f>IF('Global Precios'!B748="","",'Global Precios'!B748)</f>
        <v/>
      </c>
      <c r="C746" s="18" t="str">
        <f>IF('Global Precios'!A748="","",'Global Precios'!A748)</f>
        <v/>
      </c>
      <c r="D746" s="18"/>
      <c r="E746" s="25" t="str">
        <f>IF('Global Precios'!D748="","",'Global Precios'!D748)</f>
        <v/>
      </c>
      <c r="F746" s="18"/>
      <c r="G746" s="25" t="str">
        <f t="shared" si="7"/>
        <v/>
      </c>
      <c r="H746" s="25" t="str">
        <f t="shared" si="1"/>
        <v/>
      </c>
      <c r="I746" s="30" t="str">
        <f>IF('Global Precios'!I748="","",'Global Precios'!I748)</f>
        <v/>
      </c>
      <c r="J746" s="18" t="str">
        <f>IF('Global Precios'!K748="","",'Global Precios'!K748)</f>
        <v/>
      </c>
      <c r="K746" s="30" t="str">
        <f>IF('Global Precios'!L748="","",'Global Precios'!L748)</f>
        <v/>
      </c>
      <c r="L746" s="18"/>
      <c r="M746" s="18"/>
      <c r="N746" s="18"/>
      <c r="O746" s="18"/>
      <c r="P746" s="18"/>
      <c r="Q746" s="18"/>
      <c r="R746" s="18" t="str">
        <f>IF('Global Precios'!F748="","",'Global Precios'!F748)</f>
        <v/>
      </c>
      <c r="S746" s="18"/>
      <c r="T746" s="18" t="str">
        <f>IF('Global Precios'!E748="","",'Global Precios'!E748)</f>
        <v/>
      </c>
      <c r="U746" s="18"/>
      <c r="V746" s="18" t="str">
        <f t="shared" si="2"/>
        <v/>
      </c>
      <c r="W746" s="18"/>
      <c r="X746" s="18"/>
      <c r="Y746" s="18"/>
      <c r="Z746" s="18"/>
      <c r="AA746" s="18"/>
      <c r="AB746" s="18" t="str">
        <f t="shared" si="3"/>
        <v/>
      </c>
      <c r="AC746" s="18" t="str">
        <f t="shared" si="4"/>
        <v/>
      </c>
      <c r="AD746" s="18" t="str">
        <f t="shared" si="5"/>
        <v/>
      </c>
      <c r="AE746" s="18" t="str">
        <f t="shared" si="6"/>
        <v/>
      </c>
    </row>
    <row r="747">
      <c r="A747" s="9" t="str">
        <f>IF(E747="","", IF('Global Precios'!B749="",0,'Global Precios'!B749))</f>
        <v/>
      </c>
      <c r="B747" s="14" t="str">
        <f>IF('Global Precios'!B749="","",'Global Precios'!B749)</f>
        <v/>
      </c>
      <c r="C747" s="18" t="str">
        <f>IF('Global Precios'!A749="","",'Global Precios'!A749)</f>
        <v/>
      </c>
      <c r="D747" s="18"/>
      <c r="E747" s="25" t="str">
        <f>IF('Global Precios'!D749="","",'Global Precios'!D749)</f>
        <v/>
      </c>
      <c r="F747" s="18"/>
      <c r="G747" s="25" t="str">
        <f t="shared" si="7"/>
        <v/>
      </c>
      <c r="H747" s="25" t="str">
        <f t="shared" si="1"/>
        <v/>
      </c>
      <c r="I747" s="30" t="str">
        <f>IF('Global Precios'!I749="","",'Global Precios'!I749)</f>
        <v/>
      </c>
      <c r="J747" s="18" t="str">
        <f>IF('Global Precios'!K749="","",'Global Precios'!K749)</f>
        <v/>
      </c>
      <c r="K747" s="30" t="str">
        <f>IF('Global Precios'!L749="","",'Global Precios'!L749)</f>
        <v/>
      </c>
      <c r="L747" s="18"/>
      <c r="M747" s="18"/>
      <c r="N747" s="18"/>
      <c r="O747" s="18"/>
      <c r="P747" s="18"/>
      <c r="Q747" s="18"/>
      <c r="R747" s="18" t="str">
        <f>IF('Global Precios'!F749="","",'Global Precios'!F749)</f>
        <v/>
      </c>
      <c r="S747" s="18"/>
      <c r="T747" s="18" t="str">
        <f>IF('Global Precios'!E749="","",'Global Precios'!E749)</f>
        <v/>
      </c>
      <c r="U747" s="18"/>
      <c r="V747" s="18" t="str">
        <f t="shared" si="2"/>
        <v/>
      </c>
      <c r="W747" s="18"/>
      <c r="X747" s="18"/>
      <c r="Y747" s="18"/>
      <c r="Z747" s="18"/>
      <c r="AA747" s="18"/>
      <c r="AB747" s="18" t="str">
        <f t="shared" si="3"/>
        <v/>
      </c>
      <c r="AC747" s="18" t="str">
        <f t="shared" si="4"/>
        <v/>
      </c>
      <c r="AD747" s="18" t="str">
        <f t="shared" si="5"/>
        <v/>
      </c>
      <c r="AE747" s="18" t="str">
        <f t="shared" si="6"/>
        <v/>
      </c>
    </row>
    <row r="748">
      <c r="A748" s="9" t="str">
        <f>IF(E748="","", IF('Global Precios'!B750="",0,'Global Precios'!B750))</f>
        <v/>
      </c>
      <c r="B748" s="14" t="str">
        <f>IF('Global Precios'!B750="","",'Global Precios'!B750)</f>
        <v/>
      </c>
      <c r="C748" s="18" t="str">
        <f>IF('Global Precios'!A750="","",'Global Precios'!A750)</f>
        <v/>
      </c>
      <c r="D748" s="18"/>
      <c r="E748" s="25" t="str">
        <f>IF('Global Precios'!D750="","",'Global Precios'!D750)</f>
        <v/>
      </c>
      <c r="F748" s="18"/>
      <c r="G748" s="25" t="str">
        <f t="shared" si="7"/>
        <v/>
      </c>
      <c r="H748" s="25" t="str">
        <f t="shared" si="1"/>
        <v/>
      </c>
      <c r="I748" s="30" t="str">
        <f>IF('Global Precios'!I750="","",'Global Precios'!I750)</f>
        <v/>
      </c>
      <c r="J748" s="18" t="str">
        <f>IF('Global Precios'!K750="","",'Global Precios'!K750)</f>
        <v/>
      </c>
      <c r="K748" s="30" t="str">
        <f>IF('Global Precios'!L750="","",'Global Precios'!L750)</f>
        <v/>
      </c>
      <c r="L748" s="18"/>
      <c r="M748" s="18"/>
      <c r="N748" s="18"/>
      <c r="O748" s="18"/>
      <c r="P748" s="18"/>
      <c r="Q748" s="18"/>
      <c r="R748" s="18" t="str">
        <f>IF('Global Precios'!F750="","",'Global Precios'!F750)</f>
        <v/>
      </c>
      <c r="S748" s="18"/>
      <c r="T748" s="18" t="str">
        <f>IF('Global Precios'!E750="","",'Global Precios'!E750)</f>
        <v/>
      </c>
      <c r="U748" s="18"/>
      <c r="V748" s="18" t="str">
        <f t="shared" si="2"/>
        <v/>
      </c>
      <c r="W748" s="18"/>
      <c r="X748" s="18"/>
      <c r="Y748" s="18"/>
      <c r="Z748" s="18"/>
      <c r="AA748" s="18"/>
      <c r="AB748" s="18" t="str">
        <f t="shared" si="3"/>
        <v/>
      </c>
      <c r="AC748" s="18" t="str">
        <f t="shared" si="4"/>
        <v/>
      </c>
      <c r="AD748" s="18" t="str">
        <f t="shared" si="5"/>
        <v/>
      </c>
      <c r="AE748" s="18" t="str">
        <f t="shared" si="6"/>
        <v/>
      </c>
    </row>
    <row r="749">
      <c r="A749" s="9" t="str">
        <f>IF(E749="","", IF('Global Precios'!B751="",0,'Global Precios'!B751))</f>
        <v/>
      </c>
      <c r="B749" s="14" t="str">
        <f>IF('Global Precios'!B751="","",'Global Precios'!B751)</f>
        <v/>
      </c>
      <c r="C749" s="18" t="str">
        <f>IF('Global Precios'!A751="","",'Global Precios'!A751)</f>
        <v/>
      </c>
      <c r="D749" s="18"/>
      <c r="E749" s="25" t="str">
        <f>IF('Global Precios'!D751="","",'Global Precios'!D751)</f>
        <v/>
      </c>
      <c r="F749" s="18"/>
      <c r="G749" s="25" t="str">
        <f t="shared" si="7"/>
        <v/>
      </c>
      <c r="H749" s="25" t="str">
        <f t="shared" si="1"/>
        <v/>
      </c>
      <c r="I749" s="30" t="str">
        <f>IF('Global Precios'!I751="","",'Global Precios'!I751)</f>
        <v/>
      </c>
      <c r="J749" s="18" t="str">
        <f>IF('Global Precios'!K751="","",'Global Precios'!K751)</f>
        <v/>
      </c>
      <c r="K749" s="30" t="str">
        <f>IF('Global Precios'!L751="","",'Global Precios'!L751)</f>
        <v/>
      </c>
      <c r="L749" s="18"/>
      <c r="M749" s="18"/>
      <c r="N749" s="18"/>
      <c r="O749" s="18"/>
      <c r="P749" s="18"/>
      <c r="Q749" s="18"/>
      <c r="R749" s="18" t="str">
        <f>IF('Global Precios'!F751="","",'Global Precios'!F751)</f>
        <v/>
      </c>
      <c r="S749" s="18"/>
      <c r="T749" s="18" t="str">
        <f>IF('Global Precios'!E751="","",'Global Precios'!E751)</f>
        <v/>
      </c>
      <c r="U749" s="18"/>
      <c r="V749" s="18" t="str">
        <f t="shared" si="2"/>
        <v/>
      </c>
      <c r="W749" s="18"/>
      <c r="X749" s="18"/>
      <c r="Y749" s="18"/>
      <c r="Z749" s="18"/>
      <c r="AA749" s="18"/>
      <c r="AB749" s="18" t="str">
        <f t="shared" si="3"/>
        <v/>
      </c>
      <c r="AC749" s="18" t="str">
        <f t="shared" si="4"/>
        <v/>
      </c>
      <c r="AD749" s="18" t="str">
        <f t="shared" si="5"/>
        <v/>
      </c>
      <c r="AE749" s="18" t="str">
        <f t="shared" si="6"/>
        <v/>
      </c>
    </row>
    <row r="750">
      <c r="A750" s="9" t="str">
        <f>IF(E750="","", IF('Global Precios'!B752="",0,'Global Precios'!B752))</f>
        <v/>
      </c>
      <c r="B750" s="14" t="str">
        <f>IF('Global Precios'!B752="","",'Global Precios'!B752)</f>
        <v/>
      </c>
      <c r="C750" s="18" t="str">
        <f>IF('Global Precios'!A752="","",'Global Precios'!A752)</f>
        <v/>
      </c>
      <c r="D750" s="18"/>
      <c r="E750" s="25" t="str">
        <f>IF('Global Precios'!D752="","",'Global Precios'!D752)</f>
        <v/>
      </c>
      <c r="F750" s="18"/>
      <c r="G750" s="25" t="str">
        <f t="shared" si="7"/>
        <v/>
      </c>
      <c r="H750" s="25" t="str">
        <f t="shared" si="1"/>
        <v/>
      </c>
      <c r="I750" s="30" t="str">
        <f>IF('Global Precios'!I752="","",'Global Precios'!I752)</f>
        <v/>
      </c>
      <c r="J750" s="18" t="str">
        <f>IF('Global Precios'!K752="","",'Global Precios'!K752)</f>
        <v/>
      </c>
      <c r="K750" s="30" t="str">
        <f>IF('Global Precios'!L752="","",'Global Precios'!L752)</f>
        <v/>
      </c>
      <c r="L750" s="18"/>
      <c r="M750" s="18"/>
      <c r="N750" s="18"/>
      <c r="O750" s="18"/>
      <c r="P750" s="18"/>
      <c r="Q750" s="18"/>
      <c r="R750" s="18" t="str">
        <f>IF('Global Precios'!F752="","",'Global Precios'!F752)</f>
        <v/>
      </c>
      <c r="S750" s="18"/>
      <c r="T750" s="18" t="str">
        <f>IF('Global Precios'!E752="","",'Global Precios'!E752)</f>
        <v/>
      </c>
      <c r="U750" s="18"/>
      <c r="V750" s="18" t="str">
        <f t="shared" si="2"/>
        <v/>
      </c>
      <c r="W750" s="18"/>
      <c r="X750" s="18"/>
      <c r="Y750" s="18"/>
      <c r="Z750" s="18"/>
      <c r="AA750" s="18"/>
      <c r="AB750" s="18" t="str">
        <f t="shared" si="3"/>
        <v/>
      </c>
      <c r="AC750" s="18" t="str">
        <f t="shared" si="4"/>
        <v/>
      </c>
      <c r="AD750" s="18" t="str">
        <f t="shared" si="5"/>
        <v/>
      </c>
      <c r="AE750" s="18" t="str">
        <f t="shared" si="6"/>
        <v/>
      </c>
    </row>
    <row r="751">
      <c r="A751" s="9" t="str">
        <f>IF(E751="","", IF('Global Precios'!B753="",0,'Global Precios'!B753))</f>
        <v/>
      </c>
      <c r="B751" s="14" t="str">
        <f>IF('Global Precios'!B753="","",'Global Precios'!B753)</f>
        <v/>
      </c>
      <c r="C751" s="18" t="str">
        <f>IF('Global Precios'!A753="","",'Global Precios'!A753)</f>
        <v/>
      </c>
      <c r="D751" s="18"/>
      <c r="E751" s="25" t="str">
        <f>IF('Global Precios'!D753="","",'Global Precios'!D753)</f>
        <v/>
      </c>
      <c r="F751" s="18"/>
      <c r="G751" s="25" t="str">
        <f t="shared" si="7"/>
        <v/>
      </c>
      <c r="H751" s="25" t="str">
        <f t="shared" si="1"/>
        <v/>
      </c>
      <c r="I751" s="30" t="str">
        <f>IF('Global Precios'!I753="","",'Global Precios'!I753)</f>
        <v/>
      </c>
      <c r="J751" s="18" t="str">
        <f>IF('Global Precios'!K753="","",'Global Precios'!K753)</f>
        <v/>
      </c>
      <c r="K751" s="30" t="str">
        <f>IF('Global Precios'!L753="","",'Global Precios'!L753)</f>
        <v/>
      </c>
      <c r="L751" s="18"/>
      <c r="M751" s="18"/>
      <c r="N751" s="18"/>
      <c r="O751" s="18"/>
      <c r="P751" s="18"/>
      <c r="Q751" s="18"/>
      <c r="R751" s="18" t="str">
        <f>IF('Global Precios'!F753="","",'Global Precios'!F753)</f>
        <v/>
      </c>
      <c r="S751" s="18"/>
      <c r="T751" s="18" t="str">
        <f>IF('Global Precios'!E753="","",'Global Precios'!E753)</f>
        <v/>
      </c>
      <c r="U751" s="18"/>
      <c r="V751" s="18" t="str">
        <f t="shared" si="2"/>
        <v/>
      </c>
      <c r="W751" s="18"/>
      <c r="X751" s="18"/>
      <c r="Y751" s="18"/>
      <c r="Z751" s="18"/>
      <c r="AA751" s="18"/>
      <c r="AB751" s="18" t="str">
        <f t="shared" si="3"/>
        <v/>
      </c>
      <c r="AC751" s="18" t="str">
        <f t="shared" si="4"/>
        <v/>
      </c>
      <c r="AD751" s="18" t="str">
        <f t="shared" si="5"/>
        <v/>
      </c>
      <c r="AE751" s="18" t="str">
        <f t="shared" si="6"/>
        <v/>
      </c>
    </row>
    <row r="752">
      <c r="A752" s="9" t="str">
        <f>IF(E752="","", IF('Global Precios'!B754="",0,'Global Precios'!B754))</f>
        <v/>
      </c>
      <c r="B752" s="14" t="str">
        <f>IF('Global Precios'!B754="","",'Global Precios'!B754)</f>
        <v/>
      </c>
      <c r="C752" s="18" t="str">
        <f>IF('Global Precios'!A754="","",'Global Precios'!A754)</f>
        <v/>
      </c>
      <c r="D752" s="18"/>
      <c r="E752" s="25" t="str">
        <f>IF('Global Precios'!D754="","",'Global Precios'!D754)</f>
        <v/>
      </c>
      <c r="F752" s="18"/>
      <c r="G752" s="25" t="str">
        <f t="shared" si="7"/>
        <v/>
      </c>
      <c r="H752" s="25" t="str">
        <f t="shared" si="1"/>
        <v/>
      </c>
      <c r="I752" s="30" t="str">
        <f>IF('Global Precios'!I754="","",'Global Precios'!I754)</f>
        <v/>
      </c>
      <c r="J752" s="18" t="str">
        <f>IF('Global Precios'!K754="","",'Global Precios'!K754)</f>
        <v/>
      </c>
      <c r="K752" s="30" t="str">
        <f>IF('Global Precios'!L754="","",'Global Precios'!L754)</f>
        <v/>
      </c>
      <c r="L752" s="18"/>
      <c r="M752" s="18"/>
      <c r="N752" s="18"/>
      <c r="O752" s="18"/>
      <c r="P752" s="18"/>
      <c r="Q752" s="18"/>
      <c r="R752" s="18" t="str">
        <f>IF('Global Precios'!F754="","",'Global Precios'!F754)</f>
        <v/>
      </c>
      <c r="S752" s="18"/>
      <c r="T752" s="18" t="str">
        <f>IF('Global Precios'!E754="","",'Global Precios'!E754)</f>
        <v/>
      </c>
      <c r="U752" s="18"/>
      <c r="V752" s="18" t="str">
        <f t="shared" si="2"/>
        <v/>
      </c>
      <c r="W752" s="18"/>
      <c r="X752" s="18"/>
      <c r="Y752" s="18"/>
      <c r="Z752" s="18"/>
      <c r="AA752" s="18"/>
      <c r="AB752" s="18" t="str">
        <f t="shared" si="3"/>
        <v/>
      </c>
      <c r="AC752" s="18" t="str">
        <f t="shared" si="4"/>
        <v/>
      </c>
      <c r="AD752" s="18" t="str">
        <f t="shared" si="5"/>
        <v/>
      </c>
      <c r="AE752" s="18" t="str">
        <f t="shared" si="6"/>
        <v/>
      </c>
    </row>
    <row r="753">
      <c r="A753" s="9" t="str">
        <f>IF(E753="","", IF('Global Precios'!B755="",0,'Global Precios'!B755))</f>
        <v/>
      </c>
      <c r="B753" s="14" t="str">
        <f>IF('Global Precios'!B755="","",'Global Precios'!B755)</f>
        <v/>
      </c>
      <c r="C753" s="18" t="str">
        <f>IF('Global Precios'!A755="","",'Global Precios'!A755)</f>
        <v/>
      </c>
      <c r="D753" s="18"/>
      <c r="E753" s="25" t="str">
        <f>IF('Global Precios'!D755="","",'Global Precios'!D755)</f>
        <v/>
      </c>
      <c r="F753" s="18"/>
      <c r="G753" s="25" t="str">
        <f t="shared" si="7"/>
        <v/>
      </c>
      <c r="H753" s="25" t="str">
        <f t="shared" si="1"/>
        <v/>
      </c>
      <c r="I753" s="30" t="str">
        <f>IF('Global Precios'!I755="","",'Global Precios'!I755)</f>
        <v/>
      </c>
      <c r="J753" s="18" t="str">
        <f>IF('Global Precios'!K755="","",'Global Precios'!K755)</f>
        <v/>
      </c>
      <c r="K753" s="30" t="str">
        <f>IF('Global Precios'!L755="","",'Global Precios'!L755)</f>
        <v/>
      </c>
      <c r="L753" s="18"/>
      <c r="M753" s="18"/>
      <c r="N753" s="18"/>
      <c r="O753" s="18"/>
      <c r="P753" s="18"/>
      <c r="Q753" s="18"/>
      <c r="R753" s="18" t="str">
        <f>IF('Global Precios'!F755="","",'Global Precios'!F755)</f>
        <v/>
      </c>
      <c r="S753" s="18"/>
      <c r="T753" s="18" t="str">
        <f>IF('Global Precios'!E755="","",'Global Precios'!E755)</f>
        <v/>
      </c>
      <c r="U753" s="18"/>
      <c r="V753" s="18" t="str">
        <f t="shared" si="2"/>
        <v/>
      </c>
      <c r="W753" s="18"/>
      <c r="X753" s="18"/>
      <c r="Y753" s="18"/>
      <c r="Z753" s="18"/>
      <c r="AA753" s="18"/>
      <c r="AB753" s="18" t="str">
        <f t="shared" si="3"/>
        <v/>
      </c>
      <c r="AC753" s="18" t="str">
        <f t="shared" si="4"/>
        <v/>
      </c>
      <c r="AD753" s="18" t="str">
        <f t="shared" si="5"/>
        <v/>
      </c>
      <c r="AE753" s="18" t="str">
        <f t="shared" si="6"/>
        <v/>
      </c>
    </row>
    <row r="754">
      <c r="A754" s="9" t="str">
        <f>IF(E754="","", IF('Global Precios'!B756="",0,'Global Precios'!B756))</f>
        <v/>
      </c>
      <c r="B754" s="14" t="str">
        <f>IF('Global Precios'!B756="","",'Global Precios'!B756)</f>
        <v/>
      </c>
      <c r="C754" s="18" t="str">
        <f>IF('Global Precios'!A756="","",'Global Precios'!A756)</f>
        <v/>
      </c>
      <c r="D754" s="18"/>
      <c r="E754" s="25" t="str">
        <f>IF('Global Precios'!D756="","",'Global Precios'!D756)</f>
        <v/>
      </c>
      <c r="F754" s="18"/>
      <c r="G754" s="25" t="str">
        <f t="shared" si="7"/>
        <v/>
      </c>
      <c r="H754" s="25" t="str">
        <f t="shared" si="1"/>
        <v/>
      </c>
      <c r="I754" s="30" t="str">
        <f>IF('Global Precios'!I756="","",'Global Precios'!I756)</f>
        <v/>
      </c>
      <c r="J754" s="18" t="str">
        <f>IF('Global Precios'!K756="","",'Global Precios'!K756)</f>
        <v/>
      </c>
      <c r="K754" s="30" t="str">
        <f>IF('Global Precios'!L756="","",'Global Precios'!L756)</f>
        <v/>
      </c>
      <c r="L754" s="18"/>
      <c r="M754" s="18"/>
      <c r="N754" s="18"/>
      <c r="O754" s="18"/>
      <c r="P754" s="18"/>
      <c r="Q754" s="18"/>
      <c r="R754" s="18" t="str">
        <f>IF('Global Precios'!F756="","",'Global Precios'!F756)</f>
        <v/>
      </c>
      <c r="S754" s="18"/>
      <c r="T754" s="18" t="str">
        <f>IF('Global Precios'!E756="","",'Global Precios'!E756)</f>
        <v/>
      </c>
      <c r="U754" s="18"/>
      <c r="V754" s="18" t="str">
        <f t="shared" si="2"/>
        <v/>
      </c>
      <c r="W754" s="18"/>
      <c r="X754" s="18"/>
      <c r="Y754" s="18"/>
      <c r="Z754" s="18"/>
      <c r="AA754" s="18"/>
      <c r="AB754" s="18" t="str">
        <f t="shared" si="3"/>
        <v/>
      </c>
      <c r="AC754" s="18" t="str">
        <f t="shared" si="4"/>
        <v/>
      </c>
      <c r="AD754" s="18" t="str">
        <f t="shared" si="5"/>
        <v/>
      </c>
      <c r="AE754" s="18" t="str">
        <f t="shared" si="6"/>
        <v/>
      </c>
    </row>
    <row r="755">
      <c r="A755" s="9" t="str">
        <f>IF(E755="","", IF('Global Precios'!B757="",0,'Global Precios'!B757))</f>
        <v/>
      </c>
      <c r="B755" s="14" t="str">
        <f>IF('Global Precios'!B757="","",'Global Precios'!B757)</f>
        <v/>
      </c>
      <c r="C755" s="18" t="str">
        <f>IF('Global Precios'!A757="","",'Global Precios'!A757)</f>
        <v/>
      </c>
      <c r="D755" s="18"/>
      <c r="E755" s="25" t="str">
        <f>IF('Global Precios'!D757="","",'Global Precios'!D757)</f>
        <v/>
      </c>
      <c r="F755" s="18"/>
      <c r="G755" s="25" t="str">
        <f t="shared" si="7"/>
        <v/>
      </c>
      <c r="H755" s="25" t="str">
        <f t="shared" si="1"/>
        <v/>
      </c>
      <c r="I755" s="30" t="str">
        <f>IF('Global Precios'!I757="","",'Global Precios'!I757)</f>
        <v/>
      </c>
      <c r="J755" s="18" t="str">
        <f>IF('Global Precios'!K757="","",'Global Precios'!K757)</f>
        <v/>
      </c>
      <c r="K755" s="30" t="str">
        <f>IF('Global Precios'!L757="","",'Global Precios'!L757)</f>
        <v/>
      </c>
      <c r="L755" s="18"/>
      <c r="M755" s="18"/>
      <c r="N755" s="18"/>
      <c r="O755" s="18"/>
      <c r="P755" s="18"/>
      <c r="Q755" s="18"/>
      <c r="R755" s="18" t="str">
        <f>IF('Global Precios'!F757="","",'Global Precios'!F757)</f>
        <v/>
      </c>
      <c r="S755" s="18"/>
      <c r="T755" s="18" t="str">
        <f>IF('Global Precios'!E757="","",'Global Precios'!E757)</f>
        <v/>
      </c>
      <c r="U755" s="18"/>
      <c r="V755" s="18" t="str">
        <f t="shared" si="2"/>
        <v/>
      </c>
      <c r="W755" s="18"/>
      <c r="X755" s="18"/>
      <c r="Y755" s="18"/>
      <c r="Z755" s="18"/>
      <c r="AA755" s="18"/>
      <c r="AB755" s="18" t="str">
        <f t="shared" si="3"/>
        <v/>
      </c>
      <c r="AC755" s="18" t="str">
        <f t="shared" si="4"/>
        <v/>
      </c>
      <c r="AD755" s="18" t="str">
        <f t="shared" si="5"/>
        <v/>
      </c>
      <c r="AE755" s="18" t="str">
        <f t="shared" si="6"/>
        <v/>
      </c>
    </row>
    <row r="756">
      <c r="A756" s="9" t="str">
        <f>IF(E756="","", IF('Global Precios'!B758="",0,'Global Precios'!B758))</f>
        <v/>
      </c>
      <c r="B756" s="14" t="str">
        <f>IF('Global Precios'!B758="","",'Global Precios'!B758)</f>
        <v/>
      </c>
      <c r="C756" s="18" t="str">
        <f>IF('Global Precios'!A758="","",'Global Precios'!A758)</f>
        <v/>
      </c>
      <c r="D756" s="18"/>
      <c r="E756" s="25" t="str">
        <f>IF('Global Precios'!D758="","",'Global Precios'!D758)</f>
        <v/>
      </c>
      <c r="F756" s="18"/>
      <c r="G756" s="25" t="str">
        <f t="shared" si="7"/>
        <v/>
      </c>
      <c r="H756" s="25" t="str">
        <f t="shared" si="1"/>
        <v/>
      </c>
      <c r="I756" s="30" t="str">
        <f>IF('Global Precios'!I758="","",'Global Precios'!I758)</f>
        <v/>
      </c>
      <c r="J756" s="18" t="str">
        <f>IF('Global Precios'!K758="","",'Global Precios'!K758)</f>
        <v/>
      </c>
      <c r="K756" s="30" t="str">
        <f>IF('Global Precios'!L758="","",'Global Precios'!L758)</f>
        <v/>
      </c>
      <c r="L756" s="18"/>
      <c r="M756" s="18"/>
      <c r="N756" s="18"/>
      <c r="O756" s="18"/>
      <c r="P756" s="18"/>
      <c r="Q756" s="18"/>
      <c r="R756" s="18" t="str">
        <f>IF('Global Precios'!F758="","",'Global Precios'!F758)</f>
        <v/>
      </c>
      <c r="S756" s="18"/>
      <c r="T756" s="18" t="str">
        <f>IF('Global Precios'!E758="","",'Global Precios'!E758)</f>
        <v/>
      </c>
      <c r="U756" s="18"/>
      <c r="V756" s="18" t="str">
        <f t="shared" si="2"/>
        <v/>
      </c>
      <c r="W756" s="18"/>
      <c r="X756" s="18"/>
      <c r="Y756" s="18"/>
      <c r="Z756" s="18"/>
      <c r="AA756" s="18"/>
      <c r="AB756" s="18" t="str">
        <f t="shared" si="3"/>
        <v/>
      </c>
      <c r="AC756" s="18" t="str">
        <f t="shared" si="4"/>
        <v/>
      </c>
      <c r="AD756" s="18" t="str">
        <f t="shared" si="5"/>
        <v/>
      </c>
      <c r="AE756" s="18" t="str">
        <f t="shared" si="6"/>
        <v/>
      </c>
    </row>
    <row r="757">
      <c r="A757" s="9" t="str">
        <f>IF(E757="","", IF('Global Precios'!B759="",0,'Global Precios'!B759))</f>
        <v/>
      </c>
      <c r="B757" s="14" t="str">
        <f>IF('Global Precios'!B759="","",'Global Precios'!B759)</f>
        <v/>
      </c>
      <c r="C757" s="18" t="str">
        <f>IF('Global Precios'!A759="","",'Global Precios'!A759)</f>
        <v/>
      </c>
      <c r="D757" s="18"/>
      <c r="E757" s="25" t="str">
        <f>IF('Global Precios'!D759="","",'Global Precios'!D759)</f>
        <v/>
      </c>
      <c r="F757" s="18"/>
      <c r="G757" s="25" t="str">
        <f t="shared" si="7"/>
        <v/>
      </c>
      <c r="H757" s="25" t="str">
        <f t="shared" si="1"/>
        <v/>
      </c>
      <c r="I757" s="30" t="str">
        <f>IF('Global Precios'!I759="","",'Global Precios'!I759)</f>
        <v/>
      </c>
      <c r="J757" s="18" t="str">
        <f>IF('Global Precios'!K759="","",'Global Precios'!K759)</f>
        <v/>
      </c>
      <c r="K757" s="30" t="str">
        <f>IF('Global Precios'!L759="","",'Global Precios'!L759)</f>
        <v/>
      </c>
      <c r="L757" s="18"/>
      <c r="M757" s="18"/>
      <c r="N757" s="18"/>
      <c r="O757" s="18"/>
      <c r="P757" s="18"/>
      <c r="Q757" s="18"/>
      <c r="R757" s="18" t="str">
        <f>IF('Global Precios'!F759="","",'Global Precios'!F759)</f>
        <v/>
      </c>
      <c r="S757" s="18"/>
      <c r="T757" s="18" t="str">
        <f>IF('Global Precios'!E759="","",'Global Precios'!E759)</f>
        <v/>
      </c>
      <c r="U757" s="18"/>
      <c r="V757" s="18" t="str">
        <f t="shared" si="2"/>
        <v/>
      </c>
      <c r="W757" s="18"/>
      <c r="X757" s="18"/>
      <c r="Y757" s="18"/>
      <c r="Z757" s="18"/>
      <c r="AA757" s="18"/>
      <c r="AB757" s="18" t="str">
        <f t="shared" si="3"/>
        <v/>
      </c>
      <c r="AC757" s="18" t="str">
        <f t="shared" si="4"/>
        <v/>
      </c>
      <c r="AD757" s="18" t="str">
        <f t="shared" si="5"/>
        <v/>
      </c>
      <c r="AE757" s="18" t="str">
        <f t="shared" si="6"/>
        <v/>
      </c>
    </row>
    <row r="758">
      <c r="A758" s="9" t="str">
        <f>IF(E758="","", IF('Global Precios'!B760="",0,'Global Precios'!B760))</f>
        <v/>
      </c>
      <c r="B758" s="14" t="str">
        <f>IF('Global Precios'!B760="","",'Global Precios'!B760)</f>
        <v/>
      </c>
      <c r="C758" s="18" t="str">
        <f>IF('Global Precios'!A760="","",'Global Precios'!A760)</f>
        <v/>
      </c>
      <c r="D758" s="18"/>
      <c r="E758" s="25" t="str">
        <f>IF('Global Precios'!D760="","",'Global Precios'!D760)</f>
        <v/>
      </c>
      <c r="F758" s="18"/>
      <c r="G758" s="25" t="str">
        <f t="shared" si="7"/>
        <v/>
      </c>
      <c r="H758" s="25" t="str">
        <f t="shared" si="1"/>
        <v/>
      </c>
      <c r="I758" s="30" t="str">
        <f>IF('Global Precios'!I760="","",'Global Precios'!I760)</f>
        <v/>
      </c>
      <c r="J758" s="18" t="str">
        <f>IF('Global Precios'!K760="","",'Global Precios'!K760)</f>
        <v/>
      </c>
      <c r="K758" s="30" t="str">
        <f>IF('Global Precios'!L760="","",'Global Precios'!L760)</f>
        <v/>
      </c>
      <c r="L758" s="18"/>
      <c r="M758" s="18"/>
      <c r="N758" s="18"/>
      <c r="O758" s="18"/>
      <c r="P758" s="18"/>
      <c r="Q758" s="18"/>
      <c r="R758" s="18" t="str">
        <f>IF('Global Precios'!F760="","",'Global Precios'!F760)</f>
        <v/>
      </c>
      <c r="S758" s="18"/>
      <c r="T758" s="18" t="str">
        <f>IF('Global Precios'!E760="","",'Global Precios'!E760)</f>
        <v/>
      </c>
      <c r="U758" s="18"/>
      <c r="V758" s="18" t="str">
        <f t="shared" si="2"/>
        <v/>
      </c>
      <c r="W758" s="18"/>
      <c r="X758" s="18"/>
      <c r="Y758" s="18"/>
      <c r="Z758" s="18"/>
      <c r="AA758" s="18"/>
      <c r="AB758" s="18" t="str">
        <f t="shared" si="3"/>
        <v/>
      </c>
      <c r="AC758" s="18" t="str">
        <f t="shared" si="4"/>
        <v/>
      </c>
      <c r="AD758" s="18" t="str">
        <f t="shared" si="5"/>
        <v/>
      </c>
      <c r="AE758" s="18" t="str">
        <f t="shared" si="6"/>
        <v/>
      </c>
    </row>
    <row r="759">
      <c r="A759" s="9" t="str">
        <f>IF(E759="","", IF('Global Precios'!B761="",0,'Global Precios'!B761))</f>
        <v/>
      </c>
      <c r="B759" s="14" t="str">
        <f>IF('Global Precios'!B761="","",'Global Precios'!B761)</f>
        <v/>
      </c>
      <c r="C759" s="18" t="str">
        <f>IF('Global Precios'!A761="","",'Global Precios'!A761)</f>
        <v/>
      </c>
      <c r="D759" s="18"/>
      <c r="E759" s="25" t="str">
        <f>IF('Global Precios'!D761="","",'Global Precios'!D761)</f>
        <v/>
      </c>
      <c r="F759" s="18"/>
      <c r="G759" s="25" t="str">
        <f t="shared" si="7"/>
        <v/>
      </c>
      <c r="H759" s="25" t="str">
        <f t="shared" si="1"/>
        <v/>
      </c>
      <c r="I759" s="30" t="str">
        <f>IF('Global Precios'!I761="","",'Global Precios'!I761)</f>
        <v/>
      </c>
      <c r="J759" s="18" t="str">
        <f>IF('Global Precios'!K761="","",'Global Precios'!K761)</f>
        <v/>
      </c>
      <c r="K759" s="30" t="str">
        <f>IF('Global Precios'!L761="","",'Global Precios'!L761)</f>
        <v/>
      </c>
      <c r="L759" s="18"/>
      <c r="M759" s="18"/>
      <c r="N759" s="18"/>
      <c r="O759" s="18"/>
      <c r="P759" s="18"/>
      <c r="Q759" s="18"/>
      <c r="R759" s="18" t="str">
        <f>IF('Global Precios'!F761="","",'Global Precios'!F761)</f>
        <v/>
      </c>
      <c r="S759" s="18"/>
      <c r="T759" s="18" t="str">
        <f>IF('Global Precios'!E761="","",'Global Precios'!E761)</f>
        <v/>
      </c>
      <c r="U759" s="18"/>
      <c r="V759" s="18" t="str">
        <f t="shared" si="2"/>
        <v/>
      </c>
      <c r="W759" s="18"/>
      <c r="X759" s="18"/>
      <c r="Y759" s="18"/>
      <c r="Z759" s="18"/>
      <c r="AA759" s="18"/>
      <c r="AB759" s="18" t="str">
        <f t="shared" si="3"/>
        <v/>
      </c>
      <c r="AC759" s="18" t="str">
        <f t="shared" si="4"/>
        <v/>
      </c>
      <c r="AD759" s="18" t="str">
        <f t="shared" si="5"/>
        <v/>
      </c>
      <c r="AE759" s="18" t="str">
        <f t="shared" si="6"/>
        <v/>
      </c>
    </row>
    <row r="760">
      <c r="A760" s="9" t="str">
        <f>IF(E760="","", IF('Global Precios'!B762="",0,'Global Precios'!B762))</f>
        <v/>
      </c>
      <c r="B760" s="14" t="str">
        <f>IF('Global Precios'!B762="","",'Global Precios'!B762)</f>
        <v/>
      </c>
      <c r="C760" s="18" t="str">
        <f>IF('Global Precios'!A762="","",'Global Precios'!A762)</f>
        <v/>
      </c>
      <c r="D760" s="18"/>
      <c r="E760" s="25" t="str">
        <f>IF('Global Precios'!D762="","",'Global Precios'!D762)</f>
        <v/>
      </c>
      <c r="F760" s="18"/>
      <c r="G760" s="25" t="str">
        <f t="shared" si="7"/>
        <v/>
      </c>
      <c r="H760" s="25" t="str">
        <f t="shared" si="1"/>
        <v/>
      </c>
      <c r="I760" s="30" t="str">
        <f>IF('Global Precios'!I762="","",'Global Precios'!I762)</f>
        <v/>
      </c>
      <c r="J760" s="18" t="str">
        <f>IF('Global Precios'!K762="","",'Global Precios'!K762)</f>
        <v/>
      </c>
      <c r="K760" s="30" t="str">
        <f>IF('Global Precios'!L762="","",'Global Precios'!L762)</f>
        <v/>
      </c>
      <c r="L760" s="18"/>
      <c r="M760" s="18"/>
      <c r="N760" s="18"/>
      <c r="O760" s="18"/>
      <c r="P760" s="18"/>
      <c r="Q760" s="18"/>
      <c r="R760" s="18" t="str">
        <f>IF('Global Precios'!F762="","",'Global Precios'!F762)</f>
        <v/>
      </c>
      <c r="S760" s="18"/>
      <c r="T760" s="18" t="str">
        <f>IF('Global Precios'!E762="","",'Global Precios'!E762)</f>
        <v/>
      </c>
      <c r="U760" s="18"/>
      <c r="V760" s="18" t="str">
        <f t="shared" si="2"/>
        <v/>
      </c>
      <c r="W760" s="18"/>
      <c r="X760" s="18"/>
      <c r="Y760" s="18"/>
      <c r="Z760" s="18"/>
      <c r="AA760" s="18"/>
      <c r="AB760" s="18" t="str">
        <f t="shared" si="3"/>
        <v/>
      </c>
      <c r="AC760" s="18" t="str">
        <f t="shared" si="4"/>
        <v/>
      </c>
      <c r="AD760" s="18" t="str">
        <f t="shared" si="5"/>
        <v/>
      </c>
      <c r="AE760" s="18" t="str">
        <f t="shared" si="6"/>
        <v/>
      </c>
    </row>
    <row r="761">
      <c r="A761" s="9" t="str">
        <f>IF(E761="","", IF('Global Precios'!B763="",0,'Global Precios'!B763))</f>
        <v/>
      </c>
      <c r="B761" s="14" t="str">
        <f>IF('Global Precios'!B763="","",'Global Precios'!B763)</f>
        <v/>
      </c>
      <c r="C761" s="18" t="str">
        <f>IF('Global Precios'!A763="","",'Global Precios'!A763)</f>
        <v/>
      </c>
      <c r="D761" s="18"/>
      <c r="E761" s="25" t="str">
        <f>IF('Global Precios'!D763="","",'Global Precios'!D763)</f>
        <v/>
      </c>
      <c r="F761" s="18"/>
      <c r="G761" s="25" t="str">
        <f t="shared" si="7"/>
        <v/>
      </c>
      <c r="H761" s="25" t="str">
        <f t="shared" si="1"/>
        <v/>
      </c>
      <c r="I761" s="30" t="str">
        <f>IF('Global Precios'!I763="","",'Global Precios'!I763)</f>
        <v/>
      </c>
      <c r="J761" s="18" t="str">
        <f>IF('Global Precios'!K763="","",'Global Precios'!K763)</f>
        <v/>
      </c>
      <c r="K761" s="30" t="str">
        <f>IF('Global Precios'!L763="","",'Global Precios'!L763)</f>
        <v/>
      </c>
      <c r="L761" s="18"/>
      <c r="M761" s="18"/>
      <c r="N761" s="18"/>
      <c r="O761" s="18"/>
      <c r="P761" s="18"/>
      <c r="Q761" s="18"/>
      <c r="R761" s="18" t="str">
        <f>IF('Global Precios'!F763="","",'Global Precios'!F763)</f>
        <v/>
      </c>
      <c r="S761" s="18"/>
      <c r="T761" s="18" t="str">
        <f>IF('Global Precios'!E763="","",'Global Precios'!E763)</f>
        <v/>
      </c>
      <c r="U761" s="18"/>
      <c r="V761" s="18" t="str">
        <f t="shared" si="2"/>
        <v/>
      </c>
      <c r="W761" s="18"/>
      <c r="X761" s="18"/>
      <c r="Y761" s="18"/>
      <c r="Z761" s="18"/>
      <c r="AA761" s="18"/>
      <c r="AB761" s="18" t="str">
        <f t="shared" si="3"/>
        <v/>
      </c>
      <c r="AC761" s="18" t="str">
        <f t="shared" si="4"/>
        <v/>
      </c>
      <c r="AD761" s="18" t="str">
        <f t="shared" si="5"/>
        <v/>
      </c>
      <c r="AE761" s="18" t="str">
        <f t="shared" si="6"/>
        <v/>
      </c>
    </row>
    <row r="762">
      <c r="A762" s="9" t="str">
        <f>IF(E762="","", IF('Global Precios'!B764="",0,'Global Precios'!B764))</f>
        <v/>
      </c>
      <c r="B762" s="14" t="str">
        <f>IF('Global Precios'!B764="","",'Global Precios'!B764)</f>
        <v/>
      </c>
      <c r="C762" s="18" t="str">
        <f>IF('Global Precios'!A764="","",'Global Precios'!A764)</f>
        <v/>
      </c>
      <c r="D762" s="18"/>
      <c r="E762" s="25" t="str">
        <f>IF('Global Precios'!D764="","",'Global Precios'!D764)</f>
        <v/>
      </c>
      <c r="F762" s="18"/>
      <c r="G762" s="25" t="str">
        <f t="shared" si="7"/>
        <v/>
      </c>
      <c r="H762" s="25" t="str">
        <f t="shared" si="1"/>
        <v/>
      </c>
      <c r="I762" s="30" t="str">
        <f>IF('Global Precios'!I764="","",'Global Precios'!I764)</f>
        <v/>
      </c>
      <c r="J762" s="18" t="str">
        <f>IF('Global Precios'!K764="","",'Global Precios'!K764)</f>
        <v/>
      </c>
      <c r="K762" s="30" t="str">
        <f>IF('Global Precios'!L764="","",'Global Precios'!L764)</f>
        <v/>
      </c>
      <c r="L762" s="18"/>
      <c r="M762" s="18"/>
      <c r="N762" s="18"/>
      <c r="O762" s="18"/>
      <c r="P762" s="18"/>
      <c r="Q762" s="18"/>
      <c r="R762" s="18" t="str">
        <f>IF('Global Precios'!F764="","",'Global Precios'!F764)</f>
        <v/>
      </c>
      <c r="S762" s="18"/>
      <c r="T762" s="18" t="str">
        <f>IF('Global Precios'!E764="","",'Global Precios'!E764)</f>
        <v/>
      </c>
      <c r="U762" s="18"/>
      <c r="V762" s="18" t="str">
        <f t="shared" si="2"/>
        <v/>
      </c>
      <c r="W762" s="18"/>
      <c r="X762" s="18"/>
      <c r="Y762" s="18"/>
      <c r="Z762" s="18"/>
      <c r="AA762" s="18"/>
      <c r="AB762" s="18" t="str">
        <f t="shared" si="3"/>
        <v/>
      </c>
      <c r="AC762" s="18" t="str">
        <f t="shared" si="4"/>
        <v/>
      </c>
      <c r="AD762" s="18" t="str">
        <f t="shared" si="5"/>
        <v/>
      </c>
      <c r="AE762" s="18" t="str">
        <f t="shared" si="6"/>
        <v/>
      </c>
    </row>
    <row r="763">
      <c r="A763" s="9" t="str">
        <f>IF(E763="","", IF('Global Precios'!B765="",0,'Global Precios'!B765))</f>
        <v/>
      </c>
      <c r="B763" s="14" t="str">
        <f>IF('Global Precios'!B765="","",'Global Precios'!B765)</f>
        <v/>
      </c>
      <c r="C763" s="18" t="str">
        <f>IF('Global Precios'!A765="","",'Global Precios'!A765)</f>
        <v/>
      </c>
      <c r="D763" s="18"/>
      <c r="E763" s="25" t="str">
        <f>IF('Global Precios'!D765="","",'Global Precios'!D765)</f>
        <v/>
      </c>
      <c r="F763" s="18"/>
      <c r="G763" s="25" t="str">
        <f t="shared" si="7"/>
        <v/>
      </c>
      <c r="H763" s="25" t="str">
        <f t="shared" si="1"/>
        <v/>
      </c>
      <c r="I763" s="30" t="str">
        <f>IF('Global Precios'!I765="","",'Global Precios'!I765)</f>
        <v/>
      </c>
      <c r="J763" s="18" t="str">
        <f>IF('Global Precios'!K765="","",'Global Precios'!K765)</f>
        <v/>
      </c>
      <c r="K763" s="30" t="str">
        <f>IF('Global Precios'!L765="","",'Global Precios'!L765)</f>
        <v/>
      </c>
      <c r="L763" s="18"/>
      <c r="M763" s="18"/>
      <c r="N763" s="18"/>
      <c r="O763" s="18"/>
      <c r="P763" s="18"/>
      <c r="Q763" s="18"/>
      <c r="R763" s="18" t="str">
        <f>IF('Global Precios'!F765="","",'Global Precios'!F765)</f>
        <v/>
      </c>
      <c r="S763" s="18"/>
      <c r="T763" s="18" t="str">
        <f>IF('Global Precios'!E765="","",'Global Precios'!E765)</f>
        <v/>
      </c>
      <c r="U763" s="18"/>
      <c r="V763" s="18" t="str">
        <f t="shared" si="2"/>
        <v/>
      </c>
      <c r="W763" s="18"/>
      <c r="X763" s="18"/>
      <c r="Y763" s="18"/>
      <c r="Z763" s="18"/>
      <c r="AA763" s="18"/>
      <c r="AB763" s="18" t="str">
        <f t="shared" si="3"/>
        <v/>
      </c>
      <c r="AC763" s="18" t="str">
        <f t="shared" si="4"/>
        <v/>
      </c>
      <c r="AD763" s="18" t="str">
        <f t="shared" si="5"/>
        <v/>
      </c>
      <c r="AE763" s="18" t="str">
        <f t="shared" si="6"/>
        <v/>
      </c>
    </row>
    <row r="764">
      <c r="A764" s="9" t="str">
        <f>IF(E764="","", IF('Global Precios'!B766="",0,'Global Precios'!B766))</f>
        <v/>
      </c>
      <c r="B764" s="14" t="str">
        <f>IF('Global Precios'!B766="","",'Global Precios'!B766)</f>
        <v/>
      </c>
      <c r="C764" s="18" t="str">
        <f>IF('Global Precios'!A766="","",'Global Precios'!A766)</f>
        <v/>
      </c>
      <c r="D764" s="18"/>
      <c r="E764" s="25" t="str">
        <f>IF('Global Precios'!D766="","",'Global Precios'!D766)</f>
        <v/>
      </c>
      <c r="F764" s="18"/>
      <c r="G764" s="25" t="str">
        <f t="shared" si="7"/>
        <v/>
      </c>
      <c r="H764" s="25" t="str">
        <f t="shared" si="1"/>
        <v/>
      </c>
      <c r="I764" s="30" t="str">
        <f>IF('Global Precios'!I766="","",'Global Precios'!I766)</f>
        <v/>
      </c>
      <c r="J764" s="18" t="str">
        <f>IF('Global Precios'!K766="","",'Global Precios'!K766)</f>
        <v/>
      </c>
      <c r="K764" s="30" t="str">
        <f>IF('Global Precios'!L766="","",'Global Precios'!L766)</f>
        <v/>
      </c>
      <c r="L764" s="18"/>
      <c r="M764" s="18"/>
      <c r="N764" s="18"/>
      <c r="O764" s="18"/>
      <c r="P764" s="18"/>
      <c r="Q764" s="18"/>
      <c r="R764" s="18" t="str">
        <f>IF('Global Precios'!F766="","",'Global Precios'!F766)</f>
        <v/>
      </c>
      <c r="S764" s="18"/>
      <c r="T764" s="18" t="str">
        <f>IF('Global Precios'!E766="","",'Global Precios'!E766)</f>
        <v/>
      </c>
      <c r="U764" s="18"/>
      <c r="V764" s="18" t="str">
        <f t="shared" si="2"/>
        <v/>
      </c>
      <c r="W764" s="18"/>
      <c r="X764" s="18"/>
      <c r="Y764" s="18"/>
      <c r="Z764" s="18"/>
      <c r="AA764" s="18"/>
      <c r="AB764" s="18" t="str">
        <f t="shared" si="3"/>
        <v/>
      </c>
      <c r="AC764" s="18" t="str">
        <f t="shared" si="4"/>
        <v/>
      </c>
      <c r="AD764" s="18" t="str">
        <f t="shared" si="5"/>
        <v/>
      </c>
      <c r="AE764" s="18" t="str">
        <f t="shared" si="6"/>
        <v/>
      </c>
    </row>
    <row r="765">
      <c r="A765" s="9" t="str">
        <f>IF(E765="","", IF('Global Precios'!B767="",0,'Global Precios'!B767))</f>
        <v/>
      </c>
      <c r="B765" s="14" t="str">
        <f>IF('Global Precios'!B767="","",'Global Precios'!B767)</f>
        <v/>
      </c>
      <c r="C765" s="18" t="str">
        <f>IF('Global Precios'!A767="","",'Global Precios'!A767)</f>
        <v/>
      </c>
      <c r="D765" s="18"/>
      <c r="E765" s="25" t="str">
        <f>IF('Global Precios'!D767="","",'Global Precios'!D767)</f>
        <v/>
      </c>
      <c r="F765" s="18"/>
      <c r="G765" s="25" t="str">
        <f t="shared" si="7"/>
        <v/>
      </c>
      <c r="H765" s="25" t="str">
        <f t="shared" si="1"/>
        <v/>
      </c>
      <c r="I765" s="30" t="str">
        <f>IF('Global Precios'!I767="","",'Global Precios'!I767)</f>
        <v/>
      </c>
      <c r="J765" s="18" t="str">
        <f>IF('Global Precios'!K767="","",'Global Precios'!K767)</f>
        <v/>
      </c>
      <c r="K765" s="30" t="str">
        <f>IF('Global Precios'!L767="","",'Global Precios'!L767)</f>
        <v/>
      </c>
      <c r="L765" s="18"/>
      <c r="M765" s="18"/>
      <c r="N765" s="18"/>
      <c r="O765" s="18"/>
      <c r="P765" s="18"/>
      <c r="Q765" s="18"/>
      <c r="R765" s="18" t="str">
        <f>IF('Global Precios'!F767="","",'Global Precios'!F767)</f>
        <v/>
      </c>
      <c r="S765" s="18"/>
      <c r="T765" s="18" t="str">
        <f>IF('Global Precios'!E767="","",'Global Precios'!E767)</f>
        <v/>
      </c>
      <c r="U765" s="18"/>
      <c r="V765" s="18" t="str">
        <f t="shared" si="2"/>
        <v/>
      </c>
      <c r="W765" s="18"/>
      <c r="X765" s="18"/>
      <c r="Y765" s="18"/>
      <c r="Z765" s="18"/>
      <c r="AA765" s="18"/>
      <c r="AB765" s="18" t="str">
        <f t="shared" si="3"/>
        <v/>
      </c>
      <c r="AC765" s="18" t="str">
        <f t="shared" si="4"/>
        <v/>
      </c>
      <c r="AD765" s="18" t="str">
        <f t="shared" si="5"/>
        <v/>
      </c>
      <c r="AE765" s="18" t="str">
        <f t="shared" si="6"/>
        <v/>
      </c>
    </row>
    <row r="766">
      <c r="A766" s="9" t="str">
        <f>IF(E766="","", IF('Global Precios'!B768="",0,'Global Precios'!B768))</f>
        <v/>
      </c>
      <c r="B766" s="14" t="str">
        <f>IF('Global Precios'!B768="","",'Global Precios'!B768)</f>
        <v/>
      </c>
      <c r="C766" s="18" t="str">
        <f>IF('Global Precios'!A768="","",'Global Precios'!A768)</f>
        <v/>
      </c>
      <c r="D766" s="18"/>
      <c r="E766" s="25" t="str">
        <f>IF('Global Precios'!D768="","",'Global Precios'!D768)</f>
        <v/>
      </c>
      <c r="F766" s="18"/>
      <c r="G766" s="25" t="str">
        <f t="shared" si="7"/>
        <v/>
      </c>
      <c r="H766" s="25" t="str">
        <f t="shared" si="1"/>
        <v/>
      </c>
      <c r="I766" s="30" t="str">
        <f>IF('Global Precios'!I768="","",'Global Precios'!I768)</f>
        <v/>
      </c>
      <c r="J766" s="18" t="str">
        <f>IF('Global Precios'!K768="","",'Global Precios'!K768)</f>
        <v/>
      </c>
      <c r="K766" s="30" t="str">
        <f>IF('Global Precios'!L768="","",'Global Precios'!L768)</f>
        <v/>
      </c>
      <c r="L766" s="18"/>
      <c r="M766" s="18"/>
      <c r="N766" s="18"/>
      <c r="O766" s="18"/>
      <c r="P766" s="18"/>
      <c r="Q766" s="18"/>
      <c r="R766" s="18" t="str">
        <f>IF('Global Precios'!F768="","",'Global Precios'!F768)</f>
        <v/>
      </c>
      <c r="S766" s="18"/>
      <c r="T766" s="18" t="str">
        <f>IF('Global Precios'!E768="","",'Global Precios'!E768)</f>
        <v/>
      </c>
      <c r="U766" s="18"/>
      <c r="V766" s="18" t="str">
        <f t="shared" si="2"/>
        <v/>
      </c>
      <c r="W766" s="18"/>
      <c r="X766" s="18"/>
      <c r="Y766" s="18"/>
      <c r="Z766" s="18"/>
      <c r="AA766" s="18"/>
      <c r="AB766" s="18" t="str">
        <f t="shared" si="3"/>
        <v/>
      </c>
      <c r="AC766" s="18" t="str">
        <f t="shared" si="4"/>
        <v/>
      </c>
      <c r="AD766" s="18" t="str">
        <f t="shared" si="5"/>
        <v/>
      </c>
      <c r="AE766" s="18" t="str">
        <f t="shared" si="6"/>
        <v/>
      </c>
    </row>
    <row r="767">
      <c r="A767" s="9" t="str">
        <f>IF(E767="","", IF('Global Precios'!B769="",0,'Global Precios'!B769))</f>
        <v/>
      </c>
      <c r="B767" s="14" t="str">
        <f>IF('Global Precios'!B769="","",'Global Precios'!B769)</f>
        <v/>
      </c>
      <c r="C767" s="18" t="str">
        <f>IF('Global Precios'!A769="","",'Global Precios'!A769)</f>
        <v/>
      </c>
      <c r="D767" s="18"/>
      <c r="E767" s="25" t="str">
        <f>IF('Global Precios'!D769="","",'Global Precios'!D769)</f>
        <v/>
      </c>
      <c r="F767" s="18"/>
      <c r="G767" s="25" t="str">
        <f t="shared" si="7"/>
        <v/>
      </c>
      <c r="H767" s="25" t="str">
        <f t="shared" si="1"/>
        <v/>
      </c>
      <c r="I767" s="30" t="str">
        <f>IF('Global Precios'!I769="","",'Global Precios'!I769)</f>
        <v/>
      </c>
      <c r="J767" s="18" t="str">
        <f>IF('Global Precios'!K769="","",'Global Precios'!K769)</f>
        <v/>
      </c>
      <c r="K767" s="30" t="str">
        <f>IF('Global Precios'!L769="","",'Global Precios'!L769)</f>
        <v/>
      </c>
      <c r="L767" s="18"/>
      <c r="M767" s="18"/>
      <c r="N767" s="18"/>
      <c r="O767" s="18"/>
      <c r="P767" s="18"/>
      <c r="Q767" s="18"/>
      <c r="R767" s="18" t="str">
        <f>IF('Global Precios'!F769="","",'Global Precios'!F769)</f>
        <v/>
      </c>
      <c r="S767" s="18"/>
      <c r="T767" s="18" t="str">
        <f>IF('Global Precios'!E769="","",'Global Precios'!E769)</f>
        <v/>
      </c>
      <c r="U767" s="18"/>
      <c r="V767" s="18" t="str">
        <f t="shared" si="2"/>
        <v/>
      </c>
      <c r="W767" s="18"/>
      <c r="X767" s="18"/>
      <c r="Y767" s="18"/>
      <c r="Z767" s="18"/>
      <c r="AA767" s="18"/>
      <c r="AB767" s="18" t="str">
        <f t="shared" si="3"/>
        <v/>
      </c>
      <c r="AC767" s="18" t="str">
        <f t="shared" si="4"/>
        <v/>
      </c>
      <c r="AD767" s="18" t="str">
        <f t="shared" si="5"/>
        <v/>
      </c>
      <c r="AE767" s="18" t="str">
        <f t="shared" si="6"/>
        <v/>
      </c>
    </row>
    <row r="768">
      <c r="A768" s="9" t="str">
        <f>IF(E768="","", IF('Global Precios'!B770="",0,'Global Precios'!B770))</f>
        <v/>
      </c>
      <c r="B768" s="14" t="str">
        <f>IF('Global Precios'!B770="","",'Global Precios'!B770)</f>
        <v/>
      </c>
      <c r="C768" s="18" t="str">
        <f>IF('Global Precios'!A770="","",'Global Precios'!A770)</f>
        <v/>
      </c>
      <c r="D768" s="18"/>
      <c r="E768" s="25" t="str">
        <f>IF('Global Precios'!D770="","",'Global Precios'!D770)</f>
        <v/>
      </c>
      <c r="F768" s="18"/>
      <c r="G768" s="25" t="str">
        <f t="shared" si="7"/>
        <v/>
      </c>
      <c r="H768" s="25" t="str">
        <f t="shared" si="1"/>
        <v/>
      </c>
      <c r="I768" s="30" t="str">
        <f>IF('Global Precios'!I770="","",'Global Precios'!I770)</f>
        <v/>
      </c>
      <c r="J768" s="18" t="str">
        <f>IF('Global Precios'!K770="","",'Global Precios'!K770)</f>
        <v/>
      </c>
      <c r="K768" s="30" t="str">
        <f>IF('Global Precios'!L770="","",'Global Precios'!L770)</f>
        <v/>
      </c>
      <c r="L768" s="18"/>
      <c r="M768" s="18"/>
      <c r="N768" s="18"/>
      <c r="O768" s="18"/>
      <c r="P768" s="18"/>
      <c r="Q768" s="18"/>
      <c r="R768" s="18" t="str">
        <f>IF('Global Precios'!F770="","",'Global Precios'!F770)</f>
        <v/>
      </c>
      <c r="S768" s="18"/>
      <c r="T768" s="18" t="str">
        <f>IF('Global Precios'!E770="","",'Global Precios'!E770)</f>
        <v/>
      </c>
      <c r="U768" s="18"/>
      <c r="V768" s="18" t="str">
        <f t="shared" si="2"/>
        <v/>
      </c>
      <c r="W768" s="18"/>
      <c r="X768" s="18"/>
      <c r="Y768" s="18"/>
      <c r="Z768" s="18"/>
      <c r="AA768" s="18"/>
      <c r="AB768" s="18" t="str">
        <f t="shared" si="3"/>
        <v/>
      </c>
      <c r="AC768" s="18" t="str">
        <f t="shared" si="4"/>
        <v/>
      </c>
      <c r="AD768" s="18" t="str">
        <f t="shared" si="5"/>
        <v/>
      </c>
      <c r="AE768" s="18" t="str">
        <f t="shared" si="6"/>
        <v/>
      </c>
    </row>
    <row r="769">
      <c r="A769" s="9" t="str">
        <f>IF(E769="","", IF('Global Precios'!B771="",0,'Global Precios'!B771))</f>
        <v/>
      </c>
      <c r="B769" s="14" t="str">
        <f>IF('Global Precios'!B771="","",'Global Precios'!B771)</f>
        <v/>
      </c>
      <c r="C769" s="18" t="str">
        <f>IF('Global Precios'!A771="","",'Global Precios'!A771)</f>
        <v/>
      </c>
      <c r="D769" s="18"/>
      <c r="E769" s="25" t="str">
        <f>IF('Global Precios'!D771="","",'Global Precios'!D771)</f>
        <v/>
      </c>
      <c r="F769" s="18"/>
      <c r="G769" s="25" t="str">
        <f t="shared" si="7"/>
        <v/>
      </c>
      <c r="H769" s="25" t="str">
        <f t="shared" si="1"/>
        <v/>
      </c>
      <c r="I769" s="30" t="str">
        <f>IF('Global Precios'!I771="","",'Global Precios'!I771)</f>
        <v/>
      </c>
      <c r="J769" s="18" t="str">
        <f>IF('Global Precios'!K771="","",'Global Precios'!K771)</f>
        <v/>
      </c>
      <c r="K769" s="30" t="str">
        <f>IF('Global Precios'!L771="","",'Global Precios'!L771)</f>
        <v/>
      </c>
      <c r="L769" s="18"/>
      <c r="M769" s="18"/>
      <c r="N769" s="18"/>
      <c r="O769" s="18"/>
      <c r="P769" s="18"/>
      <c r="Q769" s="18"/>
      <c r="R769" s="18" t="str">
        <f>IF('Global Precios'!F771="","",'Global Precios'!F771)</f>
        <v/>
      </c>
      <c r="S769" s="18"/>
      <c r="T769" s="18" t="str">
        <f>IF('Global Precios'!E771="","",'Global Precios'!E771)</f>
        <v/>
      </c>
      <c r="U769" s="18"/>
      <c r="V769" s="18" t="str">
        <f t="shared" si="2"/>
        <v/>
      </c>
      <c r="W769" s="18"/>
      <c r="X769" s="18"/>
      <c r="Y769" s="18"/>
      <c r="Z769" s="18"/>
      <c r="AA769" s="18"/>
      <c r="AB769" s="18" t="str">
        <f t="shared" si="3"/>
        <v/>
      </c>
      <c r="AC769" s="18" t="str">
        <f t="shared" si="4"/>
        <v/>
      </c>
      <c r="AD769" s="18" t="str">
        <f t="shared" si="5"/>
        <v/>
      </c>
      <c r="AE769" s="18" t="str">
        <f t="shared" si="6"/>
        <v/>
      </c>
    </row>
    <row r="770">
      <c r="A770" s="9" t="str">
        <f>IF(E770="","", IF('Global Precios'!B772="",0,'Global Precios'!B772))</f>
        <v/>
      </c>
      <c r="B770" s="14" t="str">
        <f>IF('Global Precios'!B772="","",'Global Precios'!B772)</f>
        <v/>
      </c>
      <c r="C770" s="18" t="str">
        <f>IF('Global Precios'!A772="","",'Global Precios'!A772)</f>
        <v/>
      </c>
      <c r="D770" s="18"/>
      <c r="E770" s="25" t="str">
        <f>IF('Global Precios'!D772="","",'Global Precios'!D772)</f>
        <v/>
      </c>
      <c r="F770" s="18"/>
      <c r="G770" s="25" t="str">
        <f t="shared" si="7"/>
        <v/>
      </c>
      <c r="H770" s="25" t="str">
        <f t="shared" si="1"/>
        <v/>
      </c>
      <c r="I770" s="30" t="str">
        <f>IF('Global Precios'!I772="","",'Global Precios'!I772)</f>
        <v/>
      </c>
      <c r="J770" s="18" t="str">
        <f>IF('Global Precios'!K772="","",'Global Precios'!K772)</f>
        <v/>
      </c>
      <c r="K770" s="30" t="str">
        <f>IF('Global Precios'!L772="","",'Global Precios'!L772)</f>
        <v/>
      </c>
      <c r="L770" s="18"/>
      <c r="M770" s="18"/>
      <c r="N770" s="18"/>
      <c r="O770" s="18"/>
      <c r="P770" s="18"/>
      <c r="Q770" s="18"/>
      <c r="R770" s="18" t="str">
        <f>IF('Global Precios'!F772="","",'Global Precios'!F772)</f>
        <v/>
      </c>
      <c r="S770" s="18"/>
      <c r="T770" s="18" t="str">
        <f>IF('Global Precios'!E772="","",'Global Precios'!E772)</f>
        <v/>
      </c>
      <c r="U770" s="18"/>
      <c r="V770" s="18" t="str">
        <f t="shared" si="2"/>
        <v/>
      </c>
      <c r="W770" s="18"/>
      <c r="X770" s="18"/>
      <c r="Y770" s="18"/>
      <c r="Z770" s="18"/>
      <c r="AA770" s="18"/>
      <c r="AB770" s="18" t="str">
        <f t="shared" si="3"/>
        <v/>
      </c>
      <c r="AC770" s="18" t="str">
        <f t="shared" si="4"/>
        <v/>
      </c>
      <c r="AD770" s="18" t="str">
        <f t="shared" si="5"/>
        <v/>
      </c>
      <c r="AE770" s="18" t="str">
        <f t="shared" si="6"/>
        <v/>
      </c>
    </row>
    <row r="771">
      <c r="A771" s="9" t="str">
        <f>IF(E771="","", IF('Global Precios'!B773="",0,'Global Precios'!B773))</f>
        <v/>
      </c>
      <c r="B771" s="14" t="str">
        <f>IF('Global Precios'!B773="","",'Global Precios'!B773)</f>
        <v/>
      </c>
      <c r="C771" s="18" t="str">
        <f>IF('Global Precios'!A773="","",'Global Precios'!A773)</f>
        <v/>
      </c>
      <c r="D771" s="18"/>
      <c r="E771" s="25" t="str">
        <f>IF('Global Precios'!D773="","",'Global Precios'!D773)</f>
        <v/>
      </c>
      <c r="F771" s="18"/>
      <c r="G771" s="25" t="str">
        <f t="shared" si="7"/>
        <v/>
      </c>
      <c r="H771" s="25" t="str">
        <f t="shared" si="1"/>
        <v/>
      </c>
      <c r="I771" s="30" t="str">
        <f>IF('Global Precios'!I773="","",'Global Precios'!I773)</f>
        <v/>
      </c>
      <c r="J771" s="18" t="str">
        <f>IF('Global Precios'!K773="","",'Global Precios'!K773)</f>
        <v/>
      </c>
      <c r="K771" s="30" t="str">
        <f>IF('Global Precios'!L773="","",'Global Precios'!L773)</f>
        <v/>
      </c>
      <c r="L771" s="18"/>
      <c r="M771" s="18"/>
      <c r="N771" s="18"/>
      <c r="O771" s="18"/>
      <c r="P771" s="18"/>
      <c r="Q771" s="18"/>
      <c r="R771" s="18" t="str">
        <f>IF('Global Precios'!F773="","",'Global Precios'!F773)</f>
        <v/>
      </c>
      <c r="S771" s="18"/>
      <c r="T771" s="18" t="str">
        <f>IF('Global Precios'!E773="","",'Global Precios'!E773)</f>
        <v/>
      </c>
      <c r="U771" s="18"/>
      <c r="V771" s="18" t="str">
        <f t="shared" si="2"/>
        <v/>
      </c>
      <c r="W771" s="18"/>
      <c r="X771" s="18"/>
      <c r="Y771" s="18"/>
      <c r="Z771" s="18"/>
      <c r="AA771" s="18"/>
      <c r="AB771" s="18" t="str">
        <f t="shared" si="3"/>
        <v/>
      </c>
      <c r="AC771" s="18" t="str">
        <f t="shared" si="4"/>
        <v/>
      </c>
      <c r="AD771" s="18" t="str">
        <f t="shared" si="5"/>
        <v/>
      </c>
      <c r="AE771" s="18" t="str">
        <f t="shared" si="6"/>
        <v/>
      </c>
    </row>
    <row r="772">
      <c r="A772" s="9" t="str">
        <f>IF(E772="","", IF('Global Precios'!B774="",0,'Global Precios'!B774))</f>
        <v/>
      </c>
      <c r="B772" s="14" t="str">
        <f>IF('Global Precios'!B774="","",'Global Precios'!B774)</f>
        <v/>
      </c>
      <c r="C772" s="18" t="str">
        <f>IF('Global Precios'!A774="","",'Global Precios'!A774)</f>
        <v/>
      </c>
      <c r="D772" s="18"/>
      <c r="E772" s="25" t="str">
        <f>IF('Global Precios'!D774="","",'Global Precios'!D774)</f>
        <v/>
      </c>
      <c r="F772" s="18"/>
      <c r="G772" s="25" t="str">
        <f t="shared" si="7"/>
        <v/>
      </c>
      <c r="H772" s="25" t="str">
        <f t="shared" si="1"/>
        <v/>
      </c>
      <c r="I772" s="30" t="str">
        <f>IF('Global Precios'!I774="","",'Global Precios'!I774)</f>
        <v/>
      </c>
      <c r="J772" s="18" t="str">
        <f>IF('Global Precios'!K774="","",'Global Precios'!K774)</f>
        <v/>
      </c>
      <c r="K772" s="30" t="str">
        <f>IF('Global Precios'!L774="","",'Global Precios'!L774)</f>
        <v/>
      </c>
      <c r="L772" s="18"/>
      <c r="M772" s="18"/>
      <c r="N772" s="18"/>
      <c r="O772" s="18"/>
      <c r="P772" s="18"/>
      <c r="Q772" s="18"/>
      <c r="R772" s="18" t="str">
        <f>IF('Global Precios'!F774="","",'Global Precios'!F774)</f>
        <v/>
      </c>
      <c r="S772" s="18"/>
      <c r="T772" s="18" t="str">
        <f>IF('Global Precios'!E774="","",'Global Precios'!E774)</f>
        <v/>
      </c>
      <c r="U772" s="18"/>
      <c r="V772" s="18" t="str">
        <f t="shared" si="2"/>
        <v/>
      </c>
      <c r="W772" s="18"/>
      <c r="X772" s="18"/>
      <c r="Y772" s="18"/>
      <c r="Z772" s="18"/>
      <c r="AA772" s="18"/>
      <c r="AB772" s="18" t="str">
        <f t="shared" si="3"/>
        <v/>
      </c>
      <c r="AC772" s="18" t="str">
        <f t="shared" si="4"/>
        <v/>
      </c>
      <c r="AD772" s="18" t="str">
        <f t="shared" si="5"/>
        <v/>
      </c>
      <c r="AE772" s="18" t="str">
        <f t="shared" si="6"/>
        <v/>
      </c>
    </row>
    <row r="773">
      <c r="A773" s="9" t="str">
        <f>IF(E773="","", IF('Global Precios'!B775="",0,'Global Precios'!B775))</f>
        <v/>
      </c>
      <c r="B773" s="14" t="str">
        <f>IF('Global Precios'!B775="","",'Global Precios'!B775)</f>
        <v/>
      </c>
      <c r="C773" s="18" t="str">
        <f>IF('Global Precios'!A775="","",'Global Precios'!A775)</f>
        <v/>
      </c>
      <c r="D773" s="18"/>
      <c r="E773" s="25" t="str">
        <f>IF('Global Precios'!D775="","",'Global Precios'!D775)</f>
        <v/>
      </c>
      <c r="F773" s="18"/>
      <c r="G773" s="25" t="str">
        <f t="shared" si="7"/>
        <v/>
      </c>
      <c r="H773" s="25" t="str">
        <f t="shared" si="1"/>
        <v/>
      </c>
      <c r="I773" s="30" t="str">
        <f>IF('Global Precios'!I775="","",'Global Precios'!I775)</f>
        <v/>
      </c>
      <c r="J773" s="18" t="str">
        <f>IF('Global Precios'!K775="","",'Global Precios'!K775)</f>
        <v/>
      </c>
      <c r="K773" s="30" t="str">
        <f>IF('Global Precios'!L775="","",'Global Precios'!L775)</f>
        <v/>
      </c>
      <c r="L773" s="18"/>
      <c r="M773" s="18"/>
      <c r="N773" s="18"/>
      <c r="O773" s="18"/>
      <c r="P773" s="18"/>
      <c r="Q773" s="18"/>
      <c r="R773" s="18" t="str">
        <f>IF('Global Precios'!F775="","",'Global Precios'!F775)</f>
        <v/>
      </c>
      <c r="S773" s="18"/>
      <c r="T773" s="18" t="str">
        <f>IF('Global Precios'!E775="","",'Global Precios'!E775)</f>
        <v/>
      </c>
      <c r="U773" s="18"/>
      <c r="V773" s="18" t="str">
        <f t="shared" si="2"/>
        <v/>
      </c>
      <c r="W773" s="18"/>
      <c r="X773" s="18"/>
      <c r="Y773" s="18"/>
      <c r="Z773" s="18"/>
      <c r="AA773" s="18"/>
      <c r="AB773" s="18" t="str">
        <f t="shared" si="3"/>
        <v/>
      </c>
      <c r="AC773" s="18" t="str">
        <f t="shared" si="4"/>
        <v/>
      </c>
      <c r="AD773" s="18" t="str">
        <f t="shared" si="5"/>
        <v/>
      </c>
      <c r="AE773" s="18" t="str">
        <f t="shared" si="6"/>
        <v/>
      </c>
    </row>
    <row r="774">
      <c r="A774" s="9" t="str">
        <f>IF(E774="","", IF('Global Precios'!B776="",0,'Global Precios'!B776))</f>
        <v/>
      </c>
      <c r="B774" s="14" t="str">
        <f>IF('Global Precios'!B776="","",'Global Precios'!B776)</f>
        <v/>
      </c>
      <c r="C774" s="18" t="str">
        <f>IF('Global Precios'!A776="","",'Global Precios'!A776)</f>
        <v/>
      </c>
      <c r="D774" s="18"/>
      <c r="E774" s="25" t="str">
        <f>IF('Global Precios'!D776="","",'Global Precios'!D776)</f>
        <v/>
      </c>
      <c r="F774" s="18"/>
      <c r="G774" s="25" t="str">
        <f t="shared" si="7"/>
        <v/>
      </c>
      <c r="H774" s="25" t="str">
        <f t="shared" si="1"/>
        <v/>
      </c>
      <c r="I774" s="30" t="str">
        <f>IF('Global Precios'!I776="","",'Global Precios'!I776)</f>
        <v/>
      </c>
      <c r="J774" s="18" t="str">
        <f>IF('Global Precios'!K776="","",'Global Precios'!K776)</f>
        <v/>
      </c>
      <c r="K774" s="30" t="str">
        <f>IF('Global Precios'!L776="","",'Global Precios'!L776)</f>
        <v/>
      </c>
      <c r="L774" s="18"/>
      <c r="M774" s="18"/>
      <c r="N774" s="18"/>
      <c r="O774" s="18"/>
      <c r="P774" s="18"/>
      <c r="Q774" s="18"/>
      <c r="R774" s="18" t="str">
        <f>IF('Global Precios'!F776="","",'Global Precios'!F776)</f>
        <v/>
      </c>
      <c r="S774" s="18"/>
      <c r="T774" s="18" t="str">
        <f>IF('Global Precios'!E776="","",'Global Precios'!E776)</f>
        <v/>
      </c>
      <c r="U774" s="18"/>
      <c r="V774" s="18" t="str">
        <f t="shared" si="2"/>
        <v/>
      </c>
      <c r="W774" s="18"/>
      <c r="X774" s="18"/>
      <c r="Y774" s="18"/>
      <c r="Z774" s="18"/>
      <c r="AA774" s="18"/>
      <c r="AB774" s="18" t="str">
        <f t="shared" si="3"/>
        <v/>
      </c>
      <c r="AC774" s="18" t="str">
        <f t="shared" si="4"/>
        <v/>
      </c>
      <c r="AD774" s="18" t="str">
        <f t="shared" si="5"/>
        <v/>
      </c>
      <c r="AE774" s="18" t="str">
        <f t="shared" si="6"/>
        <v/>
      </c>
    </row>
    <row r="775">
      <c r="A775" s="9" t="str">
        <f>IF(E775="","", IF('Global Precios'!B777="",0,'Global Precios'!B777))</f>
        <v/>
      </c>
      <c r="B775" s="14" t="str">
        <f>IF('Global Precios'!B777="","",'Global Precios'!B777)</f>
        <v/>
      </c>
      <c r="C775" s="18" t="str">
        <f>IF('Global Precios'!A777="","",'Global Precios'!A777)</f>
        <v/>
      </c>
      <c r="D775" s="18"/>
      <c r="E775" s="25" t="str">
        <f>IF('Global Precios'!D777="","",'Global Precios'!D777)</f>
        <v/>
      </c>
      <c r="F775" s="18"/>
      <c r="G775" s="25" t="str">
        <f t="shared" si="7"/>
        <v/>
      </c>
      <c r="H775" s="25" t="str">
        <f t="shared" si="1"/>
        <v/>
      </c>
      <c r="I775" s="30" t="str">
        <f>IF('Global Precios'!I777="","",'Global Precios'!I777)</f>
        <v/>
      </c>
      <c r="J775" s="18" t="str">
        <f>IF('Global Precios'!K777="","",'Global Precios'!K777)</f>
        <v/>
      </c>
      <c r="K775" s="30" t="str">
        <f>IF('Global Precios'!L777="","",'Global Precios'!L777)</f>
        <v/>
      </c>
      <c r="L775" s="18"/>
      <c r="M775" s="18"/>
      <c r="N775" s="18"/>
      <c r="O775" s="18"/>
      <c r="P775" s="18"/>
      <c r="Q775" s="18"/>
      <c r="R775" s="18" t="str">
        <f>IF('Global Precios'!F777="","",'Global Precios'!F777)</f>
        <v/>
      </c>
      <c r="S775" s="18"/>
      <c r="T775" s="18" t="str">
        <f>IF('Global Precios'!E777="","",'Global Precios'!E777)</f>
        <v/>
      </c>
      <c r="U775" s="18"/>
      <c r="V775" s="18" t="str">
        <f t="shared" si="2"/>
        <v/>
      </c>
      <c r="W775" s="18"/>
      <c r="X775" s="18"/>
      <c r="Y775" s="18"/>
      <c r="Z775" s="18"/>
      <c r="AA775" s="18"/>
      <c r="AB775" s="18" t="str">
        <f t="shared" si="3"/>
        <v/>
      </c>
      <c r="AC775" s="18" t="str">
        <f t="shared" si="4"/>
        <v/>
      </c>
      <c r="AD775" s="18" t="str">
        <f t="shared" si="5"/>
        <v/>
      </c>
      <c r="AE775" s="18" t="str">
        <f t="shared" si="6"/>
        <v/>
      </c>
    </row>
    <row r="776">
      <c r="A776" s="9" t="str">
        <f>IF(E776="","", IF('Global Precios'!B778="",0,'Global Precios'!B778))</f>
        <v/>
      </c>
      <c r="B776" s="14" t="str">
        <f>IF('Global Precios'!B778="","",'Global Precios'!B778)</f>
        <v/>
      </c>
      <c r="C776" s="18" t="str">
        <f>IF('Global Precios'!A778="","",'Global Precios'!A778)</f>
        <v/>
      </c>
      <c r="D776" s="18"/>
      <c r="E776" s="25" t="str">
        <f>IF('Global Precios'!D778="","",'Global Precios'!D778)</f>
        <v/>
      </c>
      <c r="F776" s="18"/>
      <c r="G776" s="25" t="str">
        <f t="shared" si="7"/>
        <v/>
      </c>
      <c r="H776" s="25" t="str">
        <f t="shared" si="1"/>
        <v/>
      </c>
      <c r="I776" s="30" t="str">
        <f>IF('Global Precios'!I778="","",'Global Precios'!I778)</f>
        <v/>
      </c>
      <c r="J776" s="18" t="str">
        <f>IF('Global Precios'!K778="","",'Global Precios'!K778)</f>
        <v/>
      </c>
      <c r="K776" s="30" t="str">
        <f>IF('Global Precios'!L778="","",'Global Precios'!L778)</f>
        <v/>
      </c>
      <c r="L776" s="18"/>
      <c r="M776" s="18"/>
      <c r="N776" s="18"/>
      <c r="O776" s="18"/>
      <c r="P776" s="18"/>
      <c r="Q776" s="18"/>
      <c r="R776" s="18" t="str">
        <f>IF('Global Precios'!F778="","",'Global Precios'!F778)</f>
        <v/>
      </c>
      <c r="S776" s="18"/>
      <c r="T776" s="18" t="str">
        <f>IF('Global Precios'!E778="","",'Global Precios'!E778)</f>
        <v/>
      </c>
      <c r="U776" s="18"/>
      <c r="V776" s="18" t="str">
        <f t="shared" si="2"/>
        <v/>
      </c>
      <c r="W776" s="18"/>
      <c r="X776" s="18"/>
      <c r="Y776" s="18"/>
      <c r="Z776" s="18"/>
      <c r="AA776" s="18"/>
      <c r="AB776" s="18" t="str">
        <f t="shared" si="3"/>
        <v/>
      </c>
      <c r="AC776" s="18" t="str">
        <f t="shared" si="4"/>
        <v/>
      </c>
      <c r="AD776" s="18" t="str">
        <f t="shared" si="5"/>
        <v/>
      </c>
      <c r="AE776" s="18" t="str">
        <f t="shared" si="6"/>
        <v/>
      </c>
    </row>
    <row r="777">
      <c r="A777" s="9" t="str">
        <f>IF(E777="","", IF('Global Precios'!B779="",0,'Global Precios'!B779))</f>
        <v/>
      </c>
      <c r="B777" s="14" t="str">
        <f>IF('Global Precios'!B779="","",'Global Precios'!B779)</f>
        <v/>
      </c>
      <c r="C777" s="18" t="str">
        <f>IF('Global Precios'!A779="","",'Global Precios'!A779)</f>
        <v/>
      </c>
      <c r="D777" s="18"/>
      <c r="E777" s="25" t="str">
        <f>IF('Global Precios'!D779="","",'Global Precios'!D779)</f>
        <v/>
      </c>
      <c r="F777" s="18"/>
      <c r="G777" s="25" t="str">
        <f t="shared" si="7"/>
        <v/>
      </c>
      <c r="H777" s="25" t="str">
        <f t="shared" si="1"/>
        <v/>
      </c>
      <c r="I777" s="30" t="str">
        <f>IF('Global Precios'!I779="","",'Global Precios'!I779)</f>
        <v/>
      </c>
      <c r="J777" s="18" t="str">
        <f>IF('Global Precios'!K779="","",'Global Precios'!K779)</f>
        <v/>
      </c>
      <c r="K777" s="30" t="str">
        <f>IF('Global Precios'!L779="","",'Global Precios'!L779)</f>
        <v/>
      </c>
      <c r="L777" s="18"/>
      <c r="M777" s="18"/>
      <c r="N777" s="18"/>
      <c r="O777" s="18"/>
      <c r="P777" s="18"/>
      <c r="Q777" s="18"/>
      <c r="R777" s="18" t="str">
        <f>IF('Global Precios'!F779="","",'Global Precios'!F779)</f>
        <v/>
      </c>
      <c r="S777" s="18"/>
      <c r="T777" s="18" t="str">
        <f>IF('Global Precios'!E779="","",'Global Precios'!E779)</f>
        <v/>
      </c>
      <c r="U777" s="18"/>
      <c r="V777" s="18" t="str">
        <f t="shared" si="2"/>
        <v/>
      </c>
      <c r="W777" s="18"/>
      <c r="X777" s="18"/>
      <c r="Y777" s="18"/>
      <c r="Z777" s="18"/>
      <c r="AA777" s="18"/>
      <c r="AB777" s="18" t="str">
        <f t="shared" si="3"/>
        <v/>
      </c>
      <c r="AC777" s="18" t="str">
        <f t="shared" si="4"/>
        <v/>
      </c>
      <c r="AD777" s="18" t="str">
        <f t="shared" si="5"/>
        <v/>
      </c>
      <c r="AE777" s="18" t="str">
        <f t="shared" si="6"/>
        <v/>
      </c>
    </row>
    <row r="778">
      <c r="A778" s="9" t="str">
        <f>IF(E778="","", IF('Global Precios'!B780="",0,'Global Precios'!B780))</f>
        <v/>
      </c>
      <c r="B778" s="14" t="str">
        <f>IF('Global Precios'!B780="","",'Global Precios'!B780)</f>
        <v/>
      </c>
      <c r="C778" s="18" t="str">
        <f>IF('Global Precios'!A780="","",'Global Precios'!A780)</f>
        <v/>
      </c>
      <c r="D778" s="18"/>
      <c r="E778" s="25" t="str">
        <f>IF('Global Precios'!D780="","",'Global Precios'!D780)</f>
        <v/>
      </c>
      <c r="F778" s="18"/>
      <c r="G778" s="25" t="str">
        <f t="shared" si="7"/>
        <v/>
      </c>
      <c r="H778" s="25" t="str">
        <f t="shared" si="1"/>
        <v/>
      </c>
      <c r="I778" s="30" t="str">
        <f>IF('Global Precios'!I780="","",'Global Precios'!I780)</f>
        <v/>
      </c>
      <c r="J778" s="18" t="str">
        <f>IF('Global Precios'!K780="","",'Global Precios'!K780)</f>
        <v/>
      </c>
      <c r="K778" s="30" t="str">
        <f>IF('Global Precios'!L780="","",'Global Precios'!L780)</f>
        <v/>
      </c>
      <c r="L778" s="18"/>
      <c r="M778" s="18"/>
      <c r="N778" s="18"/>
      <c r="O778" s="18"/>
      <c r="P778" s="18"/>
      <c r="Q778" s="18"/>
      <c r="R778" s="18" t="str">
        <f>IF('Global Precios'!F780="","",'Global Precios'!F780)</f>
        <v/>
      </c>
      <c r="S778" s="18"/>
      <c r="T778" s="18" t="str">
        <f>IF('Global Precios'!E780="","",'Global Precios'!E780)</f>
        <v/>
      </c>
      <c r="U778" s="18"/>
      <c r="V778" s="18" t="str">
        <f t="shared" si="2"/>
        <v/>
      </c>
      <c r="W778" s="18"/>
      <c r="X778" s="18"/>
      <c r="Y778" s="18"/>
      <c r="Z778" s="18"/>
      <c r="AA778" s="18"/>
      <c r="AB778" s="18" t="str">
        <f t="shared" si="3"/>
        <v/>
      </c>
      <c r="AC778" s="18" t="str">
        <f t="shared" si="4"/>
        <v/>
      </c>
      <c r="AD778" s="18" t="str">
        <f t="shared" si="5"/>
        <v/>
      </c>
      <c r="AE778" s="18" t="str">
        <f t="shared" si="6"/>
        <v/>
      </c>
    </row>
    <row r="779">
      <c r="A779" s="9" t="str">
        <f>IF(E779="","", IF('Global Precios'!B781="",0,'Global Precios'!B781))</f>
        <v/>
      </c>
      <c r="B779" s="14" t="str">
        <f>IF('Global Precios'!B781="","",'Global Precios'!B781)</f>
        <v/>
      </c>
      <c r="C779" s="18" t="str">
        <f>IF('Global Precios'!A781="","",'Global Precios'!A781)</f>
        <v/>
      </c>
      <c r="D779" s="18"/>
      <c r="E779" s="25" t="str">
        <f>IF('Global Precios'!D781="","",'Global Precios'!D781)</f>
        <v/>
      </c>
      <c r="F779" s="18"/>
      <c r="G779" s="25" t="str">
        <f t="shared" si="7"/>
        <v/>
      </c>
      <c r="H779" s="25" t="str">
        <f t="shared" si="1"/>
        <v/>
      </c>
      <c r="I779" s="30" t="str">
        <f>IF('Global Precios'!I781="","",'Global Precios'!I781)</f>
        <v/>
      </c>
      <c r="J779" s="18" t="str">
        <f>IF('Global Precios'!K781="","",'Global Precios'!K781)</f>
        <v/>
      </c>
      <c r="K779" s="30" t="str">
        <f>IF('Global Precios'!L781="","",'Global Precios'!L781)</f>
        <v/>
      </c>
      <c r="L779" s="18"/>
      <c r="M779" s="18"/>
      <c r="N779" s="18"/>
      <c r="O779" s="18"/>
      <c r="P779" s="18"/>
      <c r="Q779" s="18"/>
      <c r="R779" s="18" t="str">
        <f>IF('Global Precios'!F781="","",'Global Precios'!F781)</f>
        <v/>
      </c>
      <c r="S779" s="18"/>
      <c r="T779" s="18" t="str">
        <f>IF('Global Precios'!E781="","",'Global Precios'!E781)</f>
        <v/>
      </c>
      <c r="U779" s="18"/>
      <c r="V779" s="18" t="str">
        <f t="shared" si="2"/>
        <v/>
      </c>
      <c r="W779" s="18"/>
      <c r="X779" s="18"/>
      <c r="Y779" s="18"/>
      <c r="Z779" s="18"/>
      <c r="AA779" s="18"/>
      <c r="AB779" s="18" t="str">
        <f t="shared" si="3"/>
        <v/>
      </c>
      <c r="AC779" s="18" t="str">
        <f t="shared" si="4"/>
        <v/>
      </c>
      <c r="AD779" s="18" t="str">
        <f t="shared" si="5"/>
        <v/>
      </c>
      <c r="AE779" s="18" t="str">
        <f t="shared" si="6"/>
        <v/>
      </c>
    </row>
    <row r="780">
      <c r="A780" s="9" t="str">
        <f>IF(E780="","", IF('Global Precios'!B782="",0,'Global Precios'!B782))</f>
        <v/>
      </c>
      <c r="B780" s="14" t="str">
        <f>IF('Global Precios'!B782="","",'Global Precios'!B782)</f>
        <v/>
      </c>
      <c r="C780" s="18" t="str">
        <f>IF('Global Precios'!A782="","",'Global Precios'!A782)</f>
        <v/>
      </c>
      <c r="D780" s="18"/>
      <c r="E780" s="25" t="str">
        <f>IF('Global Precios'!D782="","",'Global Precios'!D782)</f>
        <v/>
      </c>
      <c r="F780" s="18"/>
      <c r="G780" s="25" t="str">
        <f t="shared" si="7"/>
        <v/>
      </c>
      <c r="H780" s="25" t="str">
        <f t="shared" si="1"/>
        <v/>
      </c>
      <c r="I780" s="30" t="str">
        <f>IF('Global Precios'!I782="","",'Global Precios'!I782)</f>
        <v/>
      </c>
      <c r="J780" s="18" t="str">
        <f>IF('Global Precios'!K782="","",'Global Precios'!K782)</f>
        <v/>
      </c>
      <c r="K780" s="30" t="str">
        <f>IF('Global Precios'!L782="","",'Global Precios'!L782)</f>
        <v/>
      </c>
      <c r="L780" s="18"/>
      <c r="M780" s="18"/>
      <c r="N780" s="18"/>
      <c r="O780" s="18"/>
      <c r="P780" s="18"/>
      <c r="Q780" s="18"/>
      <c r="R780" s="18" t="str">
        <f>IF('Global Precios'!F782="","",'Global Precios'!F782)</f>
        <v/>
      </c>
      <c r="S780" s="18"/>
      <c r="T780" s="18" t="str">
        <f>IF('Global Precios'!E782="","",'Global Precios'!E782)</f>
        <v/>
      </c>
      <c r="U780" s="18"/>
      <c r="V780" s="18" t="str">
        <f t="shared" si="2"/>
        <v/>
      </c>
      <c r="W780" s="18"/>
      <c r="X780" s="18"/>
      <c r="Y780" s="18"/>
      <c r="Z780" s="18"/>
      <c r="AA780" s="18"/>
      <c r="AB780" s="18" t="str">
        <f t="shared" si="3"/>
        <v/>
      </c>
      <c r="AC780" s="18" t="str">
        <f t="shared" si="4"/>
        <v/>
      </c>
      <c r="AD780" s="18" t="str">
        <f t="shared" si="5"/>
        <v/>
      </c>
      <c r="AE780" s="18" t="str">
        <f t="shared" si="6"/>
        <v/>
      </c>
    </row>
    <row r="781">
      <c r="A781" s="9" t="str">
        <f>IF(E781="","", IF('Global Precios'!B783="",0,'Global Precios'!B783))</f>
        <v/>
      </c>
      <c r="B781" s="14" t="str">
        <f>IF('Global Precios'!B783="","",'Global Precios'!B783)</f>
        <v/>
      </c>
      <c r="C781" s="18" t="str">
        <f>IF('Global Precios'!A783="","",'Global Precios'!A783)</f>
        <v/>
      </c>
      <c r="D781" s="18"/>
      <c r="E781" s="25" t="str">
        <f>IF('Global Precios'!D783="","",'Global Precios'!D783)</f>
        <v/>
      </c>
      <c r="F781" s="18"/>
      <c r="G781" s="25" t="str">
        <f t="shared" si="7"/>
        <v/>
      </c>
      <c r="H781" s="25" t="str">
        <f t="shared" si="1"/>
        <v/>
      </c>
      <c r="I781" s="30" t="str">
        <f>IF('Global Precios'!I783="","",'Global Precios'!I783)</f>
        <v/>
      </c>
      <c r="J781" s="18" t="str">
        <f>IF('Global Precios'!K783="","",'Global Precios'!K783)</f>
        <v/>
      </c>
      <c r="K781" s="30" t="str">
        <f>IF('Global Precios'!L783="","",'Global Precios'!L783)</f>
        <v/>
      </c>
      <c r="L781" s="18"/>
      <c r="M781" s="18"/>
      <c r="N781" s="18"/>
      <c r="O781" s="18"/>
      <c r="P781" s="18"/>
      <c r="Q781" s="18"/>
      <c r="R781" s="18" t="str">
        <f>IF('Global Precios'!F783="","",'Global Precios'!F783)</f>
        <v/>
      </c>
      <c r="S781" s="18"/>
      <c r="T781" s="18" t="str">
        <f>IF('Global Precios'!E783="","",'Global Precios'!E783)</f>
        <v/>
      </c>
      <c r="U781" s="18"/>
      <c r="V781" s="18" t="str">
        <f t="shared" si="2"/>
        <v/>
      </c>
      <c r="W781" s="18"/>
      <c r="X781" s="18"/>
      <c r="Y781" s="18"/>
      <c r="Z781" s="18"/>
      <c r="AA781" s="18"/>
      <c r="AB781" s="18" t="str">
        <f t="shared" si="3"/>
        <v/>
      </c>
      <c r="AC781" s="18" t="str">
        <f t="shared" si="4"/>
        <v/>
      </c>
      <c r="AD781" s="18" t="str">
        <f t="shared" si="5"/>
        <v/>
      </c>
      <c r="AE781" s="18" t="str">
        <f t="shared" si="6"/>
        <v/>
      </c>
    </row>
    <row r="782">
      <c r="A782" s="9" t="str">
        <f>IF(E782="","", IF('Global Precios'!B784="",0,'Global Precios'!B784))</f>
        <v/>
      </c>
      <c r="B782" s="14" t="str">
        <f>IF('Global Precios'!B784="","",'Global Precios'!B784)</f>
        <v/>
      </c>
      <c r="C782" s="18" t="str">
        <f>IF('Global Precios'!A784="","",'Global Precios'!A784)</f>
        <v/>
      </c>
      <c r="D782" s="18"/>
      <c r="E782" s="25" t="str">
        <f>IF('Global Precios'!D784="","",'Global Precios'!D784)</f>
        <v/>
      </c>
      <c r="F782" s="18"/>
      <c r="G782" s="25" t="str">
        <f t="shared" si="7"/>
        <v/>
      </c>
      <c r="H782" s="25" t="str">
        <f t="shared" si="1"/>
        <v/>
      </c>
      <c r="I782" s="30" t="str">
        <f>IF('Global Precios'!I784="","",'Global Precios'!I784)</f>
        <v/>
      </c>
      <c r="J782" s="18" t="str">
        <f>IF('Global Precios'!K784="","",'Global Precios'!K784)</f>
        <v/>
      </c>
      <c r="K782" s="30" t="str">
        <f>IF('Global Precios'!L784="","",'Global Precios'!L784)</f>
        <v/>
      </c>
      <c r="L782" s="18"/>
      <c r="M782" s="18"/>
      <c r="N782" s="18"/>
      <c r="O782" s="18"/>
      <c r="P782" s="18"/>
      <c r="Q782" s="18"/>
      <c r="R782" s="18" t="str">
        <f>IF('Global Precios'!F784="","",'Global Precios'!F784)</f>
        <v/>
      </c>
      <c r="S782" s="18"/>
      <c r="T782" s="18" t="str">
        <f>IF('Global Precios'!E784="","",'Global Precios'!E784)</f>
        <v/>
      </c>
      <c r="U782" s="18"/>
      <c r="V782" s="18" t="str">
        <f t="shared" si="2"/>
        <v/>
      </c>
      <c r="W782" s="18"/>
      <c r="X782" s="18"/>
      <c r="Y782" s="18"/>
      <c r="Z782" s="18"/>
      <c r="AA782" s="18"/>
      <c r="AB782" s="18" t="str">
        <f t="shared" si="3"/>
        <v/>
      </c>
      <c r="AC782" s="18" t="str">
        <f t="shared" si="4"/>
        <v/>
      </c>
      <c r="AD782" s="18" t="str">
        <f t="shared" si="5"/>
        <v/>
      </c>
      <c r="AE782" s="18" t="str">
        <f t="shared" si="6"/>
        <v/>
      </c>
    </row>
    <row r="783">
      <c r="A783" s="9" t="str">
        <f>IF(E783="","", IF('Global Precios'!B785="",0,'Global Precios'!B785))</f>
        <v/>
      </c>
      <c r="B783" s="14" t="str">
        <f>IF('Global Precios'!B785="","",'Global Precios'!B785)</f>
        <v/>
      </c>
      <c r="C783" s="18" t="str">
        <f>IF('Global Precios'!A785="","",'Global Precios'!A785)</f>
        <v/>
      </c>
      <c r="D783" s="18"/>
      <c r="E783" s="25" t="str">
        <f>IF('Global Precios'!D785="","",'Global Precios'!D785)</f>
        <v/>
      </c>
      <c r="F783" s="18"/>
      <c r="G783" s="25" t="str">
        <f t="shared" si="7"/>
        <v/>
      </c>
      <c r="H783" s="25" t="str">
        <f t="shared" si="1"/>
        <v/>
      </c>
      <c r="I783" s="30" t="str">
        <f>IF('Global Precios'!I785="","",'Global Precios'!I785)</f>
        <v/>
      </c>
      <c r="J783" s="18" t="str">
        <f>IF('Global Precios'!K785="","",'Global Precios'!K785)</f>
        <v/>
      </c>
      <c r="K783" s="30" t="str">
        <f>IF('Global Precios'!L785="","",'Global Precios'!L785)</f>
        <v/>
      </c>
      <c r="L783" s="18"/>
      <c r="M783" s="18"/>
      <c r="N783" s="18"/>
      <c r="O783" s="18"/>
      <c r="P783" s="18"/>
      <c r="Q783" s="18"/>
      <c r="R783" s="18" t="str">
        <f>IF('Global Precios'!F785="","",'Global Precios'!F785)</f>
        <v/>
      </c>
      <c r="S783" s="18"/>
      <c r="T783" s="18" t="str">
        <f>IF('Global Precios'!E785="","",'Global Precios'!E785)</f>
        <v/>
      </c>
      <c r="U783" s="18"/>
      <c r="V783" s="18" t="str">
        <f t="shared" si="2"/>
        <v/>
      </c>
      <c r="W783" s="18"/>
      <c r="X783" s="18"/>
      <c r="Y783" s="18"/>
      <c r="Z783" s="18"/>
      <c r="AA783" s="18"/>
      <c r="AB783" s="18" t="str">
        <f t="shared" si="3"/>
        <v/>
      </c>
      <c r="AC783" s="18" t="str">
        <f t="shared" si="4"/>
        <v/>
      </c>
      <c r="AD783" s="18" t="str">
        <f t="shared" si="5"/>
        <v/>
      </c>
      <c r="AE783" s="18" t="str">
        <f t="shared" si="6"/>
        <v/>
      </c>
    </row>
    <row r="784">
      <c r="A784" s="9" t="str">
        <f>IF(E784="","", IF('Global Precios'!B786="",0,'Global Precios'!B786))</f>
        <v/>
      </c>
      <c r="B784" s="14" t="str">
        <f>IF('Global Precios'!B786="","",'Global Precios'!B786)</f>
        <v/>
      </c>
      <c r="C784" s="18" t="str">
        <f>IF('Global Precios'!A786="","",'Global Precios'!A786)</f>
        <v/>
      </c>
      <c r="D784" s="18"/>
      <c r="E784" s="25" t="str">
        <f>IF('Global Precios'!D786="","",'Global Precios'!D786)</f>
        <v/>
      </c>
      <c r="F784" s="18"/>
      <c r="G784" s="25" t="str">
        <f t="shared" si="7"/>
        <v/>
      </c>
      <c r="H784" s="25" t="str">
        <f t="shared" si="1"/>
        <v/>
      </c>
      <c r="I784" s="30" t="str">
        <f>IF('Global Precios'!I786="","",'Global Precios'!I786)</f>
        <v/>
      </c>
      <c r="J784" s="18" t="str">
        <f>IF('Global Precios'!K786="","",'Global Precios'!K786)</f>
        <v/>
      </c>
      <c r="K784" s="30" t="str">
        <f>IF('Global Precios'!L786="","",'Global Precios'!L786)</f>
        <v/>
      </c>
      <c r="L784" s="18"/>
      <c r="M784" s="18"/>
      <c r="N784" s="18"/>
      <c r="O784" s="18"/>
      <c r="P784" s="18"/>
      <c r="Q784" s="18"/>
      <c r="R784" s="18" t="str">
        <f>IF('Global Precios'!F786="","",'Global Precios'!F786)</f>
        <v/>
      </c>
      <c r="S784" s="18"/>
      <c r="T784" s="18" t="str">
        <f>IF('Global Precios'!E786="","",'Global Precios'!E786)</f>
        <v/>
      </c>
      <c r="U784" s="18"/>
      <c r="V784" s="18" t="str">
        <f t="shared" si="2"/>
        <v/>
      </c>
      <c r="W784" s="18"/>
      <c r="X784" s="18"/>
      <c r="Y784" s="18"/>
      <c r="Z784" s="18"/>
      <c r="AA784" s="18"/>
      <c r="AB784" s="18" t="str">
        <f t="shared" si="3"/>
        <v/>
      </c>
      <c r="AC784" s="18" t="str">
        <f t="shared" si="4"/>
        <v/>
      </c>
      <c r="AD784" s="18" t="str">
        <f t="shared" si="5"/>
        <v/>
      </c>
      <c r="AE784" s="18" t="str">
        <f t="shared" si="6"/>
        <v/>
      </c>
    </row>
    <row r="785">
      <c r="A785" s="9" t="str">
        <f>IF(E785="","", IF('Global Precios'!B787="",0,'Global Precios'!B787))</f>
        <v/>
      </c>
      <c r="B785" s="14" t="str">
        <f>IF('Global Precios'!B787="","",'Global Precios'!B787)</f>
        <v/>
      </c>
      <c r="C785" s="18" t="str">
        <f>IF('Global Precios'!A787="","",'Global Precios'!A787)</f>
        <v/>
      </c>
      <c r="D785" s="18"/>
      <c r="E785" s="25" t="str">
        <f>IF('Global Precios'!D787="","",'Global Precios'!D787)</f>
        <v/>
      </c>
      <c r="F785" s="18"/>
      <c r="G785" s="25" t="str">
        <f t="shared" si="7"/>
        <v/>
      </c>
      <c r="H785" s="25" t="str">
        <f t="shared" si="1"/>
        <v/>
      </c>
      <c r="I785" s="30" t="str">
        <f>IF('Global Precios'!I787="","",'Global Precios'!I787)</f>
        <v/>
      </c>
      <c r="J785" s="18" t="str">
        <f>IF('Global Precios'!K787="","",'Global Precios'!K787)</f>
        <v/>
      </c>
      <c r="K785" s="30" t="str">
        <f>IF('Global Precios'!L787="","",'Global Precios'!L787)</f>
        <v/>
      </c>
      <c r="L785" s="18"/>
      <c r="M785" s="18"/>
      <c r="N785" s="18"/>
      <c r="O785" s="18"/>
      <c r="P785" s="18"/>
      <c r="Q785" s="18"/>
      <c r="R785" s="18" t="str">
        <f>IF('Global Precios'!F787="","",'Global Precios'!F787)</f>
        <v/>
      </c>
      <c r="S785" s="18"/>
      <c r="T785" s="18" t="str">
        <f>IF('Global Precios'!E787="","",'Global Precios'!E787)</f>
        <v/>
      </c>
      <c r="U785" s="18"/>
      <c r="V785" s="18" t="str">
        <f t="shared" si="2"/>
        <v/>
      </c>
      <c r="W785" s="18"/>
      <c r="X785" s="18"/>
      <c r="Y785" s="18"/>
      <c r="Z785" s="18"/>
      <c r="AA785" s="18"/>
      <c r="AB785" s="18" t="str">
        <f t="shared" si="3"/>
        <v/>
      </c>
      <c r="AC785" s="18" t="str">
        <f t="shared" si="4"/>
        <v/>
      </c>
      <c r="AD785" s="18" t="str">
        <f t="shared" si="5"/>
        <v/>
      </c>
      <c r="AE785" s="18" t="str">
        <f t="shared" si="6"/>
        <v/>
      </c>
    </row>
    <row r="786">
      <c r="A786" s="9" t="str">
        <f>IF(E786="","", IF('Global Precios'!B788="",0,'Global Precios'!B788))</f>
        <v/>
      </c>
      <c r="B786" s="14" t="str">
        <f>IF('Global Precios'!B788="","",'Global Precios'!B788)</f>
        <v/>
      </c>
      <c r="C786" s="18" t="str">
        <f>IF('Global Precios'!A788="","",'Global Precios'!A788)</f>
        <v/>
      </c>
      <c r="D786" s="18"/>
      <c r="E786" s="25" t="str">
        <f>IF('Global Precios'!D788="","",'Global Precios'!D788)</f>
        <v/>
      </c>
      <c r="F786" s="18"/>
      <c r="G786" s="25" t="str">
        <f t="shared" si="7"/>
        <v/>
      </c>
      <c r="H786" s="25" t="str">
        <f t="shared" si="1"/>
        <v/>
      </c>
      <c r="I786" s="30" t="str">
        <f>IF('Global Precios'!I788="","",'Global Precios'!I788)</f>
        <v/>
      </c>
      <c r="J786" s="18" t="str">
        <f>IF('Global Precios'!K788="","",'Global Precios'!K788)</f>
        <v/>
      </c>
      <c r="K786" s="30" t="str">
        <f>IF('Global Precios'!L788="","",'Global Precios'!L788)</f>
        <v/>
      </c>
      <c r="L786" s="18"/>
      <c r="M786" s="18"/>
      <c r="N786" s="18"/>
      <c r="O786" s="18"/>
      <c r="P786" s="18"/>
      <c r="Q786" s="18"/>
      <c r="R786" s="18" t="str">
        <f>IF('Global Precios'!F788="","",'Global Precios'!F788)</f>
        <v/>
      </c>
      <c r="S786" s="18"/>
      <c r="T786" s="18" t="str">
        <f>IF('Global Precios'!E788="","",'Global Precios'!E788)</f>
        <v/>
      </c>
      <c r="U786" s="18"/>
      <c r="V786" s="18" t="str">
        <f t="shared" si="2"/>
        <v/>
      </c>
      <c r="W786" s="18"/>
      <c r="X786" s="18"/>
      <c r="Y786" s="18"/>
      <c r="Z786" s="18"/>
      <c r="AA786" s="18"/>
      <c r="AB786" s="18" t="str">
        <f t="shared" si="3"/>
        <v/>
      </c>
      <c r="AC786" s="18" t="str">
        <f t="shared" si="4"/>
        <v/>
      </c>
      <c r="AD786" s="18" t="str">
        <f t="shared" si="5"/>
        <v/>
      </c>
      <c r="AE786" s="18" t="str">
        <f t="shared" si="6"/>
        <v/>
      </c>
    </row>
    <row r="787">
      <c r="A787" s="9" t="str">
        <f>IF(E787="","", IF('Global Precios'!B789="",0,'Global Precios'!B789))</f>
        <v/>
      </c>
      <c r="B787" s="14" t="str">
        <f>IF('Global Precios'!B789="","",'Global Precios'!B789)</f>
        <v/>
      </c>
      <c r="C787" s="18" t="str">
        <f>IF('Global Precios'!A789="","",'Global Precios'!A789)</f>
        <v/>
      </c>
      <c r="D787" s="18"/>
      <c r="E787" s="25" t="str">
        <f>IF('Global Precios'!D789="","",'Global Precios'!D789)</f>
        <v/>
      </c>
      <c r="F787" s="18"/>
      <c r="G787" s="25" t="str">
        <f t="shared" si="7"/>
        <v/>
      </c>
      <c r="H787" s="25" t="str">
        <f t="shared" si="1"/>
        <v/>
      </c>
      <c r="I787" s="30" t="str">
        <f>IF('Global Precios'!I789="","",'Global Precios'!I789)</f>
        <v/>
      </c>
      <c r="J787" s="18" t="str">
        <f>IF('Global Precios'!K789="","",'Global Precios'!K789)</f>
        <v/>
      </c>
      <c r="K787" s="30" t="str">
        <f>IF('Global Precios'!L789="","",'Global Precios'!L789)</f>
        <v/>
      </c>
      <c r="L787" s="18"/>
      <c r="M787" s="18"/>
      <c r="N787" s="18"/>
      <c r="O787" s="18"/>
      <c r="P787" s="18"/>
      <c r="Q787" s="18"/>
      <c r="R787" s="18" t="str">
        <f>IF('Global Precios'!F789="","",'Global Precios'!F789)</f>
        <v/>
      </c>
      <c r="S787" s="18"/>
      <c r="T787" s="18" t="str">
        <f>IF('Global Precios'!E789="","",'Global Precios'!E789)</f>
        <v/>
      </c>
      <c r="U787" s="18"/>
      <c r="V787" s="18" t="str">
        <f t="shared" si="2"/>
        <v/>
      </c>
      <c r="W787" s="18"/>
      <c r="X787" s="18"/>
      <c r="Y787" s="18"/>
      <c r="Z787" s="18"/>
      <c r="AA787" s="18"/>
      <c r="AB787" s="18" t="str">
        <f t="shared" si="3"/>
        <v/>
      </c>
      <c r="AC787" s="18" t="str">
        <f t="shared" si="4"/>
        <v/>
      </c>
      <c r="AD787" s="18" t="str">
        <f t="shared" si="5"/>
        <v/>
      </c>
      <c r="AE787" s="18" t="str">
        <f t="shared" si="6"/>
        <v/>
      </c>
    </row>
    <row r="788">
      <c r="A788" s="9" t="str">
        <f>IF(E788="","", IF('Global Precios'!B790="",0,'Global Precios'!B790))</f>
        <v/>
      </c>
      <c r="B788" s="14" t="str">
        <f>IF('Global Precios'!B790="","",'Global Precios'!B790)</f>
        <v/>
      </c>
      <c r="C788" s="18" t="str">
        <f>IF('Global Precios'!A790="","",'Global Precios'!A790)</f>
        <v/>
      </c>
      <c r="D788" s="18"/>
      <c r="E788" s="25" t="str">
        <f>IF('Global Precios'!D790="","",'Global Precios'!D790)</f>
        <v/>
      </c>
      <c r="F788" s="18"/>
      <c r="G788" s="25" t="str">
        <f t="shared" si="7"/>
        <v/>
      </c>
      <c r="H788" s="25" t="str">
        <f t="shared" si="1"/>
        <v/>
      </c>
      <c r="I788" s="30" t="str">
        <f>IF('Global Precios'!I790="","",'Global Precios'!I790)</f>
        <v/>
      </c>
      <c r="J788" s="18" t="str">
        <f>IF('Global Precios'!K790="","",'Global Precios'!K790)</f>
        <v/>
      </c>
      <c r="K788" s="30" t="str">
        <f>IF('Global Precios'!L790="","",'Global Precios'!L790)</f>
        <v/>
      </c>
      <c r="L788" s="18"/>
      <c r="M788" s="18"/>
      <c r="N788" s="18"/>
      <c r="O788" s="18"/>
      <c r="P788" s="18"/>
      <c r="Q788" s="18"/>
      <c r="R788" s="18" t="str">
        <f>IF('Global Precios'!F790="","",'Global Precios'!F790)</f>
        <v/>
      </c>
      <c r="S788" s="18"/>
      <c r="T788" s="18" t="str">
        <f>IF('Global Precios'!E790="","",'Global Precios'!E790)</f>
        <v/>
      </c>
      <c r="U788" s="18"/>
      <c r="V788" s="18" t="str">
        <f t="shared" si="2"/>
        <v/>
      </c>
      <c r="W788" s="18"/>
      <c r="X788" s="18"/>
      <c r="Y788" s="18"/>
      <c r="Z788" s="18"/>
      <c r="AA788" s="18"/>
      <c r="AB788" s="18" t="str">
        <f t="shared" si="3"/>
        <v/>
      </c>
      <c r="AC788" s="18" t="str">
        <f t="shared" si="4"/>
        <v/>
      </c>
      <c r="AD788" s="18" t="str">
        <f t="shared" si="5"/>
        <v/>
      </c>
      <c r="AE788" s="18" t="str">
        <f t="shared" si="6"/>
        <v/>
      </c>
    </row>
    <row r="789">
      <c r="A789" s="9" t="str">
        <f>IF(E789="","", IF('Global Precios'!B791="",0,'Global Precios'!B791))</f>
        <v/>
      </c>
      <c r="B789" s="14" t="str">
        <f>IF('Global Precios'!B791="","",'Global Precios'!B791)</f>
        <v/>
      </c>
      <c r="C789" s="18" t="str">
        <f>IF('Global Precios'!A791="","",'Global Precios'!A791)</f>
        <v/>
      </c>
      <c r="D789" s="18"/>
      <c r="E789" s="25" t="str">
        <f>IF('Global Precios'!D791="","",'Global Precios'!D791)</f>
        <v/>
      </c>
      <c r="F789" s="18"/>
      <c r="G789" s="25" t="str">
        <f t="shared" si="7"/>
        <v/>
      </c>
      <c r="H789" s="25" t="str">
        <f t="shared" si="1"/>
        <v/>
      </c>
      <c r="I789" s="30" t="str">
        <f>IF('Global Precios'!I791="","",'Global Precios'!I791)</f>
        <v/>
      </c>
      <c r="J789" s="18" t="str">
        <f>IF('Global Precios'!K791="","",'Global Precios'!K791)</f>
        <v/>
      </c>
      <c r="K789" s="30" t="str">
        <f>IF('Global Precios'!L791="","",'Global Precios'!L791)</f>
        <v/>
      </c>
      <c r="L789" s="18"/>
      <c r="M789" s="18"/>
      <c r="N789" s="18"/>
      <c r="O789" s="18"/>
      <c r="P789" s="18"/>
      <c r="Q789" s="18"/>
      <c r="R789" s="18" t="str">
        <f>IF('Global Precios'!F791="","",'Global Precios'!F791)</f>
        <v/>
      </c>
      <c r="S789" s="18"/>
      <c r="T789" s="18" t="str">
        <f>IF('Global Precios'!E791="","",'Global Precios'!E791)</f>
        <v/>
      </c>
      <c r="U789" s="18"/>
      <c r="V789" s="18" t="str">
        <f t="shared" si="2"/>
        <v/>
      </c>
      <c r="W789" s="18"/>
      <c r="X789" s="18"/>
      <c r="Y789" s="18"/>
      <c r="Z789" s="18"/>
      <c r="AA789" s="18"/>
      <c r="AB789" s="18" t="str">
        <f t="shared" si="3"/>
        <v/>
      </c>
      <c r="AC789" s="18" t="str">
        <f t="shared" si="4"/>
        <v/>
      </c>
      <c r="AD789" s="18" t="str">
        <f t="shared" si="5"/>
        <v/>
      </c>
      <c r="AE789" s="18" t="str">
        <f t="shared" si="6"/>
        <v/>
      </c>
    </row>
    <row r="790">
      <c r="A790" s="9" t="str">
        <f>IF(E790="","", IF('Global Precios'!B792="",0,'Global Precios'!B792))</f>
        <v/>
      </c>
      <c r="B790" s="14" t="str">
        <f>IF('Global Precios'!B792="","",'Global Precios'!B792)</f>
        <v/>
      </c>
      <c r="C790" s="18" t="str">
        <f>IF('Global Precios'!A792="","",'Global Precios'!A792)</f>
        <v/>
      </c>
      <c r="D790" s="18"/>
      <c r="E790" s="25" t="str">
        <f>IF('Global Precios'!D792="","",'Global Precios'!D792)</f>
        <v/>
      </c>
      <c r="F790" s="18"/>
      <c r="G790" s="25" t="str">
        <f t="shared" si="7"/>
        <v/>
      </c>
      <c r="H790" s="25" t="str">
        <f t="shared" si="1"/>
        <v/>
      </c>
      <c r="I790" s="30" t="str">
        <f>IF('Global Precios'!I792="","",'Global Precios'!I792)</f>
        <v/>
      </c>
      <c r="J790" s="18" t="str">
        <f>IF('Global Precios'!K792="","",'Global Precios'!K792)</f>
        <v/>
      </c>
      <c r="K790" s="30" t="str">
        <f>IF('Global Precios'!L792="","",'Global Precios'!L792)</f>
        <v/>
      </c>
      <c r="L790" s="18"/>
      <c r="M790" s="18"/>
      <c r="N790" s="18"/>
      <c r="O790" s="18"/>
      <c r="P790" s="18"/>
      <c r="Q790" s="18"/>
      <c r="R790" s="18" t="str">
        <f>IF('Global Precios'!F792="","",'Global Precios'!F792)</f>
        <v/>
      </c>
      <c r="S790" s="18"/>
      <c r="T790" s="18" t="str">
        <f>IF('Global Precios'!E792="","",'Global Precios'!E792)</f>
        <v/>
      </c>
      <c r="U790" s="18"/>
      <c r="V790" s="18" t="str">
        <f t="shared" si="2"/>
        <v/>
      </c>
      <c r="W790" s="18"/>
      <c r="X790" s="18"/>
      <c r="Y790" s="18"/>
      <c r="Z790" s="18"/>
      <c r="AA790" s="18"/>
      <c r="AB790" s="18" t="str">
        <f t="shared" si="3"/>
        <v/>
      </c>
      <c r="AC790" s="18" t="str">
        <f t="shared" si="4"/>
        <v/>
      </c>
      <c r="AD790" s="18" t="str">
        <f t="shared" si="5"/>
        <v/>
      </c>
      <c r="AE790" s="18" t="str">
        <f t="shared" si="6"/>
        <v/>
      </c>
    </row>
    <row r="791">
      <c r="A791" s="9" t="str">
        <f>IF(E791="","", IF('Global Precios'!B793="",0,'Global Precios'!B793))</f>
        <v/>
      </c>
      <c r="B791" s="14" t="str">
        <f>IF('Global Precios'!B793="","",'Global Precios'!B793)</f>
        <v/>
      </c>
      <c r="C791" s="18" t="str">
        <f>IF('Global Precios'!A793="","",'Global Precios'!A793)</f>
        <v/>
      </c>
      <c r="D791" s="18"/>
      <c r="E791" s="25" t="str">
        <f>IF('Global Precios'!D793="","",'Global Precios'!D793)</f>
        <v/>
      </c>
      <c r="F791" s="18"/>
      <c r="G791" s="25" t="str">
        <f t="shared" si="7"/>
        <v/>
      </c>
      <c r="H791" s="25" t="str">
        <f t="shared" si="1"/>
        <v/>
      </c>
      <c r="I791" s="30" t="str">
        <f>IF('Global Precios'!I793="","",'Global Precios'!I793)</f>
        <v/>
      </c>
      <c r="J791" s="18" t="str">
        <f>IF('Global Precios'!K793="","",'Global Precios'!K793)</f>
        <v/>
      </c>
      <c r="K791" s="30" t="str">
        <f>IF('Global Precios'!L793="","",'Global Precios'!L793)</f>
        <v/>
      </c>
      <c r="L791" s="18"/>
      <c r="M791" s="18"/>
      <c r="N791" s="18"/>
      <c r="O791" s="18"/>
      <c r="P791" s="18"/>
      <c r="Q791" s="18"/>
      <c r="R791" s="18" t="str">
        <f>IF('Global Precios'!F793="","",'Global Precios'!F793)</f>
        <v/>
      </c>
      <c r="S791" s="18"/>
      <c r="T791" s="18" t="str">
        <f>IF('Global Precios'!E793="","",'Global Precios'!E793)</f>
        <v/>
      </c>
      <c r="U791" s="18"/>
      <c r="V791" s="18" t="str">
        <f t="shared" si="2"/>
        <v/>
      </c>
      <c r="W791" s="18"/>
      <c r="X791" s="18"/>
      <c r="Y791" s="18"/>
      <c r="Z791" s="18"/>
      <c r="AA791" s="18"/>
      <c r="AB791" s="18" t="str">
        <f t="shared" si="3"/>
        <v/>
      </c>
      <c r="AC791" s="18" t="str">
        <f t="shared" si="4"/>
        <v/>
      </c>
      <c r="AD791" s="18" t="str">
        <f t="shared" si="5"/>
        <v/>
      </c>
      <c r="AE791" s="18" t="str">
        <f t="shared" si="6"/>
        <v/>
      </c>
    </row>
    <row r="792">
      <c r="A792" s="9" t="str">
        <f>IF(E792="","", IF('Global Precios'!B794="",0,'Global Precios'!B794))</f>
        <v/>
      </c>
      <c r="B792" s="14" t="str">
        <f>IF('Global Precios'!B794="","",'Global Precios'!B794)</f>
        <v/>
      </c>
      <c r="C792" s="18" t="str">
        <f>IF('Global Precios'!A794="","",'Global Precios'!A794)</f>
        <v/>
      </c>
      <c r="D792" s="18"/>
      <c r="E792" s="25" t="str">
        <f>IF('Global Precios'!D794="","",'Global Precios'!D794)</f>
        <v/>
      </c>
      <c r="F792" s="18"/>
      <c r="G792" s="25" t="str">
        <f t="shared" si="7"/>
        <v/>
      </c>
      <c r="H792" s="25" t="str">
        <f t="shared" si="1"/>
        <v/>
      </c>
      <c r="I792" s="30" t="str">
        <f>IF('Global Precios'!I794="","",'Global Precios'!I794)</f>
        <v/>
      </c>
      <c r="J792" s="18" t="str">
        <f>IF('Global Precios'!K794="","",'Global Precios'!K794)</f>
        <v/>
      </c>
      <c r="K792" s="30" t="str">
        <f>IF('Global Precios'!L794="","",'Global Precios'!L794)</f>
        <v/>
      </c>
      <c r="L792" s="18"/>
      <c r="M792" s="18"/>
      <c r="N792" s="18"/>
      <c r="O792" s="18"/>
      <c r="P792" s="18"/>
      <c r="Q792" s="18"/>
      <c r="R792" s="18" t="str">
        <f>IF('Global Precios'!F794="","",'Global Precios'!F794)</f>
        <v/>
      </c>
      <c r="S792" s="18"/>
      <c r="T792" s="18" t="str">
        <f>IF('Global Precios'!E794="","",'Global Precios'!E794)</f>
        <v/>
      </c>
      <c r="U792" s="18"/>
      <c r="V792" s="18" t="str">
        <f t="shared" si="2"/>
        <v/>
      </c>
      <c r="W792" s="18"/>
      <c r="X792" s="18"/>
      <c r="Y792" s="18"/>
      <c r="Z792" s="18"/>
      <c r="AA792" s="18"/>
      <c r="AB792" s="18" t="str">
        <f t="shared" si="3"/>
        <v/>
      </c>
      <c r="AC792" s="18" t="str">
        <f t="shared" si="4"/>
        <v/>
      </c>
      <c r="AD792" s="18" t="str">
        <f t="shared" si="5"/>
        <v/>
      </c>
      <c r="AE792" s="18" t="str">
        <f t="shared" si="6"/>
        <v/>
      </c>
    </row>
    <row r="793">
      <c r="A793" s="9" t="str">
        <f>IF(E793="","", IF('Global Precios'!B795="",0,'Global Precios'!B795))</f>
        <v/>
      </c>
      <c r="B793" s="14" t="str">
        <f>IF('Global Precios'!B795="","",'Global Precios'!B795)</f>
        <v/>
      </c>
      <c r="C793" s="18" t="str">
        <f>IF('Global Precios'!A795="","",'Global Precios'!A795)</f>
        <v/>
      </c>
      <c r="D793" s="18"/>
      <c r="E793" s="25" t="str">
        <f>IF('Global Precios'!D795="","",'Global Precios'!D795)</f>
        <v/>
      </c>
      <c r="F793" s="18"/>
      <c r="G793" s="25" t="str">
        <f t="shared" si="7"/>
        <v/>
      </c>
      <c r="H793" s="25" t="str">
        <f t="shared" si="1"/>
        <v/>
      </c>
      <c r="I793" s="30" t="str">
        <f>IF('Global Precios'!I795="","",'Global Precios'!I795)</f>
        <v/>
      </c>
      <c r="J793" s="18" t="str">
        <f>IF('Global Precios'!K795="","",'Global Precios'!K795)</f>
        <v/>
      </c>
      <c r="K793" s="30" t="str">
        <f>IF('Global Precios'!L795="","",'Global Precios'!L795)</f>
        <v/>
      </c>
      <c r="L793" s="18"/>
      <c r="M793" s="18"/>
      <c r="N793" s="18"/>
      <c r="O793" s="18"/>
      <c r="P793" s="18"/>
      <c r="Q793" s="18"/>
      <c r="R793" s="18" t="str">
        <f>IF('Global Precios'!F795="","",'Global Precios'!F795)</f>
        <v/>
      </c>
      <c r="S793" s="18"/>
      <c r="T793" s="18" t="str">
        <f>IF('Global Precios'!E795="","",'Global Precios'!E795)</f>
        <v/>
      </c>
      <c r="U793" s="18"/>
      <c r="V793" s="18" t="str">
        <f t="shared" si="2"/>
        <v/>
      </c>
      <c r="W793" s="18"/>
      <c r="X793" s="18"/>
      <c r="Y793" s="18"/>
      <c r="Z793" s="18"/>
      <c r="AA793" s="18"/>
      <c r="AB793" s="18" t="str">
        <f t="shared" si="3"/>
        <v/>
      </c>
      <c r="AC793" s="18" t="str">
        <f t="shared" si="4"/>
        <v/>
      </c>
      <c r="AD793" s="18" t="str">
        <f t="shared" si="5"/>
        <v/>
      </c>
      <c r="AE793" s="18" t="str">
        <f t="shared" si="6"/>
        <v/>
      </c>
    </row>
    <row r="794">
      <c r="A794" s="9" t="str">
        <f>IF(E794="","", IF('Global Precios'!B796="",0,'Global Precios'!B796))</f>
        <v/>
      </c>
      <c r="B794" s="14" t="str">
        <f>IF('Global Precios'!B796="","",'Global Precios'!B796)</f>
        <v/>
      </c>
      <c r="C794" s="18" t="str">
        <f>IF('Global Precios'!A796="","",'Global Precios'!A796)</f>
        <v/>
      </c>
      <c r="D794" s="18"/>
      <c r="E794" s="25" t="str">
        <f>IF('Global Precios'!D796="","",'Global Precios'!D796)</f>
        <v/>
      </c>
      <c r="F794" s="18"/>
      <c r="G794" s="25" t="str">
        <f t="shared" si="7"/>
        <v/>
      </c>
      <c r="H794" s="25" t="str">
        <f t="shared" si="1"/>
        <v/>
      </c>
      <c r="I794" s="30" t="str">
        <f>IF('Global Precios'!I796="","",'Global Precios'!I796)</f>
        <v/>
      </c>
      <c r="J794" s="18" t="str">
        <f>IF('Global Precios'!K796="","",'Global Precios'!K796)</f>
        <v/>
      </c>
      <c r="K794" s="30" t="str">
        <f>IF('Global Precios'!L796="","",'Global Precios'!L796)</f>
        <v/>
      </c>
      <c r="L794" s="18"/>
      <c r="M794" s="18"/>
      <c r="N794" s="18"/>
      <c r="O794" s="18"/>
      <c r="P794" s="18"/>
      <c r="Q794" s="18"/>
      <c r="R794" s="18" t="str">
        <f>IF('Global Precios'!F796="","",'Global Precios'!F796)</f>
        <v/>
      </c>
      <c r="S794" s="18"/>
      <c r="T794" s="18" t="str">
        <f>IF('Global Precios'!E796="","",'Global Precios'!E796)</f>
        <v/>
      </c>
      <c r="U794" s="18"/>
      <c r="V794" s="18" t="str">
        <f t="shared" si="2"/>
        <v/>
      </c>
      <c r="W794" s="18"/>
      <c r="X794" s="18"/>
      <c r="Y794" s="18"/>
      <c r="Z794" s="18"/>
      <c r="AA794" s="18"/>
      <c r="AB794" s="18" t="str">
        <f t="shared" si="3"/>
        <v/>
      </c>
      <c r="AC794" s="18" t="str">
        <f t="shared" si="4"/>
        <v/>
      </c>
      <c r="AD794" s="18" t="str">
        <f t="shared" si="5"/>
        <v/>
      </c>
      <c r="AE794" s="18" t="str">
        <f t="shared" si="6"/>
        <v/>
      </c>
    </row>
    <row r="795">
      <c r="A795" s="9" t="str">
        <f>IF(E795="","", IF('Global Precios'!B797="",0,'Global Precios'!B797))</f>
        <v/>
      </c>
      <c r="B795" s="14" t="str">
        <f>IF('Global Precios'!B797="","",'Global Precios'!B797)</f>
        <v/>
      </c>
      <c r="C795" s="18" t="str">
        <f>IF('Global Precios'!A797="","",'Global Precios'!A797)</f>
        <v/>
      </c>
      <c r="D795" s="18"/>
      <c r="E795" s="25" t="str">
        <f>IF('Global Precios'!D797="","",'Global Precios'!D797)</f>
        <v/>
      </c>
      <c r="F795" s="18"/>
      <c r="G795" s="25" t="str">
        <f t="shared" si="7"/>
        <v/>
      </c>
      <c r="H795" s="25" t="str">
        <f t="shared" si="1"/>
        <v/>
      </c>
      <c r="I795" s="30" t="str">
        <f>IF('Global Precios'!I797="","",'Global Precios'!I797)</f>
        <v/>
      </c>
      <c r="J795" s="18" t="str">
        <f>IF('Global Precios'!K797="","",'Global Precios'!K797)</f>
        <v/>
      </c>
      <c r="K795" s="30" t="str">
        <f>IF('Global Precios'!L797="","",'Global Precios'!L797)</f>
        <v/>
      </c>
      <c r="L795" s="18"/>
      <c r="M795" s="18"/>
      <c r="N795" s="18"/>
      <c r="O795" s="18"/>
      <c r="P795" s="18"/>
      <c r="Q795" s="18"/>
      <c r="R795" s="18" t="str">
        <f>IF('Global Precios'!F797="","",'Global Precios'!F797)</f>
        <v/>
      </c>
      <c r="S795" s="18"/>
      <c r="T795" s="18" t="str">
        <f>IF('Global Precios'!E797="","",'Global Precios'!E797)</f>
        <v/>
      </c>
      <c r="U795" s="18"/>
      <c r="V795" s="18" t="str">
        <f t="shared" si="2"/>
        <v/>
      </c>
      <c r="W795" s="18"/>
      <c r="X795" s="18"/>
      <c r="Y795" s="18"/>
      <c r="Z795" s="18"/>
      <c r="AA795" s="18"/>
      <c r="AB795" s="18" t="str">
        <f t="shared" si="3"/>
        <v/>
      </c>
      <c r="AC795" s="18" t="str">
        <f t="shared" si="4"/>
        <v/>
      </c>
      <c r="AD795" s="18" t="str">
        <f t="shared" si="5"/>
        <v/>
      </c>
      <c r="AE795" s="18" t="str">
        <f t="shared" si="6"/>
        <v/>
      </c>
    </row>
    <row r="796">
      <c r="A796" s="9" t="str">
        <f>IF(E796="","", IF('Global Precios'!B798="",0,'Global Precios'!B798))</f>
        <v/>
      </c>
      <c r="B796" s="14" t="str">
        <f>IF('Global Precios'!B798="","",'Global Precios'!B798)</f>
        <v/>
      </c>
      <c r="C796" s="18" t="str">
        <f>IF('Global Precios'!A798="","",'Global Precios'!A798)</f>
        <v/>
      </c>
      <c r="D796" s="18"/>
      <c r="E796" s="25" t="str">
        <f>IF('Global Precios'!D798="","",'Global Precios'!D798)</f>
        <v/>
      </c>
      <c r="F796" s="18"/>
      <c r="G796" s="25" t="str">
        <f t="shared" si="7"/>
        <v/>
      </c>
      <c r="H796" s="25" t="str">
        <f t="shared" si="1"/>
        <v/>
      </c>
      <c r="I796" s="30" t="str">
        <f>IF('Global Precios'!I798="","",'Global Precios'!I798)</f>
        <v/>
      </c>
      <c r="J796" s="18" t="str">
        <f>IF('Global Precios'!K798="","",'Global Precios'!K798)</f>
        <v/>
      </c>
      <c r="K796" s="30" t="str">
        <f>IF('Global Precios'!L798="","",'Global Precios'!L798)</f>
        <v/>
      </c>
      <c r="L796" s="18"/>
      <c r="M796" s="18"/>
      <c r="N796" s="18"/>
      <c r="O796" s="18"/>
      <c r="P796" s="18"/>
      <c r="Q796" s="18"/>
      <c r="R796" s="18" t="str">
        <f>IF('Global Precios'!F798="","",'Global Precios'!F798)</f>
        <v/>
      </c>
      <c r="S796" s="18"/>
      <c r="T796" s="18" t="str">
        <f>IF('Global Precios'!E798="","",'Global Precios'!E798)</f>
        <v/>
      </c>
      <c r="U796" s="18"/>
      <c r="V796" s="18" t="str">
        <f t="shared" si="2"/>
        <v/>
      </c>
      <c r="W796" s="18"/>
      <c r="X796" s="18"/>
      <c r="Y796" s="18"/>
      <c r="Z796" s="18"/>
      <c r="AA796" s="18"/>
      <c r="AB796" s="18" t="str">
        <f t="shared" si="3"/>
        <v/>
      </c>
      <c r="AC796" s="18" t="str">
        <f t="shared" si="4"/>
        <v/>
      </c>
      <c r="AD796" s="18" t="str">
        <f t="shared" si="5"/>
        <v/>
      </c>
      <c r="AE796" s="18" t="str">
        <f t="shared" si="6"/>
        <v/>
      </c>
    </row>
    <row r="797">
      <c r="A797" s="9" t="str">
        <f>IF(E797="","", IF('Global Precios'!B799="",0,'Global Precios'!B799))</f>
        <v/>
      </c>
      <c r="B797" s="14" t="str">
        <f>IF('Global Precios'!B799="","",'Global Precios'!B799)</f>
        <v/>
      </c>
      <c r="C797" s="18" t="str">
        <f>IF('Global Precios'!A799="","",'Global Precios'!A799)</f>
        <v/>
      </c>
      <c r="D797" s="18"/>
      <c r="E797" s="25" t="str">
        <f>IF('Global Precios'!D799="","",'Global Precios'!D799)</f>
        <v/>
      </c>
      <c r="F797" s="18"/>
      <c r="G797" s="25" t="str">
        <f t="shared" si="7"/>
        <v/>
      </c>
      <c r="H797" s="25" t="str">
        <f t="shared" si="1"/>
        <v/>
      </c>
      <c r="I797" s="30" t="str">
        <f>IF('Global Precios'!I799="","",'Global Precios'!I799)</f>
        <v/>
      </c>
      <c r="J797" s="18" t="str">
        <f>IF('Global Precios'!K799="","",'Global Precios'!K799)</f>
        <v/>
      </c>
      <c r="K797" s="30" t="str">
        <f>IF('Global Precios'!L799="","",'Global Precios'!L799)</f>
        <v/>
      </c>
      <c r="L797" s="18"/>
      <c r="M797" s="18"/>
      <c r="N797" s="18"/>
      <c r="O797" s="18"/>
      <c r="P797" s="18"/>
      <c r="Q797" s="18"/>
      <c r="R797" s="18" t="str">
        <f>IF('Global Precios'!F799="","",'Global Precios'!F799)</f>
        <v/>
      </c>
      <c r="S797" s="18"/>
      <c r="T797" s="18" t="str">
        <f>IF('Global Precios'!E799="","",'Global Precios'!E799)</f>
        <v/>
      </c>
      <c r="U797" s="18"/>
      <c r="V797" s="18" t="str">
        <f t="shared" si="2"/>
        <v/>
      </c>
      <c r="W797" s="18"/>
      <c r="X797" s="18"/>
      <c r="Y797" s="18"/>
      <c r="Z797" s="18"/>
      <c r="AA797" s="18"/>
      <c r="AB797" s="18" t="str">
        <f t="shared" si="3"/>
        <v/>
      </c>
      <c r="AC797" s="18" t="str">
        <f t="shared" si="4"/>
        <v/>
      </c>
      <c r="AD797" s="18" t="str">
        <f t="shared" si="5"/>
        <v/>
      </c>
      <c r="AE797" s="18" t="str">
        <f t="shared" si="6"/>
        <v/>
      </c>
    </row>
    <row r="798">
      <c r="A798" s="9" t="str">
        <f>IF(E798="","", IF('Global Precios'!B800="",0,'Global Precios'!B800))</f>
        <v/>
      </c>
      <c r="B798" s="14" t="str">
        <f>IF('Global Precios'!B800="","",'Global Precios'!B800)</f>
        <v/>
      </c>
      <c r="C798" s="18" t="str">
        <f>IF('Global Precios'!A800="","",'Global Precios'!A800)</f>
        <v/>
      </c>
      <c r="D798" s="18"/>
      <c r="E798" s="25" t="str">
        <f>IF('Global Precios'!D800="","",'Global Precios'!D800)</f>
        <v/>
      </c>
      <c r="F798" s="18"/>
      <c r="G798" s="25" t="str">
        <f t="shared" si="7"/>
        <v/>
      </c>
      <c r="H798" s="25" t="str">
        <f t="shared" si="1"/>
        <v/>
      </c>
      <c r="I798" s="30" t="str">
        <f>IF('Global Precios'!I800="","",'Global Precios'!I800)</f>
        <v/>
      </c>
      <c r="J798" s="18" t="str">
        <f>IF('Global Precios'!K800="","",'Global Precios'!K800)</f>
        <v/>
      </c>
      <c r="K798" s="30" t="str">
        <f>IF('Global Precios'!L800="","",'Global Precios'!L800)</f>
        <v/>
      </c>
      <c r="L798" s="18"/>
      <c r="M798" s="18"/>
      <c r="N798" s="18"/>
      <c r="O798" s="18"/>
      <c r="P798" s="18"/>
      <c r="Q798" s="18"/>
      <c r="R798" s="18" t="str">
        <f>IF('Global Precios'!F800="","",'Global Precios'!F800)</f>
        <v/>
      </c>
      <c r="S798" s="18"/>
      <c r="T798" s="18" t="str">
        <f>IF('Global Precios'!E800="","",'Global Precios'!E800)</f>
        <v/>
      </c>
      <c r="U798" s="18"/>
      <c r="V798" s="18" t="str">
        <f t="shared" si="2"/>
        <v/>
      </c>
      <c r="W798" s="18"/>
      <c r="X798" s="18"/>
      <c r="Y798" s="18"/>
      <c r="Z798" s="18"/>
      <c r="AA798" s="18"/>
      <c r="AB798" s="18" t="str">
        <f t="shared" si="3"/>
        <v/>
      </c>
      <c r="AC798" s="18" t="str">
        <f t="shared" si="4"/>
        <v/>
      </c>
      <c r="AD798" s="18" t="str">
        <f t="shared" si="5"/>
        <v/>
      </c>
      <c r="AE798" s="18" t="str">
        <f t="shared" si="6"/>
        <v/>
      </c>
    </row>
    <row r="799">
      <c r="A799" s="9" t="str">
        <f>IF(E799="","", IF('Global Precios'!B801="",0,'Global Precios'!B801))</f>
        <v/>
      </c>
      <c r="B799" s="14" t="str">
        <f>IF('Global Precios'!B801="","",'Global Precios'!B801)</f>
        <v/>
      </c>
      <c r="C799" s="18" t="str">
        <f>IF('Global Precios'!A801="","",'Global Precios'!A801)</f>
        <v/>
      </c>
      <c r="D799" s="18"/>
      <c r="E799" s="25" t="str">
        <f>IF('Global Precios'!D801="","",'Global Precios'!D801)</f>
        <v/>
      </c>
      <c r="F799" s="18"/>
      <c r="G799" s="25" t="str">
        <f t="shared" si="7"/>
        <v/>
      </c>
      <c r="H799" s="25" t="str">
        <f t="shared" si="1"/>
        <v/>
      </c>
      <c r="I799" s="30" t="str">
        <f>IF('Global Precios'!I801="","",'Global Precios'!I801)</f>
        <v/>
      </c>
      <c r="J799" s="18" t="str">
        <f>IF('Global Precios'!K801="","",'Global Precios'!K801)</f>
        <v/>
      </c>
      <c r="K799" s="30" t="str">
        <f>IF('Global Precios'!L801="","",'Global Precios'!L801)</f>
        <v/>
      </c>
      <c r="L799" s="18"/>
      <c r="M799" s="18"/>
      <c r="N799" s="18"/>
      <c r="O799" s="18"/>
      <c r="P799" s="18"/>
      <c r="Q799" s="18"/>
      <c r="R799" s="18" t="str">
        <f>IF('Global Precios'!F801="","",'Global Precios'!F801)</f>
        <v/>
      </c>
      <c r="S799" s="18"/>
      <c r="T799" s="18" t="str">
        <f>IF('Global Precios'!E801="","",'Global Precios'!E801)</f>
        <v/>
      </c>
      <c r="U799" s="18"/>
      <c r="V799" s="18" t="str">
        <f t="shared" si="2"/>
        <v/>
      </c>
      <c r="W799" s="18"/>
      <c r="X799" s="18"/>
      <c r="Y799" s="18"/>
      <c r="Z799" s="18"/>
      <c r="AA799" s="18"/>
      <c r="AB799" s="18" t="str">
        <f t="shared" si="3"/>
        <v/>
      </c>
      <c r="AC799" s="18" t="str">
        <f t="shared" si="4"/>
        <v/>
      </c>
      <c r="AD799" s="18" t="str">
        <f t="shared" si="5"/>
        <v/>
      </c>
      <c r="AE799" s="18" t="str">
        <f t="shared" si="6"/>
        <v/>
      </c>
    </row>
    <row r="800">
      <c r="A800" s="9" t="str">
        <f>IF(E800="","", IF('Global Precios'!B802="",0,'Global Precios'!B802))</f>
        <v/>
      </c>
      <c r="B800" s="14" t="str">
        <f>IF('Global Precios'!B802="","",'Global Precios'!B802)</f>
        <v/>
      </c>
      <c r="C800" s="18" t="str">
        <f>IF('Global Precios'!A802="","",'Global Precios'!A802)</f>
        <v/>
      </c>
      <c r="D800" s="18"/>
      <c r="E800" s="25" t="str">
        <f>IF('Global Precios'!D802="","",'Global Precios'!D802)</f>
        <v/>
      </c>
      <c r="F800" s="18"/>
      <c r="G800" s="25" t="str">
        <f t="shared" si="7"/>
        <v/>
      </c>
      <c r="H800" s="25" t="str">
        <f t="shared" si="1"/>
        <v/>
      </c>
      <c r="I800" s="30" t="str">
        <f>IF('Global Precios'!I802="","",'Global Precios'!I802)</f>
        <v/>
      </c>
      <c r="J800" s="18" t="str">
        <f>IF('Global Precios'!K802="","",'Global Precios'!K802)</f>
        <v/>
      </c>
      <c r="K800" s="30" t="str">
        <f>IF('Global Precios'!L802="","",'Global Precios'!L802)</f>
        <v/>
      </c>
      <c r="L800" s="18"/>
      <c r="M800" s="18"/>
      <c r="N800" s="18"/>
      <c r="O800" s="18"/>
      <c r="P800" s="18"/>
      <c r="Q800" s="18"/>
      <c r="R800" s="18" t="str">
        <f>IF('Global Precios'!F802="","",'Global Precios'!F802)</f>
        <v/>
      </c>
      <c r="S800" s="18"/>
      <c r="T800" s="18" t="str">
        <f>IF('Global Precios'!E802="","",'Global Precios'!E802)</f>
        <v/>
      </c>
      <c r="U800" s="18"/>
      <c r="V800" s="18" t="str">
        <f t="shared" si="2"/>
        <v/>
      </c>
      <c r="W800" s="18"/>
      <c r="X800" s="18"/>
      <c r="Y800" s="18"/>
      <c r="Z800" s="18"/>
      <c r="AA800" s="18"/>
      <c r="AB800" s="18" t="str">
        <f t="shared" si="3"/>
        <v/>
      </c>
      <c r="AC800" s="18" t="str">
        <f t="shared" si="4"/>
        <v/>
      </c>
      <c r="AD800" s="18" t="str">
        <f t="shared" si="5"/>
        <v/>
      </c>
      <c r="AE800" s="18" t="str">
        <f t="shared" si="6"/>
        <v/>
      </c>
    </row>
    <row r="801">
      <c r="A801" s="9" t="str">
        <f>IF(E801="","", IF('Global Precios'!B803="",0,'Global Precios'!B803))</f>
        <v/>
      </c>
      <c r="B801" s="14" t="str">
        <f>IF('Global Precios'!B803="","",'Global Precios'!B803)</f>
        <v/>
      </c>
      <c r="C801" s="18" t="str">
        <f>IF('Global Precios'!A803="","",'Global Precios'!A803)</f>
        <v/>
      </c>
      <c r="D801" s="18"/>
      <c r="E801" s="25" t="str">
        <f>IF('Global Precios'!D803="","",'Global Precios'!D803)</f>
        <v/>
      </c>
      <c r="F801" s="18"/>
      <c r="G801" s="25" t="str">
        <f t="shared" si="7"/>
        <v/>
      </c>
      <c r="H801" s="25" t="str">
        <f t="shared" si="1"/>
        <v/>
      </c>
      <c r="I801" s="30" t="str">
        <f>IF('Global Precios'!I803="","",'Global Precios'!I803)</f>
        <v/>
      </c>
      <c r="J801" s="18" t="str">
        <f>IF('Global Precios'!K803="","",'Global Precios'!K803)</f>
        <v/>
      </c>
      <c r="K801" s="30" t="str">
        <f>IF('Global Precios'!L803="","",'Global Precios'!L803)</f>
        <v/>
      </c>
      <c r="L801" s="18"/>
      <c r="M801" s="18"/>
      <c r="N801" s="18"/>
      <c r="O801" s="18"/>
      <c r="P801" s="18"/>
      <c r="Q801" s="18"/>
      <c r="R801" s="18" t="str">
        <f>IF('Global Precios'!F803="","",'Global Precios'!F803)</f>
        <v/>
      </c>
      <c r="S801" s="18"/>
      <c r="T801" s="18" t="str">
        <f>IF('Global Precios'!E803="","",'Global Precios'!E803)</f>
        <v/>
      </c>
      <c r="U801" s="18"/>
      <c r="V801" s="18" t="str">
        <f t="shared" si="2"/>
        <v/>
      </c>
      <c r="W801" s="18"/>
      <c r="X801" s="18"/>
      <c r="Y801" s="18"/>
      <c r="Z801" s="18"/>
      <c r="AA801" s="18"/>
      <c r="AB801" s="18" t="str">
        <f t="shared" si="3"/>
        <v/>
      </c>
      <c r="AC801" s="18" t="str">
        <f t="shared" si="4"/>
        <v/>
      </c>
      <c r="AD801" s="18" t="str">
        <f t="shared" si="5"/>
        <v/>
      </c>
      <c r="AE801" s="18" t="str">
        <f t="shared" si="6"/>
        <v/>
      </c>
    </row>
    <row r="802">
      <c r="A802" s="9" t="str">
        <f>IF(E802="","", IF('Global Precios'!B804="",0,'Global Precios'!B804))</f>
        <v/>
      </c>
      <c r="B802" s="14" t="str">
        <f>IF('Global Precios'!B804="","",'Global Precios'!B804)</f>
        <v/>
      </c>
      <c r="C802" s="18" t="str">
        <f>IF('Global Precios'!A804="","",'Global Precios'!A804)</f>
        <v/>
      </c>
      <c r="D802" s="18"/>
      <c r="E802" s="25" t="str">
        <f>IF('Global Precios'!D804="","",'Global Precios'!D804)</f>
        <v/>
      </c>
      <c r="F802" s="18"/>
      <c r="G802" s="25" t="str">
        <f t="shared" si="7"/>
        <v/>
      </c>
      <c r="H802" s="25" t="str">
        <f t="shared" si="1"/>
        <v/>
      </c>
      <c r="I802" s="30" t="str">
        <f>IF('Global Precios'!I804="","",'Global Precios'!I804)</f>
        <v/>
      </c>
      <c r="J802" s="18" t="str">
        <f>IF('Global Precios'!K804="","",'Global Precios'!K804)</f>
        <v/>
      </c>
      <c r="K802" s="30" t="str">
        <f>IF('Global Precios'!L804="","",'Global Precios'!L804)</f>
        <v/>
      </c>
      <c r="L802" s="18"/>
      <c r="M802" s="18"/>
      <c r="N802" s="18"/>
      <c r="O802" s="18"/>
      <c r="P802" s="18"/>
      <c r="Q802" s="18"/>
      <c r="R802" s="18" t="str">
        <f>IF('Global Precios'!F804="","",'Global Precios'!F804)</f>
        <v/>
      </c>
      <c r="S802" s="18"/>
      <c r="T802" s="18" t="str">
        <f>IF('Global Precios'!E804="","",'Global Precios'!E804)</f>
        <v/>
      </c>
      <c r="U802" s="18"/>
      <c r="V802" s="18" t="str">
        <f t="shared" si="2"/>
        <v/>
      </c>
      <c r="W802" s="18"/>
      <c r="X802" s="18"/>
      <c r="Y802" s="18"/>
      <c r="Z802" s="18"/>
      <c r="AA802" s="18"/>
      <c r="AB802" s="18" t="str">
        <f t="shared" si="3"/>
        <v/>
      </c>
      <c r="AC802" s="18" t="str">
        <f t="shared" si="4"/>
        <v/>
      </c>
      <c r="AD802" s="18" t="str">
        <f t="shared" si="5"/>
        <v/>
      </c>
      <c r="AE802" s="18" t="str">
        <f t="shared" si="6"/>
        <v/>
      </c>
    </row>
    <row r="803">
      <c r="A803" s="9" t="str">
        <f>IF(E803="","", IF('Global Precios'!B805="",0,'Global Precios'!B805))</f>
        <v/>
      </c>
      <c r="B803" s="14" t="str">
        <f>IF('Global Precios'!B805="","",'Global Precios'!B805)</f>
        <v/>
      </c>
      <c r="C803" s="18" t="str">
        <f>IF('Global Precios'!A805="","",'Global Precios'!A805)</f>
        <v/>
      </c>
      <c r="D803" s="18"/>
      <c r="E803" s="25" t="str">
        <f>IF('Global Precios'!D805="","",'Global Precios'!D805)</f>
        <v/>
      </c>
      <c r="F803" s="18"/>
      <c r="G803" s="25" t="str">
        <f t="shared" si="7"/>
        <v/>
      </c>
      <c r="H803" s="25" t="str">
        <f t="shared" si="1"/>
        <v/>
      </c>
      <c r="I803" s="30" t="str">
        <f>IF('Global Precios'!I805="","",'Global Precios'!I805)</f>
        <v/>
      </c>
      <c r="J803" s="18" t="str">
        <f>IF('Global Precios'!K805="","",'Global Precios'!K805)</f>
        <v/>
      </c>
      <c r="K803" s="30" t="str">
        <f>IF('Global Precios'!L805="","",'Global Precios'!L805)</f>
        <v/>
      </c>
      <c r="L803" s="18"/>
      <c r="M803" s="18"/>
      <c r="N803" s="18"/>
      <c r="O803" s="18"/>
      <c r="P803" s="18"/>
      <c r="Q803" s="18"/>
      <c r="R803" s="18" t="str">
        <f>IF('Global Precios'!F805="","",'Global Precios'!F805)</f>
        <v/>
      </c>
      <c r="S803" s="18"/>
      <c r="T803" s="18" t="str">
        <f>IF('Global Precios'!E805="","",'Global Precios'!E805)</f>
        <v/>
      </c>
      <c r="U803" s="18"/>
      <c r="V803" s="18" t="str">
        <f t="shared" si="2"/>
        <v/>
      </c>
      <c r="W803" s="18"/>
      <c r="X803" s="18"/>
      <c r="Y803" s="18"/>
      <c r="Z803" s="18"/>
      <c r="AA803" s="18"/>
      <c r="AB803" s="18" t="str">
        <f t="shared" si="3"/>
        <v/>
      </c>
      <c r="AC803" s="18" t="str">
        <f t="shared" si="4"/>
        <v/>
      </c>
      <c r="AD803" s="18" t="str">
        <f t="shared" si="5"/>
        <v/>
      </c>
      <c r="AE803" s="18" t="str">
        <f t="shared" si="6"/>
        <v/>
      </c>
    </row>
    <row r="804">
      <c r="A804" s="9" t="str">
        <f>IF(E804="","", IF('Global Precios'!B806="",0,'Global Precios'!B806))</f>
        <v/>
      </c>
      <c r="B804" s="14" t="str">
        <f>IF('Global Precios'!B806="","",'Global Precios'!B806)</f>
        <v/>
      </c>
      <c r="C804" s="18" t="str">
        <f>IF('Global Precios'!A806="","",'Global Precios'!A806)</f>
        <v/>
      </c>
      <c r="D804" s="18"/>
      <c r="E804" s="25" t="str">
        <f>IF('Global Precios'!D806="","",'Global Precios'!D806)</f>
        <v/>
      </c>
      <c r="F804" s="18"/>
      <c r="G804" s="25" t="str">
        <f t="shared" si="7"/>
        <v/>
      </c>
      <c r="H804" s="25" t="str">
        <f t="shared" si="1"/>
        <v/>
      </c>
      <c r="I804" s="30" t="str">
        <f>IF('Global Precios'!I806="","",'Global Precios'!I806)</f>
        <v/>
      </c>
      <c r="J804" s="18" t="str">
        <f>IF('Global Precios'!K806="","",'Global Precios'!K806)</f>
        <v/>
      </c>
      <c r="K804" s="30" t="str">
        <f>IF('Global Precios'!L806="","",'Global Precios'!L806)</f>
        <v/>
      </c>
      <c r="L804" s="18"/>
      <c r="M804" s="18"/>
      <c r="N804" s="18"/>
      <c r="O804" s="18"/>
      <c r="P804" s="18"/>
      <c r="Q804" s="18"/>
      <c r="R804" s="18" t="str">
        <f>IF('Global Precios'!F806="","",'Global Precios'!F806)</f>
        <v/>
      </c>
      <c r="S804" s="18"/>
      <c r="T804" s="18" t="str">
        <f>IF('Global Precios'!E806="","",'Global Precios'!E806)</f>
        <v/>
      </c>
      <c r="U804" s="18"/>
      <c r="V804" s="18" t="str">
        <f t="shared" si="2"/>
        <v/>
      </c>
      <c r="W804" s="18"/>
      <c r="X804" s="18"/>
      <c r="Y804" s="18"/>
      <c r="Z804" s="18"/>
      <c r="AA804" s="18"/>
      <c r="AB804" s="18" t="str">
        <f t="shared" si="3"/>
        <v/>
      </c>
      <c r="AC804" s="18" t="str">
        <f t="shared" si="4"/>
        <v/>
      </c>
      <c r="AD804" s="18" t="str">
        <f t="shared" si="5"/>
        <v/>
      </c>
      <c r="AE804" s="18" t="str">
        <f t="shared" si="6"/>
        <v/>
      </c>
    </row>
    <row r="805">
      <c r="A805" s="9" t="str">
        <f>IF(E805="","", IF('Global Precios'!B807="",0,'Global Precios'!B807))</f>
        <v/>
      </c>
      <c r="B805" s="14" t="str">
        <f>IF('Global Precios'!B807="","",'Global Precios'!B807)</f>
        <v/>
      </c>
      <c r="C805" s="18" t="str">
        <f>IF('Global Precios'!A807="","",'Global Precios'!A807)</f>
        <v/>
      </c>
      <c r="D805" s="18"/>
      <c r="E805" s="25" t="str">
        <f>IF('Global Precios'!D807="","",'Global Precios'!D807)</f>
        <v/>
      </c>
      <c r="F805" s="18"/>
      <c r="G805" s="25" t="str">
        <f t="shared" si="7"/>
        <v/>
      </c>
      <c r="H805" s="25" t="str">
        <f t="shared" si="1"/>
        <v/>
      </c>
      <c r="I805" s="30" t="str">
        <f>IF('Global Precios'!I807="","",'Global Precios'!I807)</f>
        <v/>
      </c>
      <c r="J805" s="18" t="str">
        <f>IF('Global Precios'!K807="","",'Global Precios'!K807)</f>
        <v/>
      </c>
      <c r="K805" s="30" t="str">
        <f>IF('Global Precios'!L807="","",'Global Precios'!L807)</f>
        <v/>
      </c>
      <c r="L805" s="18"/>
      <c r="M805" s="18"/>
      <c r="N805" s="18"/>
      <c r="O805" s="18"/>
      <c r="P805" s="18"/>
      <c r="Q805" s="18"/>
      <c r="R805" s="18" t="str">
        <f>IF('Global Precios'!F807="","",'Global Precios'!F807)</f>
        <v/>
      </c>
      <c r="S805" s="18"/>
      <c r="T805" s="18" t="str">
        <f>IF('Global Precios'!E807="","",'Global Precios'!E807)</f>
        <v/>
      </c>
      <c r="U805" s="18"/>
      <c r="V805" s="18" t="str">
        <f t="shared" si="2"/>
        <v/>
      </c>
      <c r="W805" s="18"/>
      <c r="X805" s="18"/>
      <c r="Y805" s="18"/>
      <c r="Z805" s="18"/>
      <c r="AA805" s="18"/>
      <c r="AB805" s="18" t="str">
        <f t="shared" si="3"/>
        <v/>
      </c>
      <c r="AC805" s="18" t="str">
        <f t="shared" si="4"/>
        <v/>
      </c>
      <c r="AD805" s="18" t="str">
        <f t="shared" si="5"/>
        <v/>
      </c>
      <c r="AE805" s="18" t="str">
        <f t="shared" si="6"/>
        <v/>
      </c>
    </row>
    <row r="806">
      <c r="A806" s="9" t="str">
        <f>IF(E806="","", IF('Global Precios'!B808="",0,'Global Precios'!B808))</f>
        <v/>
      </c>
      <c r="B806" s="14" t="str">
        <f>IF('Global Precios'!B808="","",'Global Precios'!B808)</f>
        <v/>
      </c>
      <c r="C806" s="18" t="str">
        <f>IF('Global Precios'!A808="","",'Global Precios'!A808)</f>
        <v/>
      </c>
      <c r="D806" s="18"/>
      <c r="E806" s="25" t="str">
        <f>IF('Global Precios'!D808="","",'Global Precios'!D808)</f>
        <v/>
      </c>
      <c r="F806" s="18"/>
      <c r="G806" s="25" t="str">
        <f t="shared" si="7"/>
        <v/>
      </c>
      <c r="H806" s="25" t="str">
        <f t="shared" si="1"/>
        <v/>
      </c>
      <c r="I806" s="30" t="str">
        <f>IF('Global Precios'!I808="","",'Global Precios'!I808)</f>
        <v/>
      </c>
      <c r="J806" s="18" t="str">
        <f>IF('Global Precios'!K808="","",'Global Precios'!K808)</f>
        <v/>
      </c>
      <c r="K806" s="30" t="str">
        <f>IF('Global Precios'!L808="","",'Global Precios'!L808)</f>
        <v/>
      </c>
      <c r="L806" s="18"/>
      <c r="M806" s="18"/>
      <c r="N806" s="18"/>
      <c r="O806" s="18"/>
      <c r="P806" s="18"/>
      <c r="Q806" s="18"/>
      <c r="R806" s="18" t="str">
        <f>IF('Global Precios'!F808="","",'Global Precios'!F808)</f>
        <v/>
      </c>
      <c r="S806" s="18"/>
      <c r="T806" s="18" t="str">
        <f>IF('Global Precios'!E808="","",'Global Precios'!E808)</f>
        <v/>
      </c>
      <c r="U806" s="18"/>
      <c r="V806" s="18" t="str">
        <f t="shared" si="2"/>
        <v/>
      </c>
      <c r="W806" s="18"/>
      <c r="X806" s="18"/>
      <c r="Y806" s="18"/>
      <c r="Z806" s="18"/>
      <c r="AA806" s="18"/>
      <c r="AB806" s="18" t="str">
        <f t="shared" si="3"/>
        <v/>
      </c>
      <c r="AC806" s="18" t="str">
        <f t="shared" si="4"/>
        <v/>
      </c>
      <c r="AD806" s="18" t="str">
        <f t="shared" si="5"/>
        <v/>
      </c>
      <c r="AE806" s="18" t="str">
        <f t="shared" si="6"/>
        <v/>
      </c>
    </row>
    <row r="807">
      <c r="A807" s="9" t="str">
        <f>IF(E807="","", IF('Global Precios'!B809="",0,'Global Precios'!B809))</f>
        <v/>
      </c>
      <c r="B807" s="14" t="str">
        <f>IF('Global Precios'!B809="","",'Global Precios'!B809)</f>
        <v/>
      </c>
      <c r="C807" s="18" t="str">
        <f>IF('Global Precios'!A809="","",'Global Precios'!A809)</f>
        <v/>
      </c>
      <c r="D807" s="18"/>
      <c r="E807" s="25" t="str">
        <f>IF('Global Precios'!D809="","",'Global Precios'!D809)</f>
        <v/>
      </c>
      <c r="F807" s="18"/>
      <c r="G807" s="25" t="str">
        <f t="shared" si="7"/>
        <v/>
      </c>
      <c r="H807" s="25" t="str">
        <f t="shared" si="1"/>
        <v/>
      </c>
      <c r="I807" s="30" t="str">
        <f>IF('Global Precios'!I809="","",'Global Precios'!I809)</f>
        <v/>
      </c>
      <c r="J807" s="18" t="str">
        <f>IF('Global Precios'!K809="","",'Global Precios'!K809)</f>
        <v/>
      </c>
      <c r="K807" s="30" t="str">
        <f>IF('Global Precios'!L809="","",'Global Precios'!L809)</f>
        <v/>
      </c>
      <c r="L807" s="18"/>
      <c r="M807" s="18"/>
      <c r="N807" s="18"/>
      <c r="O807" s="18"/>
      <c r="P807" s="18"/>
      <c r="Q807" s="18"/>
      <c r="R807" s="18" t="str">
        <f>IF('Global Precios'!F809="","",'Global Precios'!F809)</f>
        <v/>
      </c>
      <c r="S807" s="18"/>
      <c r="T807" s="18" t="str">
        <f>IF('Global Precios'!E809="","",'Global Precios'!E809)</f>
        <v/>
      </c>
      <c r="U807" s="18"/>
      <c r="V807" s="18" t="str">
        <f t="shared" si="2"/>
        <v/>
      </c>
      <c r="W807" s="18"/>
      <c r="X807" s="18"/>
      <c r="Y807" s="18"/>
      <c r="Z807" s="18"/>
      <c r="AA807" s="18"/>
      <c r="AB807" s="18" t="str">
        <f t="shared" si="3"/>
        <v/>
      </c>
      <c r="AC807" s="18" t="str">
        <f t="shared" si="4"/>
        <v/>
      </c>
      <c r="AD807" s="18" t="str">
        <f t="shared" si="5"/>
        <v/>
      </c>
      <c r="AE807" s="18" t="str">
        <f t="shared" si="6"/>
        <v/>
      </c>
    </row>
    <row r="808">
      <c r="A808" s="9" t="str">
        <f>IF(E808="","", IF('Global Precios'!B810="",0,'Global Precios'!B810))</f>
        <v/>
      </c>
      <c r="B808" s="14" t="str">
        <f>IF('Global Precios'!B810="","",'Global Precios'!B810)</f>
        <v/>
      </c>
      <c r="C808" s="18" t="str">
        <f>IF('Global Precios'!A810="","",'Global Precios'!A810)</f>
        <v/>
      </c>
      <c r="D808" s="18"/>
      <c r="E808" s="25" t="str">
        <f>IF('Global Precios'!D810="","",'Global Precios'!D810)</f>
        <v/>
      </c>
      <c r="F808" s="18"/>
      <c r="G808" s="25" t="str">
        <f t="shared" si="7"/>
        <v/>
      </c>
      <c r="H808" s="25" t="str">
        <f t="shared" si="1"/>
        <v/>
      </c>
      <c r="I808" s="30" t="str">
        <f>IF('Global Precios'!I810="","",'Global Precios'!I810)</f>
        <v/>
      </c>
      <c r="J808" s="18" t="str">
        <f>IF('Global Precios'!K810="","",'Global Precios'!K810)</f>
        <v/>
      </c>
      <c r="K808" s="30" t="str">
        <f>IF('Global Precios'!L810="","",'Global Precios'!L810)</f>
        <v/>
      </c>
      <c r="L808" s="18"/>
      <c r="M808" s="18"/>
      <c r="N808" s="18"/>
      <c r="O808" s="18"/>
      <c r="P808" s="18"/>
      <c r="Q808" s="18"/>
      <c r="R808" s="18" t="str">
        <f>IF('Global Precios'!F810="","",'Global Precios'!F810)</f>
        <v/>
      </c>
      <c r="S808" s="18"/>
      <c r="T808" s="18" t="str">
        <f>IF('Global Precios'!E810="","",'Global Precios'!E810)</f>
        <v/>
      </c>
      <c r="U808" s="18"/>
      <c r="V808" s="18" t="str">
        <f t="shared" si="2"/>
        <v/>
      </c>
      <c r="W808" s="18"/>
      <c r="X808" s="18"/>
      <c r="Y808" s="18"/>
      <c r="Z808" s="18"/>
      <c r="AA808" s="18"/>
      <c r="AB808" s="18" t="str">
        <f t="shared" si="3"/>
        <v/>
      </c>
      <c r="AC808" s="18" t="str">
        <f t="shared" si="4"/>
        <v/>
      </c>
      <c r="AD808" s="18" t="str">
        <f t="shared" si="5"/>
        <v/>
      </c>
      <c r="AE808" s="18" t="str">
        <f t="shared" si="6"/>
        <v/>
      </c>
    </row>
    <row r="809">
      <c r="A809" s="9" t="str">
        <f>IF(E809="","", IF('Global Precios'!B811="",0,'Global Precios'!B811))</f>
        <v/>
      </c>
      <c r="B809" s="14" t="str">
        <f>IF('Global Precios'!B811="","",'Global Precios'!B811)</f>
        <v/>
      </c>
      <c r="C809" s="18" t="str">
        <f>IF('Global Precios'!A811="","",'Global Precios'!A811)</f>
        <v/>
      </c>
      <c r="D809" s="18"/>
      <c r="E809" s="25" t="str">
        <f>IF('Global Precios'!D811="","",'Global Precios'!D811)</f>
        <v/>
      </c>
      <c r="F809" s="18"/>
      <c r="G809" s="25" t="str">
        <f t="shared" si="7"/>
        <v/>
      </c>
      <c r="H809" s="25" t="str">
        <f t="shared" si="1"/>
        <v/>
      </c>
      <c r="I809" s="30" t="str">
        <f>IF('Global Precios'!I811="","",'Global Precios'!I811)</f>
        <v/>
      </c>
      <c r="J809" s="18" t="str">
        <f>IF('Global Precios'!K811="","",'Global Precios'!K811)</f>
        <v/>
      </c>
      <c r="K809" s="30" t="str">
        <f>IF('Global Precios'!L811="","",'Global Precios'!L811)</f>
        <v/>
      </c>
      <c r="L809" s="18"/>
      <c r="M809" s="18"/>
      <c r="N809" s="18"/>
      <c r="O809" s="18"/>
      <c r="P809" s="18"/>
      <c r="Q809" s="18"/>
      <c r="R809" s="18" t="str">
        <f>IF('Global Precios'!F811="","",'Global Precios'!F811)</f>
        <v/>
      </c>
      <c r="S809" s="18"/>
      <c r="T809" s="18" t="str">
        <f>IF('Global Precios'!E811="","",'Global Precios'!E811)</f>
        <v/>
      </c>
      <c r="U809" s="18"/>
      <c r="V809" s="18" t="str">
        <f t="shared" si="2"/>
        <v/>
      </c>
      <c r="W809" s="18"/>
      <c r="X809" s="18"/>
      <c r="Y809" s="18"/>
      <c r="Z809" s="18"/>
      <c r="AA809" s="18"/>
      <c r="AB809" s="18" t="str">
        <f t="shared" si="3"/>
        <v/>
      </c>
      <c r="AC809" s="18" t="str">
        <f t="shared" si="4"/>
        <v/>
      </c>
      <c r="AD809" s="18" t="str">
        <f t="shared" si="5"/>
        <v/>
      </c>
      <c r="AE809" s="18" t="str">
        <f t="shared" si="6"/>
        <v/>
      </c>
    </row>
    <row r="810">
      <c r="A810" s="9" t="str">
        <f>IF(E810="","", IF('Global Precios'!B812="",0,'Global Precios'!B812))</f>
        <v/>
      </c>
      <c r="B810" s="14" t="str">
        <f>IF('Global Precios'!B812="","",'Global Precios'!B812)</f>
        <v/>
      </c>
      <c r="C810" s="18" t="str">
        <f>IF('Global Precios'!A812="","",'Global Precios'!A812)</f>
        <v/>
      </c>
      <c r="D810" s="18"/>
      <c r="E810" s="25" t="str">
        <f>IF('Global Precios'!D812="","",'Global Precios'!D812)</f>
        <v/>
      </c>
      <c r="F810" s="18"/>
      <c r="G810" s="25" t="str">
        <f t="shared" si="7"/>
        <v/>
      </c>
      <c r="H810" s="25" t="str">
        <f t="shared" si="1"/>
        <v/>
      </c>
      <c r="I810" s="30" t="str">
        <f>IF('Global Precios'!I812="","",'Global Precios'!I812)</f>
        <v/>
      </c>
      <c r="J810" s="18" t="str">
        <f>IF('Global Precios'!K812="","",'Global Precios'!K812)</f>
        <v/>
      </c>
      <c r="K810" s="30" t="str">
        <f>IF('Global Precios'!L812="","",'Global Precios'!L812)</f>
        <v/>
      </c>
      <c r="L810" s="18"/>
      <c r="M810" s="18"/>
      <c r="N810" s="18"/>
      <c r="O810" s="18"/>
      <c r="P810" s="18"/>
      <c r="Q810" s="18"/>
      <c r="R810" s="18" t="str">
        <f>IF('Global Precios'!F812="","",'Global Precios'!F812)</f>
        <v/>
      </c>
      <c r="S810" s="18"/>
      <c r="T810" s="18" t="str">
        <f>IF('Global Precios'!E812="","",'Global Precios'!E812)</f>
        <v/>
      </c>
      <c r="U810" s="18"/>
      <c r="V810" s="18" t="str">
        <f t="shared" si="2"/>
        <v/>
      </c>
      <c r="W810" s="18"/>
      <c r="X810" s="18"/>
      <c r="Y810" s="18"/>
      <c r="Z810" s="18"/>
      <c r="AA810" s="18"/>
      <c r="AB810" s="18" t="str">
        <f t="shared" si="3"/>
        <v/>
      </c>
      <c r="AC810" s="18" t="str">
        <f t="shared" si="4"/>
        <v/>
      </c>
      <c r="AD810" s="18" t="str">
        <f t="shared" si="5"/>
        <v/>
      </c>
      <c r="AE810" s="18" t="str">
        <f t="shared" si="6"/>
        <v/>
      </c>
    </row>
    <row r="811">
      <c r="A811" s="9" t="str">
        <f>IF(E811="","", IF('Global Precios'!B813="",0,'Global Precios'!B813))</f>
        <v/>
      </c>
      <c r="B811" s="14" t="str">
        <f>IF('Global Precios'!B813="","",'Global Precios'!B813)</f>
        <v/>
      </c>
      <c r="C811" s="18" t="str">
        <f>IF('Global Precios'!A813="","",'Global Precios'!A813)</f>
        <v/>
      </c>
      <c r="D811" s="18"/>
      <c r="E811" s="25" t="str">
        <f>IF('Global Precios'!D813="","",'Global Precios'!D813)</f>
        <v/>
      </c>
      <c r="F811" s="18"/>
      <c r="G811" s="25" t="str">
        <f t="shared" si="7"/>
        <v/>
      </c>
      <c r="H811" s="25" t="str">
        <f t="shared" si="1"/>
        <v/>
      </c>
      <c r="I811" s="30" t="str">
        <f>IF('Global Precios'!I813="","",'Global Precios'!I813)</f>
        <v/>
      </c>
      <c r="J811" s="18" t="str">
        <f>IF('Global Precios'!K813="","",'Global Precios'!K813)</f>
        <v/>
      </c>
      <c r="K811" s="30" t="str">
        <f>IF('Global Precios'!L813="","",'Global Precios'!L813)</f>
        <v/>
      </c>
      <c r="L811" s="18"/>
      <c r="M811" s="18"/>
      <c r="N811" s="18"/>
      <c r="O811" s="18"/>
      <c r="P811" s="18"/>
      <c r="Q811" s="18"/>
      <c r="R811" s="18" t="str">
        <f>IF('Global Precios'!F813="","",'Global Precios'!F813)</f>
        <v/>
      </c>
      <c r="S811" s="18"/>
      <c r="T811" s="18" t="str">
        <f>IF('Global Precios'!E813="","",'Global Precios'!E813)</f>
        <v/>
      </c>
      <c r="U811" s="18"/>
      <c r="V811" s="18" t="str">
        <f t="shared" si="2"/>
        <v/>
      </c>
      <c r="W811" s="18"/>
      <c r="X811" s="18"/>
      <c r="Y811" s="18"/>
      <c r="Z811" s="18"/>
      <c r="AA811" s="18"/>
      <c r="AB811" s="18" t="str">
        <f t="shared" si="3"/>
        <v/>
      </c>
      <c r="AC811" s="18" t="str">
        <f t="shared" si="4"/>
        <v/>
      </c>
      <c r="AD811" s="18" t="str">
        <f t="shared" si="5"/>
        <v/>
      </c>
      <c r="AE811" s="18" t="str">
        <f t="shared" si="6"/>
        <v/>
      </c>
    </row>
    <row r="812">
      <c r="A812" s="9" t="str">
        <f>IF(E812="","", IF('Global Precios'!B814="",0,'Global Precios'!B814))</f>
        <v/>
      </c>
      <c r="B812" s="14" t="str">
        <f>IF('Global Precios'!B814="","",'Global Precios'!B814)</f>
        <v/>
      </c>
      <c r="C812" s="18" t="str">
        <f>IF('Global Precios'!A814="","",'Global Precios'!A814)</f>
        <v/>
      </c>
      <c r="D812" s="18"/>
      <c r="E812" s="25" t="str">
        <f>IF('Global Precios'!D814="","",'Global Precios'!D814)</f>
        <v/>
      </c>
      <c r="F812" s="18"/>
      <c r="G812" s="25" t="str">
        <f t="shared" si="7"/>
        <v/>
      </c>
      <c r="H812" s="25" t="str">
        <f t="shared" si="1"/>
        <v/>
      </c>
      <c r="I812" s="30" t="str">
        <f>IF('Global Precios'!I814="","",'Global Precios'!I814)</f>
        <v/>
      </c>
      <c r="J812" s="18" t="str">
        <f>IF('Global Precios'!K814="","",'Global Precios'!K814)</f>
        <v/>
      </c>
      <c r="K812" s="30" t="str">
        <f>IF('Global Precios'!L814="","",'Global Precios'!L814)</f>
        <v/>
      </c>
      <c r="L812" s="18"/>
      <c r="M812" s="18"/>
      <c r="N812" s="18"/>
      <c r="O812" s="18"/>
      <c r="P812" s="18"/>
      <c r="Q812" s="18"/>
      <c r="R812" s="18" t="str">
        <f>IF('Global Precios'!F814="","",'Global Precios'!F814)</f>
        <v/>
      </c>
      <c r="S812" s="18"/>
      <c r="T812" s="18" t="str">
        <f>IF('Global Precios'!E814="","",'Global Precios'!E814)</f>
        <v/>
      </c>
      <c r="U812" s="18"/>
      <c r="V812" s="18" t="str">
        <f t="shared" si="2"/>
        <v/>
      </c>
      <c r="W812" s="18"/>
      <c r="X812" s="18"/>
      <c r="Y812" s="18"/>
      <c r="Z812" s="18"/>
      <c r="AA812" s="18"/>
      <c r="AB812" s="18" t="str">
        <f t="shared" si="3"/>
        <v/>
      </c>
      <c r="AC812" s="18" t="str">
        <f t="shared" si="4"/>
        <v/>
      </c>
      <c r="AD812" s="18" t="str">
        <f t="shared" si="5"/>
        <v/>
      </c>
      <c r="AE812" s="18" t="str">
        <f t="shared" si="6"/>
        <v/>
      </c>
    </row>
    <row r="813">
      <c r="A813" s="9" t="str">
        <f>IF(E813="","", IF('Global Precios'!B815="",0,'Global Precios'!B815))</f>
        <v/>
      </c>
      <c r="B813" s="14" t="str">
        <f>IF('Global Precios'!B815="","",'Global Precios'!B815)</f>
        <v/>
      </c>
      <c r="C813" s="18" t="str">
        <f>IF('Global Precios'!A815="","",'Global Precios'!A815)</f>
        <v/>
      </c>
      <c r="D813" s="18"/>
      <c r="E813" s="25" t="str">
        <f>IF('Global Precios'!D815="","",'Global Precios'!D815)</f>
        <v/>
      </c>
      <c r="F813" s="18"/>
      <c r="G813" s="25" t="str">
        <f t="shared" si="7"/>
        <v/>
      </c>
      <c r="H813" s="25" t="str">
        <f t="shared" si="1"/>
        <v/>
      </c>
      <c r="I813" s="30" t="str">
        <f>IF('Global Precios'!I815="","",'Global Precios'!I815)</f>
        <v/>
      </c>
      <c r="J813" s="18" t="str">
        <f>IF('Global Precios'!K815="","",'Global Precios'!K815)</f>
        <v/>
      </c>
      <c r="K813" s="30" t="str">
        <f>IF('Global Precios'!L815="","",'Global Precios'!L815)</f>
        <v/>
      </c>
      <c r="L813" s="18"/>
      <c r="M813" s="18"/>
      <c r="N813" s="18"/>
      <c r="O813" s="18"/>
      <c r="P813" s="18"/>
      <c r="Q813" s="18"/>
      <c r="R813" s="18" t="str">
        <f>IF('Global Precios'!F815="","",'Global Precios'!F815)</f>
        <v/>
      </c>
      <c r="S813" s="18"/>
      <c r="T813" s="18" t="str">
        <f>IF('Global Precios'!E815="","",'Global Precios'!E815)</f>
        <v/>
      </c>
      <c r="U813" s="18"/>
      <c r="V813" s="18" t="str">
        <f t="shared" si="2"/>
        <v/>
      </c>
      <c r="W813" s="18"/>
      <c r="X813" s="18"/>
      <c r="Y813" s="18"/>
      <c r="Z813" s="18"/>
      <c r="AA813" s="18"/>
      <c r="AB813" s="18" t="str">
        <f t="shared" si="3"/>
        <v/>
      </c>
      <c r="AC813" s="18" t="str">
        <f t="shared" si="4"/>
        <v/>
      </c>
      <c r="AD813" s="18" t="str">
        <f t="shared" si="5"/>
        <v/>
      </c>
      <c r="AE813" s="18" t="str">
        <f t="shared" si="6"/>
        <v/>
      </c>
    </row>
    <row r="814">
      <c r="A814" s="9" t="str">
        <f>IF(E814="","", IF('Global Precios'!B816="",0,'Global Precios'!B816))</f>
        <v/>
      </c>
      <c r="B814" s="14" t="str">
        <f>IF('Global Precios'!B816="","",'Global Precios'!B816)</f>
        <v/>
      </c>
      <c r="C814" s="18" t="str">
        <f>IF('Global Precios'!A816="","",'Global Precios'!A816)</f>
        <v/>
      </c>
      <c r="D814" s="18"/>
      <c r="E814" s="25" t="str">
        <f>IF('Global Precios'!D816="","",'Global Precios'!D816)</f>
        <v/>
      </c>
      <c r="F814" s="18"/>
      <c r="G814" s="25" t="str">
        <f t="shared" si="7"/>
        <v/>
      </c>
      <c r="H814" s="25" t="str">
        <f t="shared" si="1"/>
        <v/>
      </c>
      <c r="I814" s="30" t="str">
        <f>IF('Global Precios'!I816="","",'Global Precios'!I816)</f>
        <v/>
      </c>
      <c r="J814" s="18" t="str">
        <f>IF('Global Precios'!K816="","",'Global Precios'!K816)</f>
        <v/>
      </c>
      <c r="K814" s="30" t="str">
        <f>IF('Global Precios'!L816="","",'Global Precios'!L816)</f>
        <v/>
      </c>
      <c r="L814" s="18"/>
      <c r="M814" s="18"/>
      <c r="N814" s="18"/>
      <c r="O814" s="18"/>
      <c r="P814" s="18"/>
      <c r="Q814" s="18"/>
      <c r="R814" s="18" t="str">
        <f>IF('Global Precios'!F816="","",'Global Precios'!F816)</f>
        <v/>
      </c>
      <c r="S814" s="18"/>
      <c r="T814" s="18" t="str">
        <f>IF('Global Precios'!E816="","",'Global Precios'!E816)</f>
        <v/>
      </c>
      <c r="U814" s="18"/>
      <c r="V814" s="18" t="str">
        <f t="shared" si="2"/>
        <v/>
      </c>
      <c r="W814" s="18"/>
      <c r="X814" s="18"/>
      <c r="Y814" s="18"/>
      <c r="Z814" s="18"/>
      <c r="AA814" s="18"/>
      <c r="AB814" s="18" t="str">
        <f t="shared" si="3"/>
        <v/>
      </c>
      <c r="AC814" s="18" t="str">
        <f t="shared" si="4"/>
        <v/>
      </c>
      <c r="AD814" s="18" t="str">
        <f t="shared" si="5"/>
        <v/>
      </c>
      <c r="AE814" s="18" t="str">
        <f t="shared" si="6"/>
        <v/>
      </c>
    </row>
    <row r="815">
      <c r="A815" s="9" t="str">
        <f>IF(E815="","", IF('Global Precios'!B817="",0,'Global Precios'!B817))</f>
        <v/>
      </c>
      <c r="B815" s="14" t="str">
        <f>IF('Global Precios'!B817="","",'Global Precios'!B817)</f>
        <v/>
      </c>
      <c r="C815" s="18" t="str">
        <f>IF('Global Precios'!A817="","",'Global Precios'!A817)</f>
        <v/>
      </c>
      <c r="D815" s="18"/>
      <c r="E815" s="25" t="str">
        <f>IF('Global Precios'!D817="","",'Global Precios'!D817)</f>
        <v/>
      </c>
      <c r="F815" s="18"/>
      <c r="G815" s="25" t="str">
        <f t="shared" si="7"/>
        <v/>
      </c>
      <c r="H815" s="25" t="str">
        <f t="shared" si="1"/>
        <v/>
      </c>
      <c r="I815" s="30" t="str">
        <f>IF('Global Precios'!I817="","",'Global Precios'!I817)</f>
        <v/>
      </c>
      <c r="J815" s="18" t="str">
        <f>IF('Global Precios'!K817="","",'Global Precios'!K817)</f>
        <v/>
      </c>
      <c r="K815" s="30" t="str">
        <f>IF('Global Precios'!L817="","",'Global Precios'!L817)</f>
        <v/>
      </c>
      <c r="L815" s="18"/>
      <c r="M815" s="18"/>
      <c r="N815" s="18"/>
      <c r="O815" s="18"/>
      <c r="P815" s="18"/>
      <c r="Q815" s="18"/>
      <c r="R815" s="18" t="str">
        <f>IF('Global Precios'!F817="","",'Global Precios'!F817)</f>
        <v/>
      </c>
      <c r="S815" s="18"/>
      <c r="T815" s="18" t="str">
        <f>IF('Global Precios'!E817="","",'Global Precios'!E817)</f>
        <v/>
      </c>
      <c r="U815" s="18"/>
      <c r="V815" s="18" t="str">
        <f t="shared" si="2"/>
        <v/>
      </c>
      <c r="W815" s="18"/>
      <c r="X815" s="18"/>
      <c r="Y815" s="18"/>
      <c r="Z815" s="18"/>
      <c r="AA815" s="18"/>
      <c r="AB815" s="18" t="str">
        <f t="shared" si="3"/>
        <v/>
      </c>
      <c r="AC815" s="18" t="str">
        <f t="shared" si="4"/>
        <v/>
      </c>
      <c r="AD815" s="18" t="str">
        <f t="shared" si="5"/>
        <v/>
      </c>
      <c r="AE815" s="18" t="str">
        <f t="shared" si="6"/>
        <v/>
      </c>
    </row>
    <row r="816">
      <c r="A816" s="9" t="str">
        <f>IF(E816="","", IF('Global Precios'!B818="",0,'Global Precios'!B818))</f>
        <v/>
      </c>
      <c r="B816" s="14" t="str">
        <f>IF('Global Precios'!B818="","",'Global Precios'!B818)</f>
        <v/>
      </c>
      <c r="C816" s="18" t="str">
        <f>IF('Global Precios'!A818="","",'Global Precios'!A818)</f>
        <v/>
      </c>
      <c r="D816" s="18"/>
      <c r="E816" s="25" t="str">
        <f>IF('Global Precios'!D818="","",'Global Precios'!D818)</f>
        <v/>
      </c>
      <c r="F816" s="18"/>
      <c r="G816" s="25" t="str">
        <f t="shared" si="7"/>
        <v/>
      </c>
      <c r="H816" s="25" t="str">
        <f t="shared" si="1"/>
        <v/>
      </c>
      <c r="I816" s="30" t="str">
        <f>IF('Global Precios'!I818="","",'Global Precios'!I818)</f>
        <v/>
      </c>
      <c r="J816" s="18" t="str">
        <f>IF('Global Precios'!K818="","",'Global Precios'!K818)</f>
        <v/>
      </c>
      <c r="K816" s="30" t="str">
        <f>IF('Global Precios'!L818="","",'Global Precios'!L818)</f>
        <v/>
      </c>
      <c r="L816" s="18"/>
      <c r="M816" s="18"/>
      <c r="N816" s="18"/>
      <c r="O816" s="18"/>
      <c r="P816" s="18"/>
      <c r="Q816" s="18"/>
      <c r="R816" s="18" t="str">
        <f>IF('Global Precios'!F818="","",'Global Precios'!F818)</f>
        <v/>
      </c>
      <c r="S816" s="18"/>
      <c r="T816" s="18" t="str">
        <f>IF('Global Precios'!E818="","",'Global Precios'!E818)</f>
        <v/>
      </c>
      <c r="U816" s="18"/>
      <c r="V816" s="18" t="str">
        <f t="shared" si="2"/>
        <v/>
      </c>
      <c r="W816" s="18"/>
      <c r="X816" s="18"/>
      <c r="Y816" s="18"/>
      <c r="Z816" s="18"/>
      <c r="AA816" s="18"/>
      <c r="AB816" s="18" t="str">
        <f t="shared" si="3"/>
        <v/>
      </c>
      <c r="AC816" s="18" t="str">
        <f t="shared" si="4"/>
        <v/>
      </c>
      <c r="AD816" s="18" t="str">
        <f t="shared" si="5"/>
        <v/>
      </c>
      <c r="AE816" s="18" t="str">
        <f t="shared" si="6"/>
        <v/>
      </c>
    </row>
    <row r="817">
      <c r="A817" s="9" t="str">
        <f>IF(E817="","", IF('Global Precios'!B819="",0,'Global Precios'!B819))</f>
        <v/>
      </c>
      <c r="B817" s="14" t="str">
        <f>IF('Global Precios'!B819="","",'Global Precios'!B819)</f>
        <v/>
      </c>
      <c r="C817" s="18" t="str">
        <f>IF('Global Precios'!A819="","",'Global Precios'!A819)</f>
        <v/>
      </c>
      <c r="D817" s="18"/>
      <c r="E817" s="25" t="str">
        <f>IF('Global Precios'!D819="","",'Global Precios'!D819)</f>
        <v/>
      </c>
      <c r="F817" s="18"/>
      <c r="G817" s="25" t="str">
        <f t="shared" si="7"/>
        <v/>
      </c>
      <c r="H817" s="25" t="str">
        <f t="shared" si="1"/>
        <v/>
      </c>
      <c r="I817" s="30" t="str">
        <f>IF('Global Precios'!I819="","",'Global Precios'!I819)</f>
        <v/>
      </c>
      <c r="J817" s="18" t="str">
        <f>IF('Global Precios'!K819="","",'Global Precios'!K819)</f>
        <v/>
      </c>
      <c r="K817" s="30" t="str">
        <f>IF('Global Precios'!L819="","",'Global Precios'!L819)</f>
        <v/>
      </c>
      <c r="L817" s="18"/>
      <c r="M817" s="18"/>
      <c r="N817" s="18"/>
      <c r="O817" s="18"/>
      <c r="P817" s="18"/>
      <c r="Q817" s="18"/>
      <c r="R817" s="18" t="str">
        <f>IF('Global Precios'!F819="","",'Global Precios'!F819)</f>
        <v/>
      </c>
      <c r="S817" s="18"/>
      <c r="T817" s="18" t="str">
        <f>IF('Global Precios'!E819="","",'Global Precios'!E819)</f>
        <v/>
      </c>
      <c r="U817" s="18"/>
      <c r="V817" s="18" t="str">
        <f t="shared" si="2"/>
        <v/>
      </c>
      <c r="W817" s="18"/>
      <c r="X817" s="18"/>
      <c r="Y817" s="18"/>
      <c r="Z817" s="18"/>
      <c r="AA817" s="18"/>
      <c r="AB817" s="18" t="str">
        <f t="shared" si="3"/>
        <v/>
      </c>
      <c r="AC817" s="18" t="str">
        <f t="shared" si="4"/>
        <v/>
      </c>
      <c r="AD817" s="18" t="str">
        <f t="shared" si="5"/>
        <v/>
      </c>
      <c r="AE817" s="18" t="str">
        <f t="shared" si="6"/>
        <v/>
      </c>
    </row>
    <row r="818">
      <c r="A818" s="9" t="str">
        <f>IF(E818="","", IF('Global Precios'!B820="",0,'Global Precios'!B820))</f>
        <v/>
      </c>
      <c r="B818" s="14" t="str">
        <f>IF('Global Precios'!B820="","",'Global Precios'!B820)</f>
        <v/>
      </c>
      <c r="C818" s="18" t="str">
        <f>IF('Global Precios'!A820="","",'Global Precios'!A820)</f>
        <v/>
      </c>
      <c r="D818" s="18"/>
      <c r="E818" s="25" t="str">
        <f>IF('Global Precios'!D820="","",'Global Precios'!D820)</f>
        <v/>
      </c>
      <c r="F818" s="18"/>
      <c r="G818" s="25" t="str">
        <f t="shared" si="7"/>
        <v/>
      </c>
      <c r="H818" s="25" t="str">
        <f t="shared" si="1"/>
        <v/>
      </c>
      <c r="I818" s="30" t="str">
        <f>IF('Global Precios'!I820="","",'Global Precios'!I820)</f>
        <v/>
      </c>
      <c r="J818" s="18" t="str">
        <f>IF('Global Precios'!K820="","",'Global Precios'!K820)</f>
        <v/>
      </c>
      <c r="K818" s="30" t="str">
        <f>IF('Global Precios'!L820="","",'Global Precios'!L820)</f>
        <v/>
      </c>
      <c r="L818" s="18"/>
      <c r="M818" s="18"/>
      <c r="N818" s="18"/>
      <c r="O818" s="18"/>
      <c r="P818" s="18"/>
      <c r="Q818" s="18"/>
      <c r="R818" s="18" t="str">
        <f>IF('Global Precios'!F820="","",'Global Precios'!F820)</f>
        <v/>
      </c>
      <c r="S818" s="18"/>
      <c r="T818" s="18" t="str">
        <f>IF('Global Precios'!E820="","",'Global Precios'!E820)</f>
        <v/>
      </c>
      <c r="U818" s="18"/>
      <c r="V818" s="18" t="str">
        <f t="shared" si="2"/>
        <v/>
      </c>
      <c r="W818" s="18"/>
      <c r="X818" s="18"/>
      <c r="Y818" s="18"/>
      <c r="Z818" s="18"/>
      <c r="AA818" s="18"/>
      <c r="AB818" s="18" t="str">
        <f t="shared" si="3"/>
        <v/>
      </c>
      <c r="AC818" s="18" t="str">
        <f t="shared" si="4"/>
        <v/>
      </c>
      <c r="AD818" s="18" t="str">
        <f t="shared" si="5"/>
        <v/>
      </c>
      <c r="AE818" s="18" t="str">
        <f t="shared" si="6"/>
        <v/>
      </c>
    </row>
    <row r="819">
      <c r="A819" s="9" t="str">
        <f>IF(E819="","", IF('Global Precios'!B821="",0,'Global Precios'!B821))</f>
        <v/>
      </c>
      <c r="B819" s="14" t="str">
        <f>IF('Global Precios'!B821="","",'Global Precios'!B821)</f>
        <v/>
      </c>
      <c r="C819" s="18" t="str">
        <f>IF('Global Precios'!A821="","",'Global Precios'!A821)</f>
        <v/>
      </c>
      <c r="D819" s="18"/>
      <c r="E819" s="25" t="str">
        <f>IF('Global Precios'!D821="","",'Global Precios'!D821)</f>
        <v/>
      </c>
      <c r="F819" s="18"/>
      <c r="G819" s="25" t="str">
        <f t="shared" si="7"/>
        <v/>
      </c>
      <c r="H819" s="25" t="str">
        <f t="shared" si="1"/>
        <v/>
      </c>
      <c r="I819" s="30" t="str">
        <f>IF('Global Precios'!I821="","",'Global Precios'!I821)</f>
        <v/>
      </c>
      <c r="J819" s="18" t="str">
        <f>IF('Global Precios'!K821="","",'Global Precios'!K821)</f>
        <v/>
      </c>
      <c r="K819" s="30" t="str">
        <f>IF('Global Precios'!L821="","",'Global Precios'!L821)</f>
        <v/>
      </c>
      <c r="L819" s="18"/>
      <c r="M819" s="18"/>
      <c r="N819" s="18"/>
      <c r="O819" s="18"/>
      <c r="P819" s="18"/>
      <c r="Q819" s="18"/>
      <c r="R819" s="18" t="str">
        <f>IF('Global Precios'!F821="","",'Global Precios'!F821)</f>
        <v/>
      </c>
      <c r="S819" s="18"/>
      <c r="T819" s="18" t="str">
        <f>IF('Global Precios'!E821="","",'Global Precios'!E821)</f>
        <v/>
      </c>
      <c r="U819" s="18"/>
      <c r="V819" s="18" t="str">
        <f t="shared" si="2"/>
        <v/>
      </c>
      <c r="W819" s="18"/>
      <c r="X819" s="18"/>
      <c r="Y819" s="18"/>
      <c r="Z819" s="18"/>
      <c r="AA819" s="18"/>
      <c r="AB819" s="18" t="str">
        <f t="shared" si="3"/>
        <v/>
      </c>
      <c r="AC819" s="18" t="str">
        <f t="shared" si="4"/>
        <v/>
      </c>
      <c r="AD819" s="18" t="str">
        <f t="shared" si="5"/>
        <v/>
      </c>
      <c r="AE819" s="18" t="str">
        <f t="shared" si="6"/>
        <v/>
      </c>
    </row>
    <row r="820">
      <c r="A820" s="9" t="str">
        <f>IF(E820="","", IF('Global Precios'!B822="",0,'Global Precios'!B822))</f>
        <v/>
      </c>
      <c r="B820" s="14" t="str">
        <f>IF('Global Precios'!B822="","",'Global Precios'!B822)</f>
        <v/>
      </c>
      <c r="C820" s="18" t="str">
        <f>IF('Global Precios'!A822="","",'Global Precios'!A822)</f>
        <v/>
      </c>
      <c r="D820" s="18"/>
      <c r="E820" s="25" t="str">
        <f>IF('Global Precios'!D822="","",'Global Precios'!D822)</f>
        <v/>
      </c>
      <c r="F820" s="18"/>
      <c r="G820" s="25" t="str">
        <f t="shared" si="7"/>
        <v/>
      </c>
      <c r="H820" s="25" t="str">
        <f t="shared" si="1"/>
        <v/>
      </c>
      <c r="I820" s="30" t="str">
        <f>IF('Global Precios'!I822="","",'Global Precios'!I822)</f>
        <v/>
      </c>
      <c r="J820" s="18" t="str">
        <f>IF('Global Precios'!K822="","",'Global Precios'!K822)</f>
        <v/>
      </c>
      <c r="K820" s="30" t="str">
        <f>IF('Global Precios'!L822="","",'Global Precios'!L822)</f>
        <v/>
      </c>
      <c r="L820" s="18"/>
      <c r="M820" s="18"/>
      <c r="N820" s="18"/>
      <c r="O820" s="18"/>
      <c r="P820" s="18"/>
      <c r="Q820" s="18"/>
      <c r="R820" s="18" t="str">
        <f>IF('Global Precios'!F822="","",'Global Precios'!F822)</f>
        <v/>
      </c>
      <c r="S820" s="18"/>
      <c r="T820" s="18" t="str">
        <f>IF('Global Precios'!E822="","",'Global Precios'!E822)</f>
        <v/>
      </c>
      <c r="U820" s="18"/>
      <c r="V820" s="18" t="str">
        <f t="shared" si="2"/>
        <v/>
      </c>
      <c r="W820" s="18"/>
      <c r="X820" s="18"/>
      <c r="Y820" s="18"/>
      <c r="Z820" s="18"/>
      <c r="AA820" s="18"/>
      <c r="AB820" s="18" t="str">
        <f t="shared" si="3"/>
        <v/>
      </c>
      <c r="AC820" s="18" t="str">
        <f t="shared" si="4"/>
        <v/>
      </c>
      <c r="AD820" s="18" t="str">
        <f t="shared" si="5"/>
        <v/>
      </c>
      <c r="AE820" s="18" t="str">
        <f t="shared" si="6"/>
        <v/>
      </c>
    </row>
    <row r="821">
      <c r="A821" s="9" t="str">
        <f>IF(E821="","", IF('Global Precios'!B823="",0,'Global Precios'!B823))</f>
        <v/>
      </c>
      <c r="B821" s="14" t="str">
        <f>IF('Global Precios'!B823="","",'Global Precios'!B823)</f>
        <v/>
      </c>
      <c r="C821" s="18" t="str">
        <f>IF('Global Precios'!A823="","",'Global Precios'!A823)</f>
        <v/>
      </c>
      <c r="D821" s="18"/>
      <c r="E821" s="25" t="str">
        <f>IF('Global Precios'!D823="","",'Global Precios'!D823)</f>
        <v/>
      </c>
      <c r="F821" s="18"/>
      <c r="G821" s="25" t="str">
        <f t="shared" si="7"/>
        <v/>
      </c>
      <c r="H821" s="25" t="str">
        <f t="shared" si="1"/>
        <v/>
      </c>
      <c r="I821" s="30" t="str">
        <f>IF('Global Precios'!I823="","",'Global Precios'!I823)</f>
        <v/>
      </c>
      <c r="J821" s="18" t="str">
        <f>IF('Global Precios'!K823="","",'Global Precios'!K823)</f>
        <v/>
      </c>
      <c r="K821" s="30" t="str">
        <f>IF('Global Precios'!L823="","",'Global Precios'!L823)</f>
        <v/>
      </c>
      <c r="L821" s="18"/>
      <c r="M821" s="18"/>
      <c r="N821" s="18"/>
      <c r="O821" s="18"/>
      <c r="P821" s="18"/>
      <c r="Q821" s="18"/>
      <c r="R821" s="18" t="str">
        <f>IF('Global Precios'!F823="","",'Global Precios'!F823)</f>
        <v/>
      </c>
      <c r="S821" s="18"/>
      <c r="T821" s="18" t="str">
        <f>IF('Global Precios'!E823="","",'Global Precios'!E823)</f>
        <v/>
      </c>
      <c r="U821" s="18"/>
      <c r="V821" s="18" t="str">
        <f t="shared" si="2"/>
        <v/>
      </c>
      <c r="W821" s="18"/>
      <c r="X821" s="18"/>
      <c r="Y821" s="18"/>
      <c r="Z821" s="18"/>
      <c r="AA821" s="18"/>
      <c r="AB821" s="18" t="str">
        <f t="shared" si="3"/>
        <v/>
      </c>
      <c r="AC821" s="18" t="str">
        <f t="shared" si="4"/>
        <v/>
      </c>
      <c r="AD821" s="18" t="str">
        <f t="shared" si="5"/>
        <v/>
      </c>
      <c r="AE821" s="18" t="str">
        <f t="shared" si="6"/>
        <v/>
      </c>
    </row>
    <row r="822">
      <c r="A822" s="9" t="str">
        <f>IF(E822="","", IF('Global Precios'!B824="",0,'Global Precios'!B824))</f>
        <v/>
      </c>
      <c r="B822" s="14" t="str">
        <f>IF('Global Precios'!B824="","",'Global Precios'!B824)</f>
        <v/>
      </c>
      <c r="C822" s="18" t="str">
        <f>IF('Global Precios'!A824="","",'Global Precios'!A824)</f>
        <v/>
      </c>
      <c r="D822" s="18"/>
      <c r="E822" s="25" t="str">
        <f>IF('Global Precios'!D824="","",'Global Precios'!D824)</f>
        <v/>
      </c>
      <c r="F822" s="18"/>
      <c r="G822" s="25" t="str">
        <f t="shared" si="7"/>
        <v/>
      </c>
      <c r="H822" s="25" t="str">
        <f t="shared" si="1"/>
        <v/>
      </c>
      <c r="I822" s="30" t="str">
        <f>IF('Global Precios'!I824="","",'Global Precios'!I824)</f>
        <v/>
      </c>
      <c r="J822" s="18" t="str">
        <f>IF('Global Precios'!K824="","",'Global Precios'!K824)</f>
        <v/>
      </c>
      <c r="K822" s="30" t="str">
        <f>IF('Global Precios'!L824="","",'Global Precios'!L824)</f>
        <v/>
      </c>
      <c r="L822" s="18"/>
      <c r="M822" s="18"/>
      <c r="N822" s="18"/>
      <c r="O822" s="18"/>
      <c r="P822" s="18"/>
      <c r="Q822" s="18"/>
      <c r="R822" s="18" t="str">
        <f>IF('Global Precios'!F824="","",'Global Precios'!F824)</f>
        <v/>
      </c>
      <c r="S822" s="18"/>
      <c r="T822" s="18" t="str">
        <f>IF('Global Precios'!E824="","",'Global Precios'!E824)</f>
        <v/>
      </c>
      <c r="U822" s="18"/>
      <c r="V822" s="18" t="str">
        <f t="shared" si="2"/>
        <v/>
      </c>
      <c r="W822" s="18"/>
      <c r="X822" s="18"/>
      <c r="Y822" s="18"/>
      <c r="Z822" s="18"/>
      <c r="AA822" s="18"/>
      <c r="AB822" s="18" t="str">
        <f t="shared" si="3"/>
        <v/>
      </c>
      <c r="AC822" s="18" t="str">
        <f t="shared" si="4"/>
        <v/>
      </c>
      <c r="AD822" s="18" t="str">
        <f t="shared" si="5"/>
        <v/>
      </c>
      <c r="AE822" s="18" t="str">
        <f t="shared" si="6"/>
        <v/>
      </c>
    </row>
    <row r="823">
      <c r="A823" s="9" t="str">
        <f>IF(E823="","", IF('Global Precios'!B825="",0,'Global Precios'!B825))</f>
        <v/>
      </c>
      <c r="B823" s="14" t="str">
        <f>IF('Global Precios'!B825="","",'Global Precios'!B825)</f>
        <v/>
      </c>
      <c r="C823" s="18" t="str">
        <f>IF('Global Precios'!A825="","",'Global Precios'!A825)</f>
        <v/>
      </c>
      <c r="D823" s="18"/>
      <c r="E823" s="25" t="str">
        <f>IF('Global Precios'!D825="","",'Global Precios'!D825)</f>
        <v/>
      </c>
      <c r="F823" s="18"/>
      <c r="G823" s="25" t="str">
        <f t="shared" si="7"/>
        <v/>
      </c>
      <c r="H823" s="25" t="str">
        <f t="shared" si="1"/>
        <v/>
      </c>
      <c r="I823" s="30" t="str">
        <f>IF('Global Precios'!I825="","",'Global Precios'!I825)</f>
        <v/>
      </c>
      <c r="J823" s="18" t="str">
        <f>IF('Global Precios'!K825="","",'Global Precios'!K825)</f>
        <v/>
      </c>
      <c r="K823" s="30" t="str">
        <f>IF('Global Precios'!L825="","",'Global Precios'!L825)</f>
        <v/>
      </c>
      <c r="L823" s="18"/>
      <c r="M823" s="18"/>
      <c r="N823" s="18"/>
      <c r="O823" s="18"/>
      <c r="P823" s="18"/>
      <c r="Q823" s="18"/>
      <c r="R823" s="18" t="str">
        <f>IF('Global Precios'!F825="","",'Global Precios'!F825)</f>
        <v/>
      </c>
      <c r="S823" s="18"/>
      <c r="T823" s="18" t="str">
        <f>IF('Global Precios'!E825="","",'Global Precios'!E825)</f>
        <v/>
      </c>
      <c r="U823" s="18"/>
      <c r="V823" s="18" t="str">
        <f t="shared" si="2"/>
        <v/>
      </c>
      <c r="W823" s="18"/>
      <c r="X823" s="18"/>
      <c r="Y823" s="18"/>
      <c r="Z823" s="18"/>
      <c r="AA823" s="18"/>
      <c r="AB823" s="18" t="str">
        <f t="shared" si="3"/>
        <v/>
      </c>
      <c r="AC823" s="18" t="str">
        <f t="shared" si="4"/>
        <v/>
      </c>
      <c r="AD823" s="18" t="str">
        <f t="shared" si="5"/>
        <v/>
      </c>
      <c r="AE823" s="18" t="str">
        <f t="shared" si="6"/>
        <v/>
      </c>
    </row>
    <row r="824">
      <c r="A824" s="9" t="str">
        <f>IF(E824="","", IF('Global Precios'!B826="",0,'Global Precios'!B826))</f>
        <v/>
      </c>
      <c r="B824" s="14" t="str">
        <f>IF('Global Precios'!B826="","",'Global Precios'!B826)</f>
        <v/>
      </c>
      <c r="C824" s="18" t="str">
        <f>IF('Global Precios'!A826="","",'Global Precios'!A826)</f>
        <v/>
      </c>
      <c r="D824" s="18"/>
      <c r="E824" s="25" t="str">
        <f>IF('Global Precios'!D826="","",'Global Precios'!D826)</f>
        <v/>
      </c>
      <c r="F824" s="18"/>
      <c r="G824" s="25" t="str">
        <f t="shared" si="7"/>
        <v/>
      </c>
      <c r="H824" s="25" t="str">
        <f t="shared" si="1"/>
        <v/>
      </c>
      <c r="I824" s="30" t="str">
        <f>IF('Global Precios'!I826="","",'Global Precios'!I826)</f>
        <v/>
      </c>
      <c r="J824" s="18" t="str">
        <f>IF('Global Precios'!K826="","",'Global Precios'!K826)</f>
        <v/>
      </c>
      <c r="K824" s="30" t="str">
        <f>IF('Global Precios'!L826="","",'Global Precios'!L826)</f>
        <v/>
      </c>
      <c r="L824" s="18"/>
      <c r="M824" s="18"/>
      <c r="N824" s="18"/>
      <c r="O824" s="18"/>
      <c r="P824" s="18"/>
      <c r="Q824" s="18"/>
      <c r="R824" s="18" t="str">
        <f>IF('Global Precios'!F826="","",'Global Precios'!F826)</f>
        <v/>
      </c>
      <c r="S824" s="18"/>
      <c r="T824" s="18" t="str">
        <f>IF('Global Precios'!E826="","",'Global Precios'!E826)</f>
        <v/>
      </c>
      <c r="U824" s="18"/>
      <c r="V824" s="18" t="str">
        <f t="shared" si="2"/>
        <v/>
      </c>
      <c r="W824" s="18"/>
      <c r="X824" s="18"/>
      <c r="Y824" s="18"/>
      <c r="Z824" s="18"/>
      <c r="AA824" s="18"/>
      <c r="AB824" s="18" t="str">
        <f t="shared" si="3"/>
        <v/>
      </c>
      <c r="AC824" s="18" t="str">
        <f t="shared" si="4"/>
        <v/>
      </c>
      <c r="AD824" s="18" t="str">
        <f t="shared" si="5"/>
        <v/>
      </c>
      <c r="AE824" s="18" t="str">
        <f t="shared" si="6"/>
        <v/>
      </c>
    </row>
    <row r="825">
      <c r="A825" s="9" t="str">
        <f>IF(E825="","", IF('Global Precios'!B827="",0,'Global Precios'!B827))</f>
        <v/>
      </c>
      <c r="B825" s="14" t="str">
        <f>IF('Global Precios'!B827="","",'Global Precios'!B827)</f>
        <v/>
      </c>
      <c r="C825" s="18" t="str">
        <f>IF('Global Precios'!A827="","",'Global Precios'!A827)</f>
        <v/>
      </c>
      <c r="D825" s="18"/>
      <c r="E825" s="25" t="str">
        <f>IF('Global Precios'!D827="","",'Global Precios'!D827)</f>
        <v/>
      </c>
      <c r="F825" s="18"/>
      <c r="G825" s="25" t="str">
        <f t="shared" si="7"/>
        <v/>
      </c>
      <c r="H825" s="25" t="str">
        <f t="shared" si="1"/>
        <v/>
      </c>
      <c r="I825" s="30" t="str">
        <f>IF('Global Precios'!I827="","",'Global Precios'!I827)</f>
        <v/>
      </c>
      <c r="J825" s="18" t="str">
        <f>IF('Global Precios'!K827="","",'Global Precios'!K827)</f>
        <v/>
      </c>
      <c r="K825" s="30" t="str">
        <f>IF('Global Precios'!L827="","",'Global Precios'!L827)</f>
        <v/>
      </c>
      <c r="L825" s="18"/>
      <c r="M825" s="18"/>
      <c r="N825" s="18"/>
      <c r="O825" s="18"/>
      <c r="P825" s="18"/>
      <c r="Q825" s="18"/>
      <c r="R825" s="18" t="str">
        <f>IF('Global Precios'!F827="","",'Global Precios'!F827)</f>
        <v/>
      </c>
      <c r="S825" s="18"/>
      <c r="T825" s="18" t="str">
        <f>IF('Global Precios'!E827="","",'Global Precios'!E827)</f>
        <v/>
      </c>
      <c r="U825" s="18"/>
      <c r="V825" s="18" t="str">
        <f t="shared" si="2"/>
        <v/>
      </c>
      <c r="W825" s="18"/>
      <c r="X825" s="18"/>
      <c r="Y825" s="18"/>
      <c r="Z825" s="18"/>
      <c r="AA825" s="18"/>
      <c r="AB825" s="18" t="str">
        <f t="shared" si="3"/>
        <v/>
      </c>
      <c r="AC825" s="18" t="str">
        <f t="shared" si="4"/>
        <v/>
      </c>
      <c r="AD825" s="18" t="str">
        <f t="shared" si="5"/>
        <v/>
      </c>
      <c r="AE825" s="18" t="str">
        <f t="shared" si="6"/>
        <v/>
      </c>
    </row>
    <row r="826">
      <c r="A826" s="9" t="str">
        <f>IF(E826="","", IF('Global Precios'!B828="",0,'Global Precios'!B828))</f>
        <v/>
      </c>
      <c r="B826" s="14" t="str">
        <f>IF('Global Precios'!B828="","",'Global Precios'!B828)</f>
        <v/>
      </c>
      <c r="C826" s="18" t="str">
        <f>IF('Global Precios'!A828="","",'Global Precios'!A828)</f>
        <v/>
      </c>
      <c r="D826" s="18"/>
      <c r="E826" s="25" t="str">
        <f>IF('Global Precios'!D828="","",'Global Precios'!D828)</f>
        <v/>
      </c>
      <c r="F826" s="18"/>
      <c r="G826" s="25" t="str">
        <f t="shared" si="7"/>
        <v/>
      </c>
      <c r="H826" s="25" t="str">
        <f t="shared" si="1"/>
        <v/>
      </c>
      <c r="I826" s="30" t="str">
        <f>IF('Global Precios'!I828="","",'Global Precios'!I828)</f>
        <v/>
      </c>
      <c r="J826" s="18" t="str">
        <f>IF('Global Precios'!K828="","",'Global Precios'!K828)</f>
        <v/>
      </c>
      <c r="K826" s="30" t="str">
        <f>IF('Global Precios'!L828="","",'Global Precios'!L828)</f>
        <v/>
      </c>
      <c r="L826" s="18"/>
      <c r="M826" s="18"/>
      <c r="N826" s="18"/>
      <c r="O826" s="18"/>
      <c r="P826" s="18"/>
      <c r="Q826" s="18"/>
      <c r="R826" s="18" t="str">
        <f>IF('Global Precios'!F828="","",'Global Precios'!F828)</f>
        <v/>
      </c>
      <c r="S826" s="18"/>
      <c r="T826" s="18" t="str">
        <f>IF('Global Precios'!E828="","",'Global Precios'!E828)</f>
        <v/>
      </c>
      <c r="U826" s="18"/>
      <c r="V826" s="18" t="str">
        <f t="shared" si="2"/>
        <v/>
      </c>
      <c r="W826" s="18"/>
      <c r="X826" s="18"/>
      <c r="Y826" s="18"/>
      <c r="Z826" s="18"/>
      <c r="AA826" s="18"/>
      <c r="AB826" s="18" t="str">
        <f t="shared" si="3"/>
        <v/>
      </c>
      <c r="AC826" s="18" t="str">
        <f t="shared" si="4"/>
        <v/>
      </c>
      <c r="AD826" s="18" t="str">
        <f t="shared" si="5"/>
        <v/>
      </c>
      <c r="AE826" s="18" t="str">
        <f t="shared" si="6"/>
        <v/>
      </c>
    </row>
    <row r="827">
      <c r="A827" s="9" t="str">
        <f>IF(E827="","", IF('Global Precios'!B829="",0,'Global Precios'!B829))</f>
        <v/>
      </c>
      <c r="B827" s="14" t="str">
        <f>IF('Global Precios'!B829="","",'Global Precios'!B829)</f>
        <v/>
      </c>
      <c r="C827" s="18" t="str">
        <f>IF('Global Precios'!A829="","",'Global Precios'!A829)</f>
        <v/>
      </c>
      <c r="D827" s="18"/>
      <c r="E827" s="25" t="str">
        <f>IF('Global Precios'!D829="","",'Global Precios'!D829)</f>
        <v/>
      </c>
      <c r="F827" s="18"/>
      <c r="G827" s="25" t="str">
        <f t="shared" si="7"/>
        <v/>
      </c>
      <c r="H827" s="25" t="str">
        <f t="shared" si="1"/>
        <v/>
      </c>
      <c r="I827" s="30" t="str">
        <f>IF('Global Precios'!I829="","",'Global Precios'!I829)</f>
        <v/>
      </c>
      <c r="J827" s="18" t="str">
        <f>IF('Global Precios'!K829="","",'Global Precios'!K829)</f>
        <v/>
      </c>
      <c r="K827" s="30" t="str">
        <f>IF('Global Precios'!L829="","",'Global Precios'!L829)</f>
        <v/>
      </c>
      <c r="L827" s="18"/>
      <c r="M827" s="18"/>
      <c r="N827" s="18"/>
      <c r="O827" s="18"/>
      <c r="P827" s="18"/>
      <c r="Q827" s="18"/>
      <c r="R827" s="18" t="str">
        <f>IF('Global Precios'!F829="","",'Global Precios'!F829)</f>
        <v/>
      </c>
      <c r="S827" s="18"/>
      <c r="T827" s="18" t="str">
        <f>IF('Global Precios'!E829="","",'Global Precios'!E829)</f>
        <v/>
      </c>
      <c r="U827" s="18"/>
      <c r="V827" s="18" t="str">
        <f t="shared" si="2"/>
        <v/>
      </c>
      <c r="W827" s="18"/>
      <c r="X827" s="18"/>
      <c r="Y827" s="18"/>
      <c r="Z827" s="18"/>
      <c r="AA827" s="18"/>
      <c r="AB827" s="18" t="str">
        <f t="shared" si="3"/>
        <v/>
      </c>
      <c r="AC827" s="18" t="str">
        <f t="shared" si="4"/>
        <v/>
      </c>
      <c r="AD827" s="18" t="str">
        <f t="shared" si="5"/>
        <v/>
      </c>
      <c r="AE827" s="18" t="str">
        <f t="shared" si="6"/>
        <v/>
      </c>
    </row>
    <row r="828">
      <c r="A828" s="9" t="str">
        <f>IF(E828="","", IF('Global Precios'!B830="",0,'Global Precios'!B830))</f>
        <v/>
      </c>
      <c r="B828" s="14" t="str">
        <f>IF('Global Precios'!B830="","",'Global Precios'!B830)</f>
        <v/>
      </c>
      <c r="C828" s="18" t="str">
        <f>IF('Global Precios'!A830="","",'Global Precios'!A830)</f>
        <v/>
      </c>
      <c r="D828" s="18"/>
      <c r="E828" s="25" t="str">
        <f>IF('Global Precios'!D830="","",'Global Precios'!D830)</f>
        <v/>
      </c>
      <c r="F828" s="18"/>
      <c r="G828" s="25" t="str">
        <f t="shared" si="7"/>
        <v/>
      </c>
      <c r="H828" s="25" t="str">
        <f t="shared" si="1"/>
        <v/>
      </c>
      <c r="I828" s="30" t="str">
        <f>IF('Global Precios'!I830="","",'Global Precios'!I830)</f>
        <v/>
      </c>
      <c r="J828" s="18" t="str">
        <f>IF('Global Precios'!K830="","",'Global Precios'!K830)</f>
        <v/>
      </c>
      <c r="K828" s="30" t="str">
        <f>IF('Global Precios'!L830="","",'Global Precios'!L830)</f>
        <v/>
      </c>
      <c r="L828" s="18"/>
      <c r="M828" s="18"/>
      <c r="N828" s="18"/>
      <c r="O828" s="18"/>
      <c r="P828" s="18"/>
      <c r="Q828" s="18"/>
      <c r="R828" s="18" t="str">
        <f>IF('Global Precios'!F830="","",'Global Precios'!F830)</f>
        <v/>
      </c>
      <c r="S828" s="18"/>
      <c r="T828" s="18" t="str">
        <f>IF('Global Precios'!E830="","",'Global Precios'!E830)</f>
        <v/>
      </c>
      <c r="U828" s="18"/>
      <c r="V828" s="18" t="str">
        <f t="shared" si="2"/>
        <v/>
      </c>
      <c r="W828" s="18"/>
      <c r="X828" s="18"/>
      <c r="Y828" s="18"/>
      <c r="Z828" s="18"/>
      <c r="AA828" s="18"/>
      <c r="AB828" s="18" t="str">
        <f t="shared" si="3"/>
        <v/>
      </c>
      <c r="AC828" s="18" t="str">
        <f t="shared" si="4"/>
        <v/>
      </c>
      <c r="AD828" s="18" t="str">
        <f t="shared" si="5"/>
        <v/>
      </c>
      <c r="AE828" s="18" t="str">
        <f t="shared" si="6"/>
        <v/>
      </c>
    </row>
    <row r="829">
      <c r="A829" s="9" t="str">
        <f>IF(E829="","", IF('Global Precios'!B831="",0,'Global Precios'!B831))</f>
        <v/>
      </c>
      <c r="B829" s="14" t="str">
        <f>IF('Global Precios'!B831="","",'Global Precios'!B831)</f>
        <v/>
      </c>
      <c r="C829" s="18" t="str">
        <f>IF('Global Precios'!A831="","",'Global Precios'!A831)</f>
        <v/>
      </c>
      <c r="D829" s="18"/>
      <c r="E829" s="25" t="str">
        <f>IF('Global Precios'!D831="","",'Global Precios'!D831)</f>
        <v/>
      </c>
      <c r="F829" s="18"/>
      <c r="G829" s="25" t="str">
        <f t="shared" si="7"/>
        <v/>
      </c>
      <c r="H829" s="25" t="str">
        <f t="shared" si="1"/>
        <v/>
      </c>
      <c r="I829" s="30" t="str">
        <f>IF('Global Precios'!I831="","",'Global Precios'!I831)</f>
        <v/>
      </c>
      <c r="J829" s="18" t="str">
        <f>IF('Global Precios'!K831="","",'Global Precios'!K831)</f>
        <v/>
      </c>
      <c r="K829" s="30" t="str">
        <f>IF('Global Precios'!L831="","",'Global Precios'!L831)</f>
        <v/>
      </c>
      <c r="L829" s="18"/>
      <c r="M829" s="18"/>
      <c r="N829" s="18"/>
      <c r="O829" s="18"/>
      <c r="P829" s="18"/>
      <c r="Q829" s="18"/>
      <c r="R829" s="18" t="str">
        <f>IF('Global Precios'!F831="","",'Global Precios'!F831)</f>
        <v/>
      </c>
      <c r="S829" s="18"/>
      <c r="T829" s="18" t="str">
        <f>IF('Global Precios'!E831="","",'Global Precios'!E831)</f>
        <v/>
      </c>
      <c r="U829" s="18"/>
      <c r="V829" s="18" t="str">
        <f t="shared" si="2"/>
        <v/>
      </c>
      <c r="W829" s="18"/>
      <c r="X829" s="18"/>
      <c r="Y829" s="18"/>
      <c r="Z829" s="18"/>
      <c r="AA829" s="18"/>
      <c r="AB829" s="18" t="str">
        <f t="shared" si="3"/>
        <v/>
      </c>
      <c r="AC829" s="18" t="str">
        <f t="shared" si="4"/>
        <v/>
      </c>
      <c r="AD829" s="18" t="str">
        <f t="shared" si="5"/>
        <v/>
      </c>
      <c r="AE829" s="18" t="str">
        <f t="shared" si="6"/>
        <v/>
      </c>
    </row>
    <row r="830">
      <c r="A830" s="9" t="str">
        <f>IF(E830="","", IF('Global Precios'!B832="",0,'Global Precios'!B832))</f>
        <v/>
      </c>
      <c r="B830" s="14" t="str">
        <f>IF('Global Precios'!B832="","",'Global Precios'!B832)</f>
        <v/>
      </c>
      <c r="C830" s="18" t="str">
        <f>IF('Global Precios'!A832="","",'Global Precios'!A832)</f>
        <v/>
      </c>
      <c r="D830" s="18"/>
      <c r="E830" s="25" t="str">
        <f>IF('Global Precios'!D832="","",'Global Precios'!D832)</f>
        <v/>
      </c>
      <c r="F830" s="18"/>
      <c r="G830" s="25" t="str">
        <f t="shared" si="7"/>
        <v/>
      </c>
      <c r="H830" s="25" t="str">
        <f t="shared" si="1"/>
        <v/>
      </c>
      <c r="I830" s="30" t="str">
        <f>IF('Global Precios'!I832="","",'Global Precios'!I832)</f>
        <v/>
      </c>
      <c r="J830" s="18" t="str">
        <f>IF('Global Precios'!K832="","",'Global Precios'!K832)</f>
        <v/>
      </c>
      <c r="K830" s="30" t="str">
        <f>IF('Global Precios'!L832="","",'Global Precios'!L832)</f>
        <v/>
      </c>
      <c r="L830" s="18"/>
      <c r="M830" s="18"/>
      <c r="N830" s="18"/>
      <c r="O830" s="18"/>
      <c r="P830" s="18"/>
      <c r="Q830" s="18"/>
      <c r="R830" s="18" t="str">
        <f>IF('Global Precios'!F832="","",'Global Precios'!F832)</f>
        <v/>
      </c>
      <c r="S830" s="18"/>
      <c r="T830" s="18" t="str">
        <f>IF('Global Precios'!E832="","",'Global Precios'!E832)</f>
        <v/>
      </c>
      <c r="U830" s="18"/>
      <c r="V830" s="18" t="str">
        <f t="shared" si="2"/>
        <v/>
      </c>
      <c r="W830" s="18"/>
      <c r="X830" s="18"/>
      <c r="Y830" s="18"/>
      <c r="Z830" s="18"/>
      <c r="AA830" s="18"/>
      <c r="AB830" s="18" t="str">
        <f t="shared" si="3"/>
        <v/>
      </c>
      <c r="AC830" s="18" t="str">
        <f t="shared" si="4"/>
        <v/>
      </c>
      <c r="AD830" s="18" t="str">
        <f t="shared" si="5"/>
        <v/>
      </c>
      <c r="AE830" s="18" t="str">
        <f t="shared" si="6"/>
        <v/>
      </c>
    </row>
    <row r="831">
      <c r="A831" s="9" t="str">
        <f>IF(E831="","", IF('Global Precios'!B833="",0,'Global Precios'!B833))</f>
        <v/>
      </c>
      <c r="B831" s="14" t="str">
        <f>IF('Global Precios'!B833="","",'Global Precios'!B833)</f>
        <v/>
      </c>
      <c r="C831" s="18" t="str">
        <f>IF('Global Precios'!A833="","",'Global Precios'!A833)</f>
        <v/>
      </c>
      <c r="D831" s="18"/>
      <c r="E831" s="25" t="str">
        <f>IF('Global Precios'!D833="","",'Global Precios'!D833)</f>
        <v/>
      </c>
      <c r="F831" s="18"/>
      <c r="G831" s="25" t="str">
        <f t="shared" si="7"/>
        <v/>
      </c>
      <c r="H831" s="25" t="str">
        <f t="shared" si="1"/>
        <v/>
      </c>
      <c r="I831" s="30" t="str">
        <f>IF('Global Precios'!I833="","",'Global Precios'!I833)</f>
        <v/>
      </c>
      <c r="J831" s="18" t="str">
        <f>IF('Global Precios'!K833="","",'Global Precios'!K833)</f>
        <v/>
      </c>
      <c r="K831" s="30" t="str">
        <f>IF('Global Precios'!L833="","",'Global Precios'!L833)</f>
        <v/>
      </c>
      <c r="L831" s="18"/>
      <c r="M831" s="18"/>
      <c r="N831" s="18"/>
      <c r="O831" s="18"/>
      <c r="P831" s="18"/>
      <c r="Q831" s="18"/>
      <c r="R831" s="18" t="str">
        <f>IF('Global Precios'!F833="","",'Global Precios'!F833)</f>
        <v/>
      </c>
      <c r="S831" s="18"/>
      <c r="T831" s="18" t="str">
        <f>IF('Global Precios'!E833="","",'Global Precios'!E833)</f>
        <v/>
      </c>
      <c r="U831" s="18"/>
      <c r="V831" s="18" t="str">
        <f t="shared" si="2"/>
        <v/>
      </c>
      <c r="W831" s="18"/>
      <c r="X831" s="18"/>
      <c r="Y831" s="18"/>
      <c r="Z831" s="18"/>
      <c r="AA831" s="18"/>
      <c r="AB831" s="18" t="str">
        <f t="shared" si="3"/>
        <v/>
      </c>
      <c r="AC831" s="18" t="str">
        <f t="shared" si="4"/>
        <v/>
      </c>
      <c r="AD831" s="18" t="str">
        <f t="shared" si="5"/>
        <v/>
      </c>
      <c r="AE831" s="18" t="str">
        <f t="shared" si="6"/>
        <v/>
      </c>
    </row>
    <row r="832">
      <c r="A832" s="9" t="str">
        <f>IF(E832="","", IF('Global Precios'!B834="",0,'Global Precios'!B834))</f>
        <v/>
      </c>
      <c r="B832" s="14" t="str">
        <f>IF('Global Precios'!B834="","",'Global Precios'!B834)</f>
        <v/>
      </c>
      <c r="C832" s="18" t="str">
        <f>IF('Global Precios'!A834="","",'Global Precios'!A834)</f>
        <v/>
      </c>
      <c r="D832" s="18"/>
      <c r="E832" s="25" t="str">
        <f>IF('Global Precios'!D834="","",'Global Precios'!D834)</f>
        <v/>
      </c>
      <c r="F832" s="18"/>
      <c r="G832" s="25" t="str">
        <f t="shared" si="7"/>
        <v/>
      </c>
      <c r="H832" s="25" t="str">
        <f t="shared" si="1"/>
        <v/>
      </c>
      <c r="I832" s="30" t="str">
        <f>IF('Global Precios'!I834="","",'Global Precios'!I834)</f>
        <v/>
      </c>
      <c r="J832" s="18" t="str">
        <f>IF('Global Precios'!K834="","",'Global Precios'!K834)</f>
        <v/>
      </c>
      <c r="K832" s="30" t="str">
        <f>IF('Global Precios'!L834="","",'Global Precios'!L834)</f>
        <v/>
      </c>
      <c r="L832" s="18"/>
      <c r="M832" s="18"/>
      <c r="N832" s="18"/>
      <c r="O832" s="18"/>
      <c r="P832" s="18"/>
      <c r="Q832" s="18"/>
      <c r="R832" s="18" t="str">
        <f>IF('Global Precios'!F834="","",'Global Precios'!F834)</f>
        <v/>
      </c>
      <c r="S832" s="18"/>
      <c r="T832" s="18" t="str">
        <f>IF('Global Precios'!E834="","",'Global Precios'!E834)</f>
        <v/>
      </c>
      <c r="U832" s="18"/>
      <c r="V832" s="18" t="str">
        <f t="shared" si="2"/>
        <v/>
      </c>
      <c r="W832" s="18"/>
      <c r="X832" s="18"/>
      <c r="Y832" s="18"/>
      <c r="Z832" s="18"/>
      <c r="AA832" s="18"/>
      <c r="AB832" s="18" t="str">
        <f t="shared" si="3"/>
        <v/>
      </c>
      <c r="AC832" s="18" t="str">
        <f t="shared" si="4"/>
        <v/>
      </c>
      <c r="AD832" s="18" t="str">
        <f t="shared" si="5"/>
        <v/>
      </c>
      <c r="AE832" s="18" t="str">
        <f t="shared" si="6"/>
        <v/>
      </c>
    </row>
    <row r="833">
      <c r="A833" s="9" t="str">
        <f>IF(E833="","", IF('Global Precios'!B835="",0,'Global Precios'!B835))</f>
        <v/>
      </c>
      <c r="B833" s="14" t="str">
        <f>IF('Global Precios'!B835="","",'Global Precios'!B835)</f>
        <v/>
      </c>
      <c r="C833" s="18" t="str">
        <f>IF('Global Precios'!A835="","",'Global Precios'!A835)</f>
        <v/>
      </c>
      <c r="D833" s="18"/>
      <c r="E833" s="25" t="str">
        <f>IF('Global Precios'!D835="","",'Global Precios'!D835)</f>
        <v/>
      </c>
      <c r="F833" s="18"/>
      <c r="G833" s="25" t="str">
        <f t="shared" si="7"/>
        <v/>
      </c>
      <c r="H833" s="25" t="str">
        <f t="shared" si="1"/>
        <v/>
      </c>
      <c r="I833" s="30" t="str">
        <f>IF('Global Precios'!I835="","",'Global Precios'!I835)</f>
        <v/>
      </c>
      <c r="J833" s="18" t="str">
        <f>IF('Global Precios'!K835="","",'Global Precios'!K835)</f>
        <v/>
      </c>
      <c r="K833" s="30" t="str">
        <f>IF('Global Precios'!L835="","",'Global Precios'!L835)</f>
        <v/>
      </c>
      <c r="L833" s="18"/>
      <c r="M833" s="18"/>
      <c r="N833" s="18"/>
      <c r="O833" s="18"/>
      <c r="P833" s="18"/>
      <c r="Q833" s="18"/>
      <c r="R833" s="18" t="str">
        <f>IF('Global Precios'!F835="","",'Global Precios'!F835)</f>
        <v/>
      </c>
      <c r="S833" s="18"/>
      <c r="T833" s="18" t="str">
        <f>IF('Global Precios'!E835="","",'Global Precios'!E835)</f>
        <v/>
      </c>
      <c r="U833" s="18"/>
      <c r="V833" s="18" t="str">
        <f t="shared" si="2"/>
        <v/>
      </c>
      <c r="W833" s="18"/>
      <c r="X833" s="18"/>
      <c r="Y833" s="18"/>
      <c r="Z833" s="18"/>
      <c r="AA833" s="18"/>
      <c r="AB833" s="18" t="str">
        <f t="shared" si="3"/>
        <v/>
      </c>
      <c r="AC833" s="18" t="str">
        <f t="shared" si="4"/>
        <v/>
      </c>
      <c r="AD833" s="18" t="str">
        <f t="shared" si="5"/>
        <v/>
      </c>
      <c r="AE833" s="18" t="str">
        <f t="shared" si="6"/>
        <v/>
      </c>
    </row>
    <row r="834">
      <c r="A834" s="9" t="str">
        <f>IF(E834="","", IF('Global Precios'!B836="",0,'Global Precios'!B836))</f>
        <v/>
      </c>
      <c r="B834" s="14" t="str">
        <f>IF('Global Precios'!B836="","",'Global Precios'!B836)</f>
        <v/>
      </c>
      <c r="C834" s="18" t="str">
        <f>IF('Global Precios'!A836="","",'Global Precios'!A836)</f>
        <v/>
      </c>
      <c r="D834" s="18"/>
      <c r="E834" s="25" t="str">
        <f>IF('Global Precios'!D836="","",'Global Precios'!D836)</f>
        <v/>
      </c>
      <c r="F834" s="18"/>
      <c r="G834" s="25" t="str">
        <f t="shared" si="7"/>
        <v/>
      </c>
      <c r="H834" s="25" t="str">
        <f t="shared" si="1"/>
        <v/>
      </c>
      <c r="I834" s="30" t="str">
        <f>IF('Global Precios'!I836="","",'Global Precios'!I836)</f>
        <v/>
      </c>
      <c r="J834" s="18" t="str">
        <f>IF('Global Precios'!K836="","",'Global Precios'!K836)</f>
        <v/>
      </c>
      <c r="K834" s="30" t="str">
        <f>IF('Global Precios'!L836="","",'Global Precios'!L836)</f>
        <v/>
      </c>
      <c r="L834" s="18"/>
      <c r="M834" s="18"/>
      <c r="N834" s="18"/>
      <c r="O834" s="18"/>
      <c r="P834" s="18"/>
      <c r="Q834" s="18"/>
      <c r="R834" s="18" t="str">
        <f>IF('Global Precios'!F836="","",'Global Precios'!F836)</f>
        <v/>
      </c>
      <c r="S834" s="18"/>
      <c r="T834" s="18" t="str">
        <f>IF('Global Precios'!E836="","",'Global Precios'!E836)</f>
        <v/>
      </c>
      <c r="U834" s="18"/>
      <c r="V834" s="18" t="str">
        <f t="shared" si="2"/>
        <v/>
      </c>
      <c r="W834" s="18"/>
      <c r="X834" s="18"/>
      <c r="Y834" s="18"/>
      <c r="Z834" s="18"/>
      <c r="AA834" s="18"/>
      <c r="AB834" s="18" t="str">
        <f t="shared" si="3"/>
        <v/>
      </c>
      <c r="AC834" s="18" t="str">
        <f t="shared" si="4"/>
        <v/>
      </c>
      <c r="AD834" s="18" t="str">
        <f t="shared" si="5"/>
        <v/>
      </c>
      <c r="AE834" s="18" t="str">
        <f t="shared" si="6"/>
        <v/>
      </c>
    </row>
    <row r="835">
      <c r="A835" s="9" t="str">
        <f>IF(E835="","", IF('Global Precios'!B837="",0,'Global Precios'!B837))</f>
        <v/>
      </c>
      <c r="B835" s="14" t="str">
        <f>IF('Global Precios'!B837="","",'Global Precios'!B837)</f>
        <v/>
      </c>
      <c r="C835" s="18" t="str">
        <f>IF('Global Precios'!A837="","",'Global Precios'!A837)</f>
        <v/>
      </c>
      <c r="D835" s="18"/>
      <c r="E835" s="25" t="str">
        <f>IF('Global Precios'!D837="","",'Global Precios'!D837)</f>
        <v/>
      </c>
      <c r="F835" s="18"/>
      <c r="G835" s="25" t="str">
        <f t="shared" si="7"/>
        <v/>
      </c>
      <c r="H835" s="25" t="str">
        <f t="shared" si="1"/>
        <v/>
      </c>
      <c r="I835" s="30" t="str">
        <f>IF('Global Precios'!I837="","",'Global Precios'!I837)</f>
        <v/>
      </c>
      <c r="J835" s="18" t="str">
        <f>IF('Global Precios'!K837="","",'Global Precios'!K837)</f>
        <v/>
      </c>
      <c r="K835" s="30" t="str">
        <f>IF('Global Precios'!L837="","",'Global Precios'!L837)</f>
        <v/>
      </c>
      <c r="L835" s="18"/>
      <c r="M835" s="18"/>
      <c r="N835" s="18"/>
      <c r="O835" s="18"/>
      <c r="P835" s="18"/>
      <c r="Q835" s="18"/>
      <c r="R835" s="18" t="str">
        <f>IF('Global Precios'!F837="","",'Global Precios'!F837)</f>
        <v/>
      </c>
      <c r="S835" s="18"/>
      <c r="T835" s="18" t="str">
        <f>IF('Global Precios'!E837="","",'Global Precios'!E837)</f>
        <v/>
      </c>
      <c r="U835" s="18"/>
      <c r="V835" s="18" t="str">
        <f t="shared" si="2"/>
        <v/>
      </c>
      <c r="W835" s="18"/>
      <c r="X835" s="18"/>
      <c r="Y835" s="18"/>
      <c r="Z835" s="18"/>
      <c r="AA835" s="18"/>
      <c r="AB835" s="18" t="str">
        <f t="shared" si="3"/>
        <v/>
      </c>
      <c r="AC835" s="18" t="str">
        <f t="shared" si="4"/>
        <v/>
      </c>
      <c r="AD835" s="18" t="str">
        <f t="shared" si="5"/>
        <v/>
      </c>
      <c r="AE835" s="18" t="str">
        <f t="shared" si="6"/>
        <v/>
      </c>
    </row>
    <row r="836">
      <c r="A836" s="9" t="str">
        <f>IF(E836="","", IF('Global Precios'!B838="",0,'Global Precios'!B838))</f>
        <v/>
      </c>
      <c r="B836" s="14" t="str">
        <f>IF('Global Precios'!B838="","",'Global Precios'!B838)</f>
        <v/>
      </c>
      <c r="C836" s="18" t="str">
        <f>IF('Global Precios'!A838="","",'Global Precios'!A838)</f>
        <v/>
      </c>
      <c r="D836" s="18"/>
      <c r="E836" s="25" t="str">
        <f>IF('Global Precios'!D838="","",'Global Precios'!D838)</f>
        <v/>
      </c>
      <c r="F836" s="18"/>
      <c r="G836" s="25" t="str">
        <f t="shared" si="7"/>
        <v/>
      </c>
      <c r="H836" s="25" t="str">
        <f t="shared" si="1"/>
        <v/>
      </c>
      <c r="I836" s="30" t="str">
        <f>IF('Global Precios'!I838="","",'Global Precios'!I838)</f>
        <v/>
      </c>
      <c r="J836" s="18" t="str">
        <f>IF('Global Precios'!K838="","",'Global Precios'!K838)</f>
        <v/>
      </c>
      <c r="K836" s="30" t="str">
        <f>IF('Global Precios'!L838="","",'Global Precios'!L838)</f>
        <v/>
      </c>
      <c r="L836" s="18"/>
      <c r="M836" s="18"/>
      <c r="N836" s="18"/>
      <c r="O836" s="18"/>
      <c r="P836" s="18"/>
      <c r="Q836" s="18"/>
      <c r="R836" s="18" t="str">
        <f>IF('Global Precios'!F838="","",'Global Precios'!F838)</f>
        <v/>
      </c>
      <c r="S836" s="18"/>
      <c r="T836" s="18" t="str">
        <f>IF('Global Precios'!E838="","",'Global Precios'!E838)</f>
        <v/>
      </c>
      <c r="U836" s="18"/>
      <c r="V836" s="18" t="str">
        <f t="shared" si="2"/>
        <v/>
      </c>
      <c r="W836" s="18"/>
      <c r="X836" s="18"/>
      <c r="Y836" s="18"/>
      <c r="Z836" s="18"/>
      <c r="AA836" s="18"/>
      <c r="AB836" s="18" t="str">
        <f t="shared" si="3"/>
        <v/>
      </c>
      <c r="AC836" s="18" t="str">
        <f t="shared" si="4"/>
        <v/>
      </c>
      <c r="AD836" s="18" t="str">
        <f t="shared" si="5"/>
        <v/>
      </c>
      <c r="AE836" s="18" t="str">
        <f t="shared" si="6"/>
        <v/>
      </c>
    </row>
    <row r="837">
      <c r="A837" s="9" t="str">
        <f>IF(E837="","", IF('Global Precios'!B839="",0,'Global Precios'!B839))</f>
        <v/>
      </c>
      <c r="B837" s="14" t="str">
        <f>IF('Global Precios'!B839="","",'Global Precios'!B839)</f>
        <v/>
      </c>
      <c r="C837" s="18" t="str">
        <f>IF('Global Precios'!A839="","",'Global Precios'!A839)</f>
        <v/>
      </c>
      <c r="D837" s="18"/>
      <c r="E837" s="25" t="str">
        <f>IF('Global Precios'!D839="","",'Global Precios'!D839)</f>
        <v/>
      </c>
      <c r="F837" s="18"/>
      <c r="G837" s="25" t="str">
        <f t="shared" si="7"/>
        <v/>
      </c>
      <c r="H837" s="25" t="str">
        <f t="shared" si="1"/>
        <v/>
      </c>
      <c r="I837" s="30" t="str">
        <f>IF('Global Precios'!I839="","",'Global Precios'!I839)</f>
        <v/>
      </c>
      <c r="J837" s="18" t="str">
        <f>IF('Global Precios'!K839="","",'Global Precios'!K839)</f>
        <v/>
      </c>
      <c r="K837" s="30" t="str">
        <f>IF('Global Precios'!L839="","",'Global Precios'!L839)</f>
        <v/>
      </c>
      <c r="L837" s="18"/>
      <c r="M837" s="18"/>
      <c r="N837" s="18"/>
      <c r="O837" s="18"/>
      <c r="P837" s="18"/>
      <c r="Q837" s="18"/>
      <c r="R837" s="18" t="str">
        <f>IF('Global Precios'!F839="","",'Global Precios'!F839)</f>
        <v/>
      </c>
      <c r="S837" s="18"/>
      <c r="T837" s="18" t="str">
        <f>IF('Global Precios'!E839="","",'Global Precios'!E839)</f>
        <v/>
      </c>
      <c r="U837" s="18"/>
      <c r="V837" s="18" t="str">
        <f t="shared" si="2"/>
        <v/>
      </c>
      <c r="W837" s="18"/>
      <c r="X837" s="18"/>
      <c r="Y837" s="18"/>
      <c r="Z837" s="18"/>
      <c r="AA837" s="18"/>
      <c r="AB837" s="18" t="str">
        <f t="shared" si="3"/>
        <v/>
      </c>
      <c r="AC837" s="18" t="str">
        <f t="shared" si="4"/>
        <v/>
      </c>
      <c r="AD837" s="18" t="str">
        <f t="shared" si="5"/>
        <v/>
      </c>
      <c r="AE837" s="18" t="str">
        <f t="shared" si="6"/>
        <v/>
      </c>
    </row>
    <row r="838">
      <c r="A838" s="9" t="str">
        <f>IF(E838="","", IF('Global Precios'!B840="",0,'Global Precios'!B840))</f>
        <v/>
      </c>
      <c r="B838" s="14" t="str">
        <f>IF('Global Precios'!B840="","",'Global Precios'!B840)</f>
        <v/>
      </c>
      <c r="C838" s="18" t="str">
        <f>IF('Global Precios'!A840="","",'Global Precios'!A840)</f>
        <v/>
      </c>
      <c r="D838" s="18"/>
      <c r="E838" s="25" t="str">
        <f>IF('Global Precios'!D840="","",'Global Precios'!D840)</f>
        <v/>
      </c>
      <c r="F838" s="18"/>
      <c r="G838" s="25" t="str">
        <f t="shared" si="7"/>
        <v/>
      </c>
      <c r="H838" s="25" t="str">
        <f t="shared" si="1"/>
        <v/>
      </c>
      <c r="I838" s="30" t="str">
        <f>IF('Global Precios'!I840="","",'Global Precios'!I840)</f>
        <v/>
      </c>
      <c r="J838" s="18" t="str">
        <f>IF('Global Precios'!K840="","",'Global Precios'!K840)</f>
        <v/>
      </c>
      <c r="K838" s="30" t="str">
        <f>IF('Global Precios'!L840="","",'Global Precios'!L840)</f>
        <v/>
      </c>
      <c r="L838" s="18"/>
      <c r="M838" s="18"/>
      <c r="N838" s="18"/>
      <c r="O838" s="18"/>
      <c r="P838" s="18"/>
      <c r="Q838" s="18"/>
      <c r="R838" s="18" t="str">
        <f>IF('Global Precios'!F840="","",'Global Precios'!F840)</f>
        <v/>
      </c>
      <c r="S838" s="18"/>
      <c r="T838" s="18" t="str">
        <f>IF('Global Precios'!E840="","",'Global Precios'!E840)</f>
        <v/>
      </c>
      <c r="U838" s="18"/>
      <c r="V838" s="18" t="str">
        <f t="shared" si="2"/>
        <v/>
      </c>
      <c r="W838" s="18"/>
      <c r="X838" s="18"/>
      <c r="Y838" s="18"/>
      <c r="Z838" s="18"/>
      <c r="AA838" s="18"/>
      <c r="AB838" s="18" t="str">
        <f t="shared" si="3"/>
        <v/>
      </c>
      <c r="AC838" s="18" t="str">
        <f t="shared" si="4"/>
        <v/>
      </c>
      <c r="AD838" s="18" t="str">
        <f t="shared" si="5"/>
        <v/>
      </c>
      <c r="AE838" s="18" t="str">
        <f t="shared" si="6"/>
        <v/>
      </c>
    </row>
    <row r="839">
      <c r="A839" s="9" t="str">
        <f>IF(E839="","", IF('Global Precios'!B841="",0,'Global Precios'!B841))</f>
        <v/>
      </c>
      <c r="B839" s="14" t="str">
        <f>IF('Global Precios'!B841="","",'Global Precios'!B841)</f>
        <v/>
      </c>
      <c r="C839" s="18" t="str">
        <f>IF('Global Precios'!A841="","",'Global Precios'!A841)</f>
        <v/>
      </c>
      <c r="D839" s="18"/>
      <c r="E839" s="25" t="str">
        <f>IF('Global Precios'!D841="","",'Global Precios'!D841)</f>
        <v/>
      </c>
      <c r="F839" s="18"/>
      <c r="G839" s="25" t="str">
        <f t="shared" si="7"/>
        <v/>
      </c>
      <c r="H839" s="25" t="str">
        <f t="shared" si="1"/>
        <v/>
      </c>
      <c r="I839" s="30" t="str">
        <f>IF('Global Precios'!I841="","",'Global Precios'!I841)</f>
        <v/>
      </c>
      <c r="J839" s="18" t="str">
        <f>IF('Global Precios'!K841="","",'Global Precios'!K841)</f>
        <v/>
      </c>
      <c r="K839" s="30" t="str">
        <f>IF('Global Precios'!L841="","",'Global Precios'!L841)</f>
        <v/>
      </c>
      <c r="L839" s="18"/>
      <c r="M839" s="18"/>
      <c r="N839" s="18"/>
      <c r="O839" s="18"/>
      <c r="P839" s="18"/>
      <c r="Q839" s="18"/>
      <c r="R839" s="18" t="str">
        <f>IF('Global Precios'!F841="","",'Global Precios'!F841)</f>
        <v/>
      </c>
      <c r="S839" s="18"/>
      <c r="T839" s="18" t="str">
        <f>IF('Global Precios'!E841="","",'Global Precios'!E841)</f>
        <v/>
      </c>
      <c r="U839" s="18"/>
      <c r="V839" s="18" t="str">
        <f t="shared" si="2"/>
        <v/>
      </c>
      <c r="W839" s="18"/>
      <c r="X839" s="18"/>
      <c r="Y839" s="18"/>
      <c r="Z839" s="18"/>
      <c r="AA839" s="18"/>
      <c r="AB839" s="18" t="str">
        <f t="shared" si="3"/>
        <v/>
      </c>
      <c r="AC839" s="18" t="str">
        <f t="shared" si="4"/>
        <v/>
      </c>
      <c r="AD839" s="18" t="str">
        <f t="shared" si="5"/>
        <v/>
      </c>
      <c r="AE839" s="18" t="str">
        <f t="shared" si="6"/>
        <v/>
      </c>
    </row>
    <row r="840">
      <c r="A840" s="9" t="str">
        <f>IF(E840="","", IF('Global Precios'!B842="",0,'Global Precios'!B842))</f>
        <v/>
      </c>
      <c r="B840" s="14" t="str">
        <f>IF('Global Precios'!B842="","",'Global Precios'!B842)</f>
        <v/>
      </c>
      <c r="C840" s="18" t="str">
        <f>IF('Global Precios'!A842="","",'Global Precios'!A842)</f>
        <v/>
      </c>
      <c r="D840" s="18"/>
      <c r="E840" s="25" t="str">
        <f>IF('Global Precios'!D842="","",'Global Precios'!D842)</f>
        <v/>
      </c>
      <c r="F840" s="18"/>
      <c r="G840" s="25" t="str">
        <f t="shared" si="7"/>
        <v/>
      </c>
      <c r="H840" s="25" t="str">
        <f t="shared" si="1"/>
        <v/>
      </c>
      <c r="I840" s="30" t="str">
        <f>IF('Global Precios'!I842="","",'Global Precios'!I842)</f>
        <v/>
      </c>
      <c r="J840" s="18" t="str">
        <f>IF('Global Precios'!K842="","",'Global Precios'!K842)</f>
        <v/>
      </c>
      <c r="K840" s="30" t="str">
        <f>IF('Global Precios'!L842="","",'Global Precios'!L842)</f>
        <v/>
      </c>
      <c r="L840" s="18"/>
      <c r="M840" s="18"/>
      <c r="N840" s="18"/>
      <c r="O840" s="18"/>
      <c r="P840" s="18"/>
      <c r="Q840" s="18"/>
      <c r="R840" s="18" t="str">
        <f>IF('Global Precios'!F842="","",'Global Precios'!F842)</f>
        <v/>
      </c>
      <c r="S840" s="18"/>
      <c r="T840" s="18" t="str">
        <f>IF('Global Precios'!E842="","",'Global Precios'!E842)</f>
        <v/>
      </c>
      <c r="U840" s="18"/>
      <c r="V840" s="18" t="str">
        <f t="shared" si="2"/>
        <v/>
      </c>
      <c r="W840" s="18"/>
      <c r="X840" s="18"/>
      <c r="Y840" s="18"/>
      <c r="Z840" s="18"/>
      <c r="AA840" s="18"/>
      <c r="AB840" s="18" t="str">
        <f t="shared" si="3"/>
        <v/>
      </c>
      <c r="AC840" s="18" t="str">
        <f t="shared" si="4"/>
        <v/>
      </c>
      <c r="AD840" s="18" t="str">
        <f t="shared" si="5"/>
        <v/>
      </c>
      <c r="AE840" s="18" t="str">
        <f t="shared" si="6"/>
        <v/>
      </c>
    </row>
    <row r="841">
      <c r="A841" s="9" t="str">
        <f>IF(E841="","", IF('Global Precios'!B843="",0,'Global Precios'!B843))</f>
        <v/>
      </c>
      <c r="B841" s="14" t="str">
        <f>IF('Global Precios'!B843="","",'Global Precios'!B843)</f>
        <v/>
      </c>
      <c r="C841" s="18" t="str">
        <f>IF('Global Precios'!A843="","",'Global Precios'!A843)</f>
        <v/>
      </c>
      <c r="D841" s="18"/>
      <c r="E841" s="25" t="str">
        <f>IF('Global Precios'!D843="","",'Global Precios'!D843)</f>
        <v/>
      </c>
      <c r="F841" s="18"/>
      <c r="G841" s="25" t="str">
        <f t="shared" si="7"/>
        <v/>
      </c>
      <c r="H841" s="25" t="str">
        <f t="shared" si="1"/>
        <v/>
      </c>
      <c r="I841" s="30" t="str">
        <f>IF('Global Precios'!I843="","",'Global Precios'!I843)</f>
        <v/>
      </c>
      <c r="J841" s="18" t="str">
        <f>IF('Global Precios'!K843="","",'Global Precios'!K843)</f>
        <v/>
      </c>
      <c r="K841" s="30" t="str">
        <f>IF('Global Precios'!L843="","",'Global Precios'!L843)</f>
        <v/>
      </c>
      <c r="L841" s="18"/>
      <c r="M841" s="18"/>
      <c r="N841" s="18"/>
      <c r="O841" s="18"/>
      <c r="P841" s="18"/>
      <c r="Q841" s="18"/>
      <c r="R841" s="18" t="str">
        <f>IF('Global Precios'!F843="","",'Global Precios'!F843)</f>
        <v/>
      </c>
      <c r="S841" s="18"/>
      <c r="T841" s="18" t="str">
        <f>IF('Global Precios'!E843="","",'Global Precios'!E843)</f>
        <v/>
      </c>
      <c r="U841" s="18"/>
      <c r="V841" s="18" t="str">
        <f t="shared" si="2"/>
        <v/>
      </c>
      <c r="W841" s="18"/>
      <c r="X841" s="18"/>
      <c r="Y841" s="18"/>
      <c r="Z841" s="18"/>
      <c r="AA841" s="18"/>
      <c r="AB841" s="18" t="str">
        <f t="shared" si="3"/>
        <v/>
      </c>
      <c r="AC841" s="18" t="str">
        <f t="shared" si="4"/>
        <v/>
      </c>
      <c r="AD841" s="18" t="str">
        <f t="shared" si="5"/>
        <v/>
      </c>
      <c r="AE841" s="18" t="str">
        <f t="shared" si="6"/>
        <v/>
      </c>
    </row>
    <row r="842">
      <c r="A842" s="9" t="str">
        <f>IF(E842="","", IF('Global Precios'!B844="",0,'Global Precios'!B844))</f>
        <v/>
      </c>
      <c r="B842" s="14" t="str">
        <f>IF('Global Precios'!B844="","",'Global Precios'!B844)</f>
        <v/>
      </c>
      <c r="C842" s="18" t="str">
        <f>IF('Global Precios'!A844="","",'Global Precios'!A844)</f>
        <v/>
      </c>
      <c r="D842" s="18"/>
      <c r="E842" s="25" t="str">
        <f>IF('Global Precios'!D844="","",'Global Precios'!D844)</f>
        <v/>
      </c>
      <c r="F842" s="18"/>
      <c r="G842" s="25" t="str">
        <f t="shared" si="7"/>
        <v/>
      </c>
      <c r="H842" s="25" t="str">
        <f t="shared" si="1"/>
        <v/>
      </c>
      <c r="I842" s="30" t="str">
        <f>IF('Global Precios'!I844="","",'Global Precios'!I844)</f>
        <v/>
      </c>
      <c r="J842" s="18" t="str">
        <f>IF('Global Precios'!K844="","",'Global Precios'!K844)</f>
        <v/>
      </c>
      <c r="K842" s="30" t="str">
        <f>IF('Global Precios'!L844="","",'Global Precios'!L844)</f>
        <v/>
      </c>
      <c r="L842" s="18"/>
      <c r="M842" s="18"/>
      <c r="N842" s="18"/>
      <c r="O842" s="18"/>
      <c r="P842" s="18"/>
      <c r="Q842" s="18"/>
      <c r="R842" s="18" t="str">
        <f>IF('Global Precios'!F844="","",'Global Precios'!F844)</f>
        <v/>
      </c>
      <c r="S842" s="18"/>
      <c r="T842" s="18" t="str">
        <f>IF('Global Precios'!E844="","",'Global Precios'!E844)</f>
        <v/>
      </c>
      <c r="U842" s="18"/>
      <c r="V842" s="18" t="str">
        <f t="shared" si="2"/>
        <v/>
      </c>
      <c r="W842" s="18"/>
      <c r="X842" s="18"/>
      <c r="Y842" s="18"/>
      <c r="Z842" s="18"/>
      <c r="AA842" s="18"/>
      <c r="AB842" s="18" t="str">
        <f t="shared" si="3"/>
        <v/>
      </c>
      <c r="AC842" s="18" t="str">
        <f t="shared" si="4"/>
        <v/>
      </c>
      <c r="AD842" s="18" t="str">
        <f t="shared" si="5"/>
        <v/>
      </c>
      <c r="AE842" s="18" t="str">
        <f t="shared" si="6"/>
        <v/>
      </c>
    </row>
    <row r="843">
      <c r="A843" s="9" t="str">
        <f>IF(E843="","", IF('Global Precios'!B845="",0,'Global Precios'!B845))</f>
        <v/>
      </c>
      <c r="B843" s="14" t="str">
        <f>IF('Global Precios'!B845="","",'Global Precios'!B845)</f>
        <v/>
      </c>
      <c r="C843" s="18" t="str">
        <f>IF('Global Precios'!A845="","",'Global Precios'!A845)</f>
        <v/>
      </c>
      <c r="D843" s="18"/>
      <c r="E843" s="25" t="str">
        <f>IF('Global Precios'!D845="","",'Global Precios'!D845)</f>
        <v/>
      </c>
      <c r="F843" s="18"/>
      <c r="G843" s="25" t="str">
        <f t="shared" si="7"/>
        <v/>
      </c>
      <c r="H843" s="25" t="str">
        <f t="shared" si="1"/>
        <v/>
      </c>
      <c r="I843" s="30" t="str">
        <f>IF('Global Precios'!I845="","",'Global Precios'!I845)</f>
        <v/>
      </c>
      <c r="J843" s="18" t="str">
        <f>IF('Global Precios'!K845="","",'Global Precios'!K845)</f>
        <v/>
      </c>
      <c r="K843" s="30" t="str">
        <f>IF('Global Precios'!L845="","",'Global Precios'!L845)</f>
        <v/>
      </c>
      <c r="L843" s="18"/>
      <c r="M843" s="18"/>
      <c r="N843" s="18"/>
      <c r="O843" s="18"/>
      <c r="P843" s="18"/>
      <c r="Q843" s="18"/>
      <c r="R843" s="18" t="str">
        <f>IF('Global Precios'!F845="","",'Global Precios'!F845)</f>
        <v/>
      </c>
      <c r="S843" s="18"/>
      <c r="T843" s="18" t="str">
        <f>IF('Global Precios'!E845="","",'Global Precios'!E845)</f>
        <v/>
      </c>
      <c r="U843" s="18"/>
      <c r="V843" s="18" t="str">
        <f t="shared" si="2"/>
        <v/>
      </c>
      <c r="W843" s="18"/>
      <c r="X843" s="18"/>
      <c r="Y843" s="18"/>
      <c r="Z843" s="18"/>
      <c r="AA843" s="18"/>
      <c r="AB843" s="18" t="str">
        <f t="shared" si="3"/>
        <v/>
      </c>
      <c r="AC843" s="18" t="str">
        <f t="shared" si="4"/>
        <v/>
      </c>
      <c r="AD843" s="18" t="str">
        <f t="shared" si="5"/>
        <v/>
      </c>
      <c r="AE843" s="18" t="str">
        <f t="shared" si="6"/>
        <v/>
      </c>
    </row>
    <row r="844">
      <c r="A844" s="9" t="str">
        <f>IF(E844="","", IF('Global Precios'!B846="",0,'Global Precios'!B846))</f>
        <v/>
      </c>
      <c r="B844" s="14" t="str">
        <f>IF('Global Precios'!B846="","",'Global Precios'!B846)</f>
        <v/>
      </c>
      <c r="C844" s="18" t="str">
        <f>IF('Global Precios'!A846="","",'Global Precios'!A846)</f>
        <v/>
      </c>
      <c r="D844" s="18"/>
      <c r="E844" s="25" t="str">
        <f>IF('Global Precios'!D846="","",'Global Precios'!D846)</f>
        <v/>
      </c>
      <c r="F844" s="18"/>
      <c r="G844" s="25" t="str">
        <f t="shared" si="7"/>
        <v/>
      </c>
      <c r="H844" s="25" t="str">
        <f t="shared" si="1"/>
        <v/>
      </c>
      <c r="I844" s="30" t="str">
        <f>IF('Global Precios'!I846="","",'Global Precios'!I846)</f>
        <v/>
      </c>
      <c r="J844" s="18" t="str">
        <f>IF('Global Precios'!K846="","",'Global Precios'!K846)</f>
        <v/>
      </c>
      <c r="K844" s="30" t="str">
        <f>IF('Global Precios'!L846="","",'Global Precios'!L846)</f>
        <v/>
      </c>
      <c r="L844" s="18"/>
      <c r="M844" s="18"/>
      <c r="N844" s="18"/>
      <c r="O844" s="18"/>
      <c r="P844" s="18"/>
      <c r="Q844" s="18"/>
      <c r="R844" s="18" t="str">
        <f>IF('Global Precios'!F846="","",'Global Precios'!F846)</f>
        <v/>
      </c>
      <c r="S844" s="18"/>
      <c r="T844" s="18" t="str">
        <f>IF('Global Precios'!E846="","",'Global Precios'!E846)</f>
        <v/>
      </c>
      <c r="U844" s="18"/>
      <c r="V844" s="18" t="str">
        <f t="shared" si="2"/>
        <v/>
      </c>
      <c r="W844" s="18"/>
      <c r="X844" s="18"/>
      <c r="Y844" s="18"/>
      <c r="Z844" s="18"/>
      <c r="AA844" s="18"/>
      <c r="AB844" s="18" t="str">
        <f t="shared" si="3"/>
        <v/>
      </c>
      <c r="AC844" s="18" t="str">
        <f t="shared" si="4"/>
        <v/>
      </c>
      <c r="AD844" s="18" t="str">
        <f t="shared" si="5"/>
        <v/>
      </c>
      <c r="AE844" s="18" t="str">
        <f t="shared" si="6"/>
        <v/>
      </c>
    </row>
    <row r="845">
      <c r="A845" s="9" t="str">
        <f>IF(E845="","", IF('Global Precios'!B847="",0,'Global Precios'!B847))</f>
        <v/>
      </c>
      <c r="B845" s="14" t="str">
        <f>IF('Global Precios'!B847="","",'Global Precios'!B847)</f>
        <v/>
      </c>
      <c r="C845" s="18" t="str">
        <f>IF('Global Precios'!A847="","",'Global Precios'!A847)</f>
        <v/>
      </c>
      <c r="D845" s="18"/>
      <c r="E845" s="25" t="str">
        <f>IF('Global Precios'!D847="","",'Global Precios'!D847)</f>
        <v/>
      </c>
      <c r="F845" s="18"/>
      <c r="G845" s="25" t="str">
        <f t="shared" si="7"/>
        <v/>
      </c>
      <c r="H845" s="25" t="str">
        <f t="shared" si="1"/>
        <v/>
      </c>
      <c r="I845" s="30" t="str">
        <f>IF('Global Precios'!I847="","",'Global Precios'!I847)</f>
        <v/>
      </c>
      <c r="J845" s="18" t="str">
        <f>IF('Global Precios'!K847="","",'Global Precios'!K847)</f>
        <v/>
      </c>
      <c r="K845" s="30" t="str">
        <f>IF('Global Precios'!L847="","",'Global Precios'!L847)</f>
        <v/>
      </c>
      <c r="L845" s="18"/>
      <c r="M845" s="18"/>
      <c r="N845" s="18"/>
      <c r="O845" s="18"/>
      <c r="P845" s="18"/>
      <c r="Q845" s="18"/>
      <c r="R845" s="18" t="str">
        <f>IF('Global Precios'!F847="","",'Global Precios'!F847)</f>
        <v/>
      </c>
      <c r="S845" s="18"/>
      <c r="T845" s="18" t="str">
        <f>IF('Global Precios'!E847="","",'Global Precios'!E847)</f>
        <v/>
      </c>
      <c r="U845" s="18"/>
      <c r="V845" s="18" t="str">
        <f t="shared" si="2"/>
        <v/>
      </c>
      <c r="W845" s="18"/>
      <c r="X845" s="18"/>
      <c r="Y845" s="18"/>
      <c r="Z845" s="18"/>
      <c r="AA845" s="18"/>
      <c r="AB845" s="18" t="str">
        <f t="shared" si="3"/>
        <v/>
      </c>
      <c r="AC845" s="18" t="str">
        <f t="shared" si="4"/>
        <v/>
      </c>
      <c r="AD845" s="18" t="str">
        <f t="shared" si="5"/>
        <v/>
      </c>
      <c r="AE845" s="18" t="str">
        <f t="shared" si="6"/>
        <v/>
      </c>
    </row>
    <row r="846">
      <c r="A846" s="9" t="str">
        <f>IF(E846="","", IF('Global Precios'!B848="",0,'Global Precios'!B848))</f>
        <v/>
      </c>
      <c r="B846" s="14" t="str">
        <f>IF('Global Precios'!B848="","",'Global Precios'!B848)</f>
        <v/>
      </c>
      <c r="C846" s="18" t="str">
        <f>IF('Global Precios'!A848="","",'Global Precios'!A848)</f>
        <v/>
      </c>
      <c r="D846" s="18"/>
      <c r="E846" s="25" t="str">
        <f>IF('Global Precios'!D848="","",'Global Precios'!D848)</f>
        <v/>
      </c>
      <c r="F846" s="18"/>
      <c r="G846" s="25" t="str">
        <f t="shared" si="7"/>
        <v/>
      </c>
      <c r="H846" s="25" t="str">
        <f t="shared" si="1"/>
        <v/>
      </c>
      <c r="I846" s="30" t="str">
        <f>IF('Global Precios'!I848="","",'Global Precios'!I848)</f>
        <v/>
      </c>
      <c r="J846" s="18" t="str">
        <f>IF('Global Precios'!K848="","",'Global Precios'!K848)</f>
        <v/>
      </c>
      <c r="K846" s="30" t="str">
        <f>IF('Global Precios'!L848="","",'Global Precios'!L848)</f>
        <v/>
      </c>
      <c r="L846" s="18"/>
      <c r="M846" s="18"/>
      <c r="N846" s="18"/>
      <c r="O846" s="18"/>
      <c r="P846" s="18"/>
      <c r="Q846" s="18"/>
      <c r="R846" s="18" t="str">
        <f>IF('Global Precios'!F848="","",'Global Precios'!F848)</f>
        <v/>
      </c>
      <c r="S846" s="18"/>
      <c r="T846" s="18" t="str">
        <f>IF('Global Precios'!E848="","",'Global Precios'!E848)</f>
        <v/>
      </c>
      <c r="U846" s="18"/>
      <c r="V846" s="18" t="str">
        <f t="shared" si="2"/>
        <v/>
      </c>
      <c r="W846" s="18"/>
      <c r="X846" s="18"/>
      <c r="Y846" s="18"/>
      <c r="Z846" s="18"/>
      <c r="AA846" s="18"/>
      <c r="AB846" s="18" t="str">
        <f t="shared" si="3"/>
        <v/>
      </c>
      <c r="AC846" s="18" t="str">
        <f t="shared" si="4"/>
        <v/>
      </c>
      <c r="AD846" s="18" t="str">
        <f t="shared" si="5"/>
        <v/>
      </c>
      <c r="AE846" s="18" t="str">
        <f t="shared" si="6"/>
        <v/>
      </c>
    </row>
    <row r="847">
      <c r="A847" s="9" t="str">
        <f>IF(E847="","", IF('Global Precios'!B849="",0,'Global Precios'!B849))</f>
        <v/>
      </c>
      <c r="B847" s="14" t="str">
        <f>IF('Global Precios'!B849="","",'Global Precios'!B849)</f>
        <v/>
      </c>
      <c r="C847" s="18" t="str">
        <f>IF('Global Precios'!A849="","",'Global Precios'!A849)</f>
        <v/>
      </c>
      <c r="D847" s="18"/>
      <c r="E847" s="25" t="str">
        <f>IF('Global Precios'!D849="","",'Global Precios'!D849)</f>
        <v/>
      </c>
      <c r="F847" s="18"/>
      <c r="G847" s="25" t="str">
        <f t="shared" si="7"/>
        <v/>
      </c>
      <c r="H847" s="25" t="str">
        <f t="shared" si="1"/>
        <v/>
      </c>
      <c r="I847" s="30" t="str">
        <f>IF('Global Precios'!I849="","",'Global Precios'!I849)</f>
        <v/>
      </c>
      <c r="J847" s="18" t="str">
        <f>IF('Global Precios'!K849="","",'Global Precios'!K849)</f>
        <v/>
      </c>
      <c r="K847" s="30" t="str">
        <f>IF('Global Precios'!L849="","",'Global Precios'!L849)</f>
        <v/>
      </c>
      <c r="L847" s="18"/>
      <c r="M847" s="18"/>
      <c r="N847" s="18"/>
      <c r="O847" s="18"/>
      <c r="P847" s="18"/>
      <c r="Q847" s="18"/>
      <c r="R847" s="18" t="str">
        <f>IF('Global Precios'!F849="","",'Global Precios'!F849)</f>
        <v/>
      </c>
      <c r="S847" s="18"/>
      <c r="T847" s="18" t="str">
        <f>IF('Global Precios'!E849="","",'Global Precios'!E849)</f>
        <v/>
      </c>
      <c r="U847" s="18"/>
      <c r="V847" s="18" t="str">
        <f t="shared" si="2"/>
        <v/>
      </c>
      <c r="W847" s="18"/>
      <c r="X847" s="18"/>
      <c r="Y847" s="18"/>
      <c r="Z847" s="18"/>
      <c r="AA847" s="18"/>
      <c r="AB847" s="18" t="str">
        <f t="shared" si="3"/>
        <v/>
      </c>
      <c r="AC847" s="18" t="str">
        <f t="shared" si="4"/>
        <v/>
      </c>
      <c r="AD847" s="18" t="str">
        <f t="shared" si="5"/>
        <v/>
      </c>
      <c r="AE847" s="18" t="str">
        <f t="shared" si="6"/>
        <v/>
      </c>
    </row>
    <row r="848">
      <c r="A848" s="9" t="str">
        <f>IF(E848="","", IF('Global Precios'!B850="",0,'Global Precios'!B850))</f>
        <v/>
      </c>
      <c r="B848" s="14" t="str">
        <f>IF('Global Precios'!B850="","",'Global Precios'!B850)</f>
        <v/>
      </c>
      <c r="C848" s="18" t="str">
        <f>IF('Global Precios'!A850="","",'Global Precios'!A850)</f>
        <v/>
      </c>
      <c r="D848" s="18"/>
      <c r="E848" s="25" t="str">
        <f>IF('Global Precios'!D850="","",'Global Precios'!D850)</f>
        <v/>
      </c>
      <c r="F848" s="18"/>
      <c r="G848" s="25" t="str">
        <f t="shared" si="7"/>
        <v/>
      </c>
      <c r="H848" s="25" t="str">
        <f t="shared" si="1"/>
        <v/>
      </c>
      <c r="I848" s="30" t="str">
        <f>IF('Global Precios'!I850="","",'Global Precios'!I850)</f>
        <v/>
      </c>
      <c r="J848" s="18" t="str">
        <f>IF('Global Precios'!K850="","",'Global Precios'!K850)</f>
        <v/>
      </c>
      <c r="K848" s="30" t="str">
        <f>IF('Global Precios'!L850="","",'Global Precios'!L850)</f>
        <v/>
      </c>
      <c r="L848" s="18"/>
      <c r="M848" s="18"/>
      <c r="N848" s="18"/>
      <c r="O848" s="18"/>
      <c r="P848" s="18"/>
      <c r="Q848" s="18"/>
      <c r="R848" s="18" t="str">
        <f>IF('Global Precios'!F850="","",'Global Precios'!F850)</f>
        <v/>
      </c>
      <c r="S848" s="18"/>
      <c r="T848" s="18" t="str">
        <f>IF('Global Precios'!E850="","",'Global Precios'!E850)</f>
        <v/>
      </c>
      <c r="U848" s="18"/>
      <c r="V848" s="18" t="str">
        <f t="shared" si="2"/>
        <v/>
      </c>
      <c r="W848" s="18"/>
      <c r="X848" s="18"/>
      <c r="Y848" s="18"/>
      <c r="Z848" s="18"/>
      <c r="AA848" s="18"/>
      <c r="AB848" s="18" t="str">
        <f t="shared" si="3"/>
        <v/>
      </c>
      <c r="AC848" s="18" t="str">
        <f t="shared" si="4"/>
        <v/>
      </c>
      <c r="AD848" s="18" t="str">
        <f t="shared" si="5"/>
        <v/>
      </c>
      <c r="AE848" s="18" t="str">
        <f t="shared" si="6"/>
        <v/>
      </c>
    </row>
    <row r="849">
      <c r="A849" s="9" t="str">
        <f>IF(E849="","", IF('Global Precios'!B851="",0,'Global Precios'!B851))</f>
        <v/>
      </c>
      <c r="B849" s="14" t="str">
        <f>IF('Global Precios'!B851="","",'Global Precios'!B851)</f>
        <v/>
      </c>
      <c r="C849" s="18" t="str">
        <f>IF('Global Precios'!A851="","",'Global Precios'!A851)</f>
        <v/>
      </c>
      <c r="D849" s="18"/>
      <c r="E849" s="25" t="str">
        <f>IF('Global Precios'!D851="","",'Global Precios'!D851)</f>
        <v/>
      </c>
      <c r="F849" s="18"/>
      <c r="G849" s="25" t="str">
        <f t="shared" si="7"/>
        <v/>
      </c>
      <c r="H849" s="25" t="str">
        <f t="shared" si="1"/>
        <v/>
      </c>
      <c r="I849" s="30" t="str">
        <f>IF('Global Precios'!I851="","",'Global Precios'!I851)</f>
        <v/>
      </c>
      <c r="J849" s="18" t="str">
        <f>IF('Global Precios'!K851="","",'Global Precios'!K851)</f>
        <v/>
      </c>
      <c r="K849" s="30" t="str">
        <f>IF('Global Precios'!L851="","",'Global Precios'!L851)</f>
        <v/>
      </c>
      <c r="L849" s="18"/>
      <c r="M849" s="18"/>
      <c r="N849" s="18"/>
      <c r="O849" s="18"/>
      <c r="P849" s="18"/>
      <c r="Q849" s="18"/>
      <c r="R849" s="18" t="str">
        <f>IF('Global Precios'!F851="","",'Global Precios'!F851)</f>
        <v/>
      </c>
      <c r="S849" s="18"/>
      <c r="T849" s="18" t="str">
        <f>IF('Global Precios'!E851="","",'Global Precios'!E851)</f>
        <v/>
      </c>
      <c r="U849" s="18"/>
      <c r="V849" s="18" t="str">
        <f t="shared" si="2"/>
        <v/>
      </c>
      <c r="W849" s="18"/>
      <c r="X849" s="18"/>
      <c r="Y849" s="18"/>
      <c r="Z849" s="18"/>
      <c r="AA849" s="18"/>
      <c r="AB849" s="18" t="str">
        <f t="shared" si="3"/>
        <v/>
      </c>
      <c r="AC849" s="18" t="str">
        <f t="shared" si="4"/>
        <v/>
      </c>
      <c r="AD849" s="18" t="str">
        <f t="shared" si="5"/>
        <v/>
      </c>
      <c r="AE849" s="18" t="str">
        <f t="shared" si="6"/>
        <v/>
      </c>
    </row>
    <row r="850">
      <c r="A850" s="9" t="str">
        <f>IF(E850="","", IF('Global Precios'!B852="",0,'Global Precios'!B852))</f>
        <v/>
      </c>
      <c r="B850" s="14" t="str">
        <f>IF('Global Precios'!B852="","",'Global Precios'!B852)</f>
        <v/>
      </c>
      <c r="C850" s="18" t="str">
        <f>IF('Global Precios'!A852="","",'Global Precios'!A852)</f>
        <v/>
      </c>
      <c r="D850" s="18"/>
      <c r="E850" s="25" t="str">
        <f>IF('Global Precios'!D852="","",'Global Precios'!D852)</f>
        <v/>
      </c>
      <c r="F850" s="18"/>
      <c r="G850" s="25" t="str">
        <f t="shared" si="7"/>
        <v/>
      </c>
      <c r="H850" s="25" t="str">
        <f t="shared" si="1"/>
        <v/>
      </c>
      <c r="I850" s="30" t="str">
        <f>IF('Global Precios'!I852="","",'Global Precios'!I852)</f>
        <v/>
      </c>
      <c r="J850" s="18" t="str">
        <f>IF('Global Precios'!K852="","",'Global Precios'!K852)</f>
        <v/>
      </c>
      <c r="K850" s="30" t="str">
        <f>IF('Global Precios'!L852="","",'Global Precios'!L852)</f>
        <v/>
      </c>
      <c r="L850" s="18"/>
      <c r="M850" s="18"/>
      <c r="N850" s="18"/>
      <c r="O850" s="18"/>
      <c r="P850" s="18"/>
      <c r="Q850" s="18"/>
      <c r="R850" s="18" t="str">
        <f>IF('Global Precios'!F852="","",'Global Precios'!F852)</f>
        <v/>
      </c>
      <c r="S850" s="18"/>
      <c r="T850" s="18" t="str">
        <f>IF('Global Precios'!E852="","",'Global Precios'!E852)</f>
        <v/>
      </c>
      <c r="U850" s="18"/>
      <c r="V850" s="18" t="str">
        <f t="shared" si="2"/>
        <v/>
      </c>
      <c r="W850" s="18"/>
      <c r="X850" s="18"/>
      <c r="Y850" s="18"/>
      <c r="Z850" s="18"/>
      <c r="AA850" s="18"/>
      <c r="AB850" s="18" t="str">
        <f t="shared" si="3"/>
        <v/>
      </c>
      <c r="AC850" s="18" t="str">
        <f t="shared" si="4"/>
        <v/>
      </c>
      <c r="AD850" s="18" t="str">
        <f t="shared" si="5"/>
        <v/>
      </c>
      <c r="AE850" s="18" t="str">
        <f t="shared" si="6"/>
        <v/>
      </c>
    </row>
    <row r="851">
      <c r="A851" s="9" t="str">
        <f>IF(E851="","", IF('Global Precios'!B853="",0,'Global Precios'!B853))</f>
        <v/>
      </c>
      <c r="B851" s="14" t="str">
        <f>IF('Global Precios'!B853="","",'Global Precios'!B853)</f>
        <v/>
      </c>
      <c r="C851" s="18" t="str">
        <f>IF('Global Precios'!A853="","",'Global Precios'!A853)</f>
        <v/>
      </c>
      <c r="D851" s="18"/>
      <c r="E851" s="25" t="str">
        <f>IF('Global Precios'!D853="","",'Global Precios'!D853)</f>
        <v/>
      </c>
      <c r="F851" s="18"/>
      <c r="G851" s="25" t="str">
        <f t="shared" si="7"/>
        <v/>
      </c>
      <c r="H851" s="25" t="str">
        <f t="shared" si="1"/>
        <v/>
      </c>
      <c r="I851" s="30" t="str">
        <f>IF('Global Precios'!I853="","",'Global Precios'!I853)</f>
        <v/>
      </c>
      <c r="J851" s="18" t="str">
        <f>IF('Global Precios'!K853="","",'Global Precios'!K853)</f>
        <v/>
      </c>
      <c r="K851" s="30" t="str">
        <f>IF('Global Precios'!L853="","",'Global Precios'!L853)</f>
        <v/>
      </c>
      <c r="L851" s="18"/>
      <c r="M851" s="18"/>
      <c r="N851" s="18"/>
      <c r="O851" s="18"/>
      <c r="P851" s="18"/>
      <c r="Q851" s="18"/>
      <c r="R851" s="18" t="str">
        <f>IF('Global Precios'!F853="","",'Global Precios'!F853)</f>
        <v/>
      </c>
      <c r="S851" s="18"/>
      <c r="T851" s="18" t="str">
        <f>IF('Global Precios'!E853="","",'Global Precios'!E853)</f>
        <v/>
      </c>
      <c r="U851" s="18"/>
      <c r="V851" s="18" t="str">
        <f t="shared" si="2"/>
        <v/>
      </c>
      <c r="W851" s="18"/>
      <c r="X851" s="18"/>
      <c r="Y851" s="18"/>
      <c r="Z851" s="18"/>
      <c r="AA851" s="18"/>
      <c r="AB851" s="18" t="str">
        <f t="shared" si="3"/>
        <v/>
      </c>
      <c r="AC851" s="18" t="str">
        <f t="shared" si="4"/>
        <v/>
      </c>
      <c r="AD851" s="18" t="str">
        <f t="shared" si="5"/>
        <v/>
      </c>
      <c r="AE851" s="18" t="str">
        <f t="shared" si="6"/>
        <v/>
      </c>
    </row>
    <row r="852">
      <c r="A852" s="9" t="str">
        <f>IF(E852="","", IF('Global Precios'!B854="",0,'Global Precios'!B854))</f>
        <v/>
      </c>
      <c r="B852" s="14" t="str">
        <f>IF('Global Precios'!B854="","",'Global Precios'!B854)</f>
        <v/>
      </c>
      <c r="C852" s="18" t="str">
        <f>IF('Global Precios'!A854="","",'Global Precios'!A854)</f>
        <v/>
      </c>
      <c r="D852" s="18"/>
      <c r="E852" s="25" t="str">
        <f>IF('Global Precios'!D854="","",'Global Precios'!D854)</f>
        <v/>
      </c>
      <c r="F852" s="18"/>
      <c r="G852" s="25" t="str">
        <f t="shared" si="7"/>
        <v/>
      </c>
      <c r="H852" s="25" t="str">
        <f t="shared" si="1"/>
        <v/>
      </c>
      <c r="I852" s="30" t="str">
        <f>IF('Global Precios'!I854="","",'Global Precios'!I854)</f>
        <v/>
      </c>
      <c r="J852" s="18" t="str">
        <f>IF('Global Precios'!K854="","",'Global Precios'!K854)</f>
        <v/>
      </c>
      <c r="K852" s="30" t="str">
        <f>IF('Global Precios'!L854="","",'Global Precios'!L854)</f>
        <v/>
      </c>
      <c r="L852" s="18"/>
      <c r="M852" s="18"/>
      <c r="N852" s="18"/>
      <c r="O852" s="18"/>
      <c r="P852" s="18"/>
      <c r="Q852" s="18"/>
      <c r="R852" s="18" t="str">
        <f>IF('Global Precios'!F854="","",'Global Precios'!F854)</f>
        <v/>
      </c>
      <c r="S852" s="18"/>
      <c r="T852" s="18" t="str">
        <f>IF('Global Precios'!E854="","",'Global Precios'!E854)</f>
        <v/>
      </c>
      <c r="U852" s="18"/>
      <c r="V852" s="18" t="str">
        <f t="shared" si="2"/>
        <v/>
      </c>
      <c r="W852" s="18"/>
      <c r="X852" s="18"/>
      <c r="Y852" s="18"/>
      <c r="Z852" s="18"/>
      <c r="AA852" s="18"/>
      <c r="AB852" s="18" t="str">
        <f t="shared" si="3"/>
        <v/>
      </c>
      <c r="AC852" s="18" t="str">
        <f t="shared" si="4"/>
        <v/>
      </c>
      <c r="AD852" s="18" t="str">
        <f t="shared" si="5"/>
        <v/>
      </c>
      <c r="AE852" s="18" t="str">
        <f t="shared" si="6"/>
        <v/>
      </c>
    </row>
    <row r="853">
      <c r="A853" s="9" t="str">
        <f>IF(E853="","", IF('Global Precios'!B855="",0,'Global Precios'!B855))</f>
        <v/>
      </c>
      <c r="B853" s="14" t="str">
        <f>IF('Global Precios'!B855="","",'Global Precios'!B855)</f>
        <v/>
      </c>
      <c r="C853" s="18" t="str">
        <f>IF('Global Precios'!A855="","",'Global Precios'!A855)</f>
        <v/>
      </c>
      <c r="D853" s="18"/>
      <c r="E853" s="25" t="str">
        <f>IF('Global Precios'!D855="","",'Global Precios'!D855)</f>
        <v/>
      </c>
      <c r="F853" s="18"/>
      <c r="G853" s="25" t="str">
        <f t="shared" si="7"/>
        <v/>
      </c>
      <c r="H853" s="25" t="str">
        <f t="shared" si="1"/>
        <v/>
      </c>
      <c r="I853" s="30" t="str">
        <f>IF('Global Precios'!I855="","",'Global Precios'!I855)</f>
        <v/>
      </c>
      <c r="J853" s="18" t="str">
        <f>IF('Global Precios'!K855="","",'Global Precios'!K855)</f>
        <v/>
      </c>
      <c r="K853" s="30" t="str">
        <f>IF('Global Precios'!L855="","",'Global Precios'!L855)</f>
        <v/>
      </c>
      <c r="L853" s="18"/>
      <c r="M853" s="18"/>
      <c r="N853" s="18"/>
      <c r="O853" s="18"/>
      <c r="P853" s="18"/>
      <c r="Q853" s="18"/>
      <c r="R853" s="18" t="str">
        <f>IF('Global Precios'!F855="","",'Global Precios'!F855)</f>
        <v/>
      </c>
      <c r="S853" s="18"/>
      <c r="T853" s="18" t="str">
        <f>IF('Global Precios'!E855="","",'Global Precios'!E855)</f>
        <v/>
      </c>
      <c r="U853" s="18"/>
      <c r="V853" s="18" t="str">
        <f t="shared" si="2"/>
        <v/>
      </c>
      <c r="W853" s="18"/>
      <c r="X853" s="18"/>
      <c r="Y853" s="18"/>
      <c r="Z853" s="18"/>
      <c r="AA853" s="18"/>
      <c r="AB853" s="18" t="str">
        <f t="shared" si="3"/>
        <v/>
      </c>
      <c r="AC853" s="18" t="str">
        <f t="shared" si="4"/>
        <v/>
      </c>
      <c r="AD853" s="18" t="str">
        <f t="shared" si="5"/>
        <v/>
      </c>
      <c r="AE853" s="18" t="str">
        <f t="shared" si="6"/>
        <v/>
      </c>
    </row>
    <row r="854">
      <c r="A854" s="9" t="str">
        <f>IF(E854="","", IF('Global Precios'!B856="",0,'Global Precios'!B856))</f>
        <v/>
      </c>
      <c r="B854" s="14" t="str">
        <f>IF('Global Precios'!B856="","",'Global Precios'!B856)</f>
        <v/>
      </c>
      <c r="C854" s="18" t="str">
        <f>IF('Global Precios'!A856="","",'Global Precios'!A856)</f>
        <v/>
      </c>
      <c r="D854" s="18"/>
      <c r="E854" s="25" t="str">
        <f>IF('Global Precios'!D856="","",'Global Precios'!D856)</f>
        <v/>
      </c>
      <c r="F854" s="18"/>
      <c r="G854" s="25" t="str">
        <f t="shared" si="7"/>
        <v/>
      </c>
      <c r="H854" s="25" t="str">
        <f t="shared" si="1"/>
        <v/>
      </c>
      <c r="I854" s="30" t="str">
        <f>IF('Global Precios'!I856="","",'Global Precios'!I856)</f>
        <v/>
      </c>
      <c r="J854" s="18" t="str">
        <f>IF('Global Precios'!K856="","",'Global Precios'!K856)</f>
        <v/>
      </c>
      <c r="K854" s="30" t="str">
        <f>IF('Global Precios'!L856="","",'Global Precios'!L856)</f>
        <v/>
      </c>
      <c r="L854" s="18"/>
      <c r="M854" s="18"/>
      <c r="N854" s="18"/>
      <c r="O854" s="18"/>
      <c r="P854" s="18"/>
      <c r="Q854" s="18"/>
      <c r="R854" s="18" t="str">
        <f>IF('Global Precios'!F856="","",'Global Precios'!F856)</f>
        <v/>
      </c>
      <c r="S854" s="18"/>
      <c r="T854" s="18" t="str">
        <f>IF('Global Precios'!E856="","",'Global Precios'!E856)</f>
        <v/>
      </c>
      <c r="U854" s="18"/>
      <c r="V854" s="18" t="str">
        <f t="shared" si="2"/>
        <v/>
      </c>
      <c r="W854" s="18"/>
      <c r="X854" s="18"/>
      <c r="Y854" s="18"/>
      <c r="Z854" s="18"/>
      <c r="AA854" s="18"/>
      <c r="AB854" s="18" t="str">
        <f t="shared" si="3"/>
        <v/>
      </c>
      <c r="AC854" s="18" t="str">
        <f t="shared" si="4"/>
        <v/>
      </c>
      <c r="AD854" s="18" t="str">
        <f t="shared" si="5"/>
        <v/>
      </c>
      <c r="AE854" s="18" t="str">
        <f t="shared" si="6"/>
        <v/>
      </c>
    </row>
    <row r="855">
      <c r="A855" s="9" t="str">
        <f>IF(E855="","", IF('Global Precios'!B857="",0,'Global Precios'!B857))</f>
        <v/>
      </c>
      <c r="B855" s="14" t="str">
        <f>IF('Global Precios'!B857="","",'Global Precios'!B857)</f>
        <v/>
      </c>
      <c r="C855" s="18" t="str">
        <f>IF('Global Precios'!A857="","",'Global Precios'!A857)</f>
        <v/>
      </c>
      <c r="D855" s="18"/>
      <c r="E855" s="25" t="str">
        <f>IF('Global Precios'!D857="","",'Global Precios'!D857)</f>
        <v/>
      </c>
      <c r="F855" s="18"/>
      <c r="G855" s="25" t="str">
        <f t="shared" si="7"/>
        <v/>
      </c>
      <c r="H855" s="25" t="str">
        <f t="shared" si="1"/>
        <v/>
      </c>
      <c r="I855" s="30" t="str">
        <f>IF('Global Precios'!I857="","",'Global Precios'!I857)</f>
        <v/>
      </c>
      <c r="J855" s="18" t="str">
        <f>IF('Global Precios'!K857="","",'Global Precios'!K857)</f>
        <v/>
      </c>
      <c r="K855" s="30" t="str">
        <f>IF('Global Precios'!L857="","",'Global Precios'!L857)</f>
        <v/>
      </c>
      <c r="L855" s="18"/>
      <c r="M855" s="18"/>
      <c r="N855" s="18"/>
      <c r="O855" s="18"/>
      <c r="P855" s="18"/>
      <c r="Q855" s="18"/>
      <c r="R855" s="18" t="str">
        <f>IF('Global Precios'!F857="","",'Global Precios'!F857)</f>
        <v/>
      </c>
      <c r="S855" s="18"/>
      <c r="T855" s="18" t="str">
        <f>IF('Global Precios'!E857="","",'Global Precios'!E857)</f>
        <v/>
      </c>
      <c r="U855" s="18"/>
      <c r="V855" s="18" t="str">
        <f t="shared" si="2"/>
        <v/>
      </c>
      <c r="W855" s="18"/>
      <c r="X855" s="18"/>
      <c r="Y855" s="18"/>
      <c r="Z855" s="18"/>
      <c r="AA855" s="18"/>
      <c r="AB855" s="18" t="str">
        <f t="shared" si="3"/>
        <v/>
      </c>
      <c r="AC855" s="18" t="str">
        <f t="shared" si="4"/>
        <v/>
      </c>
      <c r="AD855" s="18" t="str">
        <f t="shared" si="5"/>
        <v/>
      </c>
      <c r="AE855" s="18" t="str">
        <f t="shared" si="6"/>
        <v/>
      </c>
    </row>
    <row r="856">
      <c r="A856" s="9" t="str">
        <f>IF(E856="","", IF('Global Precios'!B858="",0,'Global Precios'!B858))</f>
        <v/>
      </c>
      <c r="B856" s="14" t="str">
        <f>IF('Global Precios'!B858="","",'Global Precios'!B858)</f>
        <v/>
      </c>
      <c r="C856" s="18" t="str">
        <f>IF('Global Precios'!A858="","",'Global Precios'!A858)</f>
        <v/>
      </c>
      <c r="D856" s="18"/>
      <c r="E856" s="25" t="str">
        <f>IF('Global Precios'!D858="","",'Global Precios'!D858)</f>
        <v/>
      </c>
      <c r="F856" s="18"/>
      <c r="G856" s="25" t="str">
        <f t="shared" si="7"/>
        <v/>
      </c>
      <c r="H856" s="25" t="str">
        <f t="shared" si="1"/>
        <v/>
      </c>
      <c r="I856" s="30" t="str">
        <f>IF('Global Precios'!I858="","",'Global Precios'!I858)</f>
        <v/>
      </c>
      <c r="J856" s="18" t="str">
        <f>IF('Global Precios'!K858="","",'Global Precios'!K858)</f>
        <v/>
      </c>
      <c r="K856" s="30" t="str">
        <f>IF('Global Precios'!L858="","",'Global Precios'!L858)</f>
        <v/>
      </c>
      <c r="L856" s="18"/>
      <c r="M856" s="18"/>
      <c r="N856" s="18"/>
      <c r="O856" s="18"/>
      <c r="P856" s="18"/>
      <c r="Q856" s="18"/>
      <c r="R856" s="18" t="str">
        <f>IF('Global Precios'!F858="","",'Global Precios'!F858)</f>
        <v/>
      </c>
      <c r="S856" s="18"/>
      <c r="T856" s="18" t="str">
        <f>IF('Global Precios'!E858="","",'Global Precios'!E858)</f>
        <v/>
      </c>
      <c r="U856" s="18"/>
      <c r="V856" s="18" t="str">
        <f t="shared" si="2"/>
        <v/>
      </c>
      <c r="W856" s="18"/>
      <c r="X856" s="18"/>
      <c r="Y856" s="18"/>
      <c r="Z856" s="18"/>
      <c r="AA856" s="18"/>
      <c r="AB856" s="18" t="str">
        <f t="shared" si="3"/>
        <v/>
      </c>
      <c r="AC856" s="18" t="str">
        <f t="shared" si="4"/>
        <v/>
      </c>
      <c r="AD856" s="18" t="str">
        <f t="shared" si="5"/>
        <v/>
      </c>
      <c r="AE856" s="18" t="str">
        <f t="shared" si="6"/>
        <v/>
      </c>
    </row>
    <row r="857">
      <c r="A857" s="9" t="str">
        <f>IF(E857="","", IF('Global Precios'!B859="",0,'Global Precios'!B859))</f>
        <v/>
      </c>
      <c r="B857" s="14" t="str">
        <f>IF('Global Precios'!B859="","",'Global Precios'!B859)</f>
        <v/>
      </c>
      <c r="C857" s="18" t="str">
        <f>IF('Global Precios'!A859="","",'Global Precios'!A859)</f>
        <v/>
      </c>
      <c r="D857" s="18"/>
      <c r="E857" s="25" t="str">
        <f>IF('Global Precios'!D859="","",'Global Precios'!D859)</f>
        <v/>
      </c>
      <c r="F857" s="18"/>
      <c r="G857" s="25" t="str">
        <f t="shared" si="7"/>
        <v/>
      </c>
      <c r="H857" s="25" t="str">
        <f t="shared" si="1"/>
        <v/>
      </c>
      <c r="I857" s="30" t="str">
        <f>IF('Global Precios'!I859="","",'Global Precios'!I859)</f>
        <v/>
      </c>
      <c r="J857" s="18" t="str">
        <f>IF('Global Precios'!K859="","",'Global Precios'!K859)</f>
        <v/>
      </c>
      <c r="K857" s="30" t="str">
        <f>IF('Global Precios'!L859="","",'Global Precios'!L859)</f>
        <v/>
      </c>
      <c r="L857" s="18"/>
      <c r="M857" s="18"/>
      <c r="N857" s="18"/>
      <c r="O857" s="18"/>
      <c r="P857" s="18"/>
      <c r="Q857" s="18"/>
      <c r="R857" s="18" t="str">
        <f>IF('Global Precios'!F859="","",'Global Precios'!F859)</f>
        <v/>
      </c>
      <c r="S857" s="18"/>
      <c r="T857" s="18" t="str">
        <f>IF('Global Precios'!E859="","",'Global Precios'!E859)</f>
        <v/>
      </c>
      <c r="U857" s="18"/>
      <c r="V857" s="18" t="str">
        <f t="shared" si="2"/>
        <v/>
      </c>
      <c r="W857" s="18"/>
      <c r="X857" s="18"/>
      <c r="Y857" s="18"/>
      <c r="Z857" s="18"/>
      <c r="AA857" s="18"/>
      <c r="AB857" s="18" t="str">
        <f t="shared" si="3"/>
        <v/>
      </c>
      <c r="AC857" s="18" t="str">
        <f t="shared" si="4"/>
        <v/>
      </c>
      <c r="AD857" s="18" t="str">
        <f t="shared" si="5"/>
        <v/>
      </c>
      <c r="AE857" s="18" t="str">
        <f t="shared" si="6"/>
        <v/>
      </c>
    </row>
    <row r="858">
      <c r="A858" s="9" t="str">
        <f>IF(E858="","", IF('Global Precios'!B860="",0,'Global Precios'!B860))</f>
        <v/>
      </c>
      <c r="B858" s="14" t="str">
        <f>IF('Global Precios'!B860="","",'Global Precios'!B860)</f>
        <v/>
      </c>
      <c r="C858" s="18" t="str">
        <f>IF('Global Precios'!A860="","",'Global Precios'!A860)</f>
        <v/>
      </c>
      <c r="D858" s="18"/>
      <c r="E858" s="25" t="str">
        <f>IF('Global Precios'!D860="","",'Global Precios'!D860)</f>
        <v/>
      </c>
      <c r="F858" s="18"/>
      <c r="G858" s="25" t="str">
        <f t="shared" si="7"/>
        <v/>
      </c>
      <c r="H858" s="25" t="str">
        <f t="shared" si="1"/>
        <v/>
      </c>
      <c r="I858" s="30" t="str">
        <f>IF('Global Precios'!I860="","",'Global Precios'!I860)</f>
        <v/>
      </c>
      <c r="J858" s="18" t="str">
        <f>IF('Global Precios'!K860="","",'Global Precios'!K860)</f>
        <v/>
      </c>
      <c r="K858" s="30" t="str">
        <f>IF('Global Precios'!L860="","",'Global Precios'!L860)</f>
        <v/>
      </c>
      <c r="L858" s="18"/>
      <c r="M858" s="18"/>
      <c r="N858" s="18"/>
      <c r="O858" s="18"/>
      <c r="P858" s="18"/>
      <c r="Q858" s="18"/>
      <c r="R858" s="18" t="str">
        <f>IF('Global Precios'!F860="","",'Global Precios'!F860)</f>
        <v/>
      </c>
      <c r="S858" s="18"/>
      <c r="T858" s="18" t="str">
        <f>IF('Global Precios'!E860="","",'Global Precios'!E860)</f>
        <v/>
      </c>
      <c r="U858" s="18"/>
      <c r="V858" s="18" t="str">
        <f t="shared" si="2"/>
        <v/>
      </c>
      <c r="W858" s="18"/>
      <c r="X858" s="18"/>
      <c r="Y858" s="18"/>
      <c r="Z858" s="18"/>
      <c r="AA858" s="18"/>
      <c r="AB858" s="18" t="str">
        <f t="shared" si="3"/>
        <v/>
      </c>
      <c r="AC858" s="18" t="str">
        <f t="shared" si="4"/>
        <v/>
      </c>
      <c r="AD858" s="18" t="str">
        <f t="shared" si="5"/>
        <v/>
      </c>
      <c r="AE858" s="18" t="str">
        <f t="shared" si="6"/>
        <v/>
      </c>
    </row>
    <row r="859">
      <c r="A859" s="9" t="str">
        <f>IF(E859="","", IF('Global Precios'!B861="",0,'Global Precios'!B861))</f>
        <v/>
      </c>
      <c r="B859" s="14" t="str">
        <f>IF('Global Precios'!B861="","",'Global Precios'!B861)</f>
        <v/>
      </c>
      <c r="C859" s="18" t="str">
        <f>IF('Global Precios'!A861="","",'Global Precios'!A861)</f>
        <v/>
      </c>
      <c r="D859" s="18"/>
      <c r="E859" s="25" t="str">
        <f>IF('Global Precios'!D861="","",'Global Precios'!D861)</f>
        <v/>
      </c>
      <c r="F859" s="18"/>
      <c r="G859" s="25" t="str">
        <f t="shared" si="7"/>
        <v/>
      </c>
      <c r="H859" s="25" t="str">
        <f t="shared" si="1"/>
        <v/>
      </c>
      <c r="I859" s="30" t="str">
        <f>IF('Global Precios'!I861="","",'Global Precios'!I861)</f>
        <v/>
      </c>
      <c r="J859" s="18" t="str">
        <f>IF('Global Precios'!K861="","",'Global Precios'!K861)</f>
        <v/>
      </c>
      <c r="K859" s="30" t="str">
        <f>IF('Global Precios'!L861="","",'Global Precios'!L861)</f>
        <v/>
      </c>
      <c r="L859" s="18"/>
      <c r="M859" s="18"/>
      <c r="N859" s="18"/>
      <c r="O859" s="18"/>
      <c r="P859" s="18"/>
      <c r="Q859" s="18"/>
      <c r="R859" s="18" t="str">
        <f>IF('Global Precios'!F861="","",'Global Precios'!F861)</f>
        <v/>
      </c>
      <c r="S859" s="18"/>
      <c r="T859" s="18" t="str">
        <f>IF('Global Precios'!E861="","",'Global Precios'!E861)</f>
        <v/>
      </c>
      <c r="U859" s="18"/>
      <c r="V859" s="18" t="str">
        <f t="shared" si="2"/>
        <v/>
      </c>
      <c r="W859" s="18"/>
      <c r="X859" s="18"/>
      <c r="Y859" s="18"/>
      <c r="Z859" s="18"/>
      <c r="AA859" s="18"/>
      <c r="AB859" s="18" t="str">
        <f t="shared" si="3"/>
        <v/>
      </c>
      <c r="AC859" s="18" t="str">
        <f t="shared" si="4"/>
        <v/>
      </c>
      <c r="AD859" s="18" t="str">
        <f t="shared" si="5"/>
        <v/>
      </c>
      <c r="AE859" s="18" t="str">
        <f t="shared" si="6"/>
        <v/>
      </c>
    </row>
    <row r="860">
      <c r="A860" s="9" t="str">
        <f>IF(E860="","", IF('Global Precios'!B862="",0,'Global Precios'!B862))</f>
        <v/>
      </c>
      <c r="B860" s="14" t="str">
        <f>IF('Global Precios'!B862="","",'Global Precios'!B862)</f>
        <v/>
      </c>
      <c r="C860" s="18" t="str">
        <f>IF('Global Precios'!A862="","",'Global Precios'!A862)</f>
        <v/>
      </c>
      <c r="D860" s="18"/>
      <c r="E860" s="25" t="str">
        <f>IF('Global Precios'!D862="","",'Global Precios'!D862)</f>
        <v/>
      </c>
      <c r="F860" s="18"/>
      <c r="G860" s="25" t="str">
        <f t="shared" si="7"/>
        <v/>
      </c>
      <c r="H860" s="25" t="str">
        <f t="shared" si="1"/>
        <v/>
      </c>
      <c r="I860" s="30" t="str">
        <f>IF('Global Precios'!I862="","",'Global Precios'!I862)</f>
        <v/>
      </c>
      <c r="J860" s="18" t="str">
        <f>IF('Global Precios'!K862="","",'Global Precios'!K862)</f>
        <v/>
      </c>
      <c r="K860" s="30" t="str">
        <f>IF('Global Precios'!L862="","",'Global Precios'!L862)</f>
        <v/>
      </c>
      <c r="L860" s="18"/>
      <c r="M860" s="18"/>
      <c r="N860" s="18"/>
      <c r="O860" s="18"/>
      <c r="P860" s="18"/>
      <c r="Q860" s="18"/>
      <c r="R860" s="18" t="str">
        <f>IF('Global Precios'!F862="","",'Global Precios'!F862)</f>
        <v/>
      </c>
      <c r="S860" s="18"/>
      <c r="T860" s="18" t="str">
        <f>IF('Global Precios'!E862="","",'Global Precios'!E862)</f>
        <v/>
      </c>
      <c r="U860" s="18"/>
      <c r="V860" s="18" t="str">
        <f t="shared" si="2"/>
        <v/>
      </c>
      <c r="W860" s="18"/>
      <c r="X860" s="18"/>
      <c r="Y860" s="18"/>
      <c r="Z860" s="18"/>
      <c r="AA860" s="18"/>
      <c r="AB860" s="18" t="str">
        <f t="shared" si="3"/>
        <v/>
      </c>
      <c r="AC860" s="18" t="str">
        <f t="shared" si="4"/>
        <v/>
      </c>
      <c r="AD860" s="18" t="str">
        <f t="shared" si="5"/>
        <v/>
      </c>
      <c r="AE860" s="18" t="str">
        <f t="shared" si="6"/>
        <v/>
      </c>
    </row>
    <row r="861">
      <c r="A861" s="9" t="str">
        <f>IF(E861="","", IF('Global Precios'!B863="",0,'Global Precios'!B863))</f>
        <v/>
      </c>
      <c r="B861" s="14" t="str">
        <f>IF('Global Precios'!B863="","",'Global Precios'!B863)</f>
        <v/>
      </c>
      <c r="C861" s="18" t="str">
        <f>IF('Global Precios'!A863="","",'Global Precios'!A863)</f>
        <v/>
      </c>
      <c r="D861" s="18"/>
      <c r="E861" s="25" t="str">
        <f>IF('Global Precios'!D863="","",'Global Precios'!D863)</f>
        <v/>
      </c>
      <c r="F861" s="18"/>
      <c r="G861" s="25" t="str">
        <f t="shared" si="7"/>
        <v/>
      </c>
      <c r="H861" s="25" t="str">
        <f t="shared" si="1"/>
        <v/>
      </c>
      <c r="I861" s="30" t="str">
        <f>IF('Global Precios'!I863="","",'Global Precios'!I863)</f>
        <v/>
      </c>
      <c r="J861" s="18" t="str">
        <f>IF('Global Precios'!K863="","",'Global Precios'!K863)</f>
        <v/>
      </c>
      <c r="K861" s="30" t="str">
        <f>IF('Global Precios'!L863="","",'Global Precios'!L863)</f>
        <v/>
      </c>
      <c r="L861" s="18"/>
      <c r="M861" s="18"/>
      <c r="N861" s="18"/>
      <c r="O861" s="18"/>
      <c r="P861" s="18"/>
      <c r="Q861" s="18"/>
      <c r="R861" s="18" t="str">
        <f>IF('Global Precios'!F863="","",'Global Precios'!F863)</f>
        <v/>
      </c>
      <c r="S861" s="18"/>
      <c r="T861" s="18" t="str">
        <f>IF('Global Precios'!E863="","",'Global Precios'!E863)</f>
        <v/>
      </c>
      <c r="U861" s="18"/>
      <c r="V861" s="18" t="str">
        <f t="shared" si="2"/>
        <v/>
      </c>
      <c r="W861" s="18"/>
      <c r="X861" s="18"/>
      <c r="Y861" s="18"/>
      <c r="Z861" s="18"/>
      <c r="AA861" s="18"/>
      <c r="AB861" s="18" t="str">
        <f t="shared" si="3"/>
        <v/>
      </c>
      <c r="AC861" s="18" t="str">
        <f t="shared" si="4"/>
        <v/>
      </c>
      <c r="AD861" s="18" t="str">
        <f t="shared" si="5"/>
        <v/>
      </c>
      <c r="AE861" s="18" t="str">
        <f t="shared" si="6"/>
        <v/>
      </c>
    </row>
    <row r="862">
      <c r="A862" s="9" t="str">
        <f>IF(E862="","", IF('Global Precios'!B864="",0,'Global Precios'!B864))</f>
        <v/>
      </c>
      <c r="B862" s="14" t="str">
        <f>IF('Global Precios'!B864="","",'Global Precios'!B864)</f>
        <v/>
      </c>
      <c r="C862" s="18" t="str">
        <f>IF('Global Precios'!A864="","",'Global Precios'!A864)</f>
        <v/>
      </c>
      <c r="D862" s="18"/>
      <c r="E862" s="25" t="str">
        <f>IF('Global Precios'!D864="","",'Global Precios'!D864)</f>
        <v/>
      </c>
      <c r="F862" s="18"/>
      <c r="G862" s="25" t="str">
        <f t="shared" si="7"/>
        <v/>
      </c>
      <c r="H862" s="25" t="str">
        <f t="shared" si="1"/>
        <v/>
      </c>
      <c r="I862" s="30" t="str">
        <f>IF('Global Precios'!I864="","",'Global Precios'!I864)</f>
        <v/>
      </c>
      <c r="J862" s="18" t="str">
        <f>IF('Global Precios'!K864="","",'Global Precios'!K864)</f>
        <v/>
      </c>
      <c r="K862" s="30" t="str">
        <f>IF('Global Precios'!L864="","",'Global Precios'!L864)</f>
        <v/>
      </c>
      <c r="L862" s="18"/>
      <c r="M862" s="18"/>
      <c r="N862" s="18"/>
      <c r="O862" s="18"/>
      <c r="P862" s="18"/>
      <c r="Q862" s="18"/>
      <c r="R862" s="18" t="str">
        <f>IF('Global Precios'!F864="","",'Global Precios'!F864)</f>
        <v/>
      </c>
      <c r="S862" s="18"/>
      <c r="T862" s="18" t="str">
        <f>IF('Global Precios'!E864="","",'Global Precios'!E864)</f>
        <v/>
      </c>
      <c r="U862" s="18"/>
      <c r="V862" s="18" t="str">
        <f t="shared" si="2"/>
        <v/>
      </c>
      <c r="W862" s="18"/>
      <c r="X862" s="18"/>
      <c r="Y862" s="18"/>
      <c r="Z862" s="18"/>
      <c r="AA862" s="18"/>
      <c r="AB862" s="18" t="str">
        <f t="shared" si="3"/>
        <v/>
      </c>
      <c r="AC862" s="18" t="str">
        <f t="shared" si="4"/>
        <v/>
      </c>
      <c r="AD862" s="18" t="str">
        <f t="shared" si="5"/>
        <v/>
      </c>
      <c r="AE862" s="18" t="str">
        <f t="shared" si="6"/>
        <v/>
      </c>
    </row>
    <row r="863">
      <c r="A863" s="9" t="str">
        <f>IF(E863="","", IF('Global Precios'!B865="",0,'Global Precios'!B865))</f>
        <v/>
      </c>
      <c r="B863" s="14" t="str">
        <f>IF('Global Precios'!B865="","",'Global Precios'!B865)</f>
        <v/>
      </c>
      <c r="C863" s="18" t="str">
        <f>IF('Global Precios'!A865="","",'Global Precios'!A865)</f>
        <v/>
      </c>
      <c r="D863" s="18"/>
      <c r="E863" s="25" t="str">
        <f>IF('Global Precios'!D865="","",'Global Precios'!D865)</f>
        <v/>
      </c>
      <c r="F863" s="18"/>
      <c r="G863" s="25" t="str">
        <f t="shared" si="7"/>
        <v/>
      </c>
      <c r="H863" s="25" t="str">
        <f t="shared" si="1"/>
        <v/>
      </c>
      <c r="I863" s="30" t="str">
        <f>IF('Global Precios'!I865="","",'Global Precios'!I865)</f>
        <v/>
      </c>
      <c r="J863" s="18" t="str">
        <f>IF('Global Precios'!K865="","",'Global Precios'!K865)</f>
        <v/>
      </c>
      <c r="K863" s="30" t="str">
        <f>IF('Global Precios'!L865="","",'Global Precios'!L865)</f>
        <v/>
      </c>
      <c r="L863" s="18"/>
      <c r="M863" s="18"/>
      <c r="N863" s="18"/>
      <c r="O863" s="18"/>
      <c r="P863" s="18"/>
      <c r="Q863" s="18"/>
      <c r="R863" s="18" t="str">
        <f>IF('Global Precios'!F865="","",'Global Precios'!F865)</f>
        <v/>
      </c>
      <c r="S863" s="18"/>
      <c r="T863" s="18" t="str">
        <f>IF('Global Precios'!E865="","",'Global Precios'!E865)</f>
        <v/>
      </c>
      <c r="U863" s="18"/>
      <c r="V863" s="18" t="str">
        <f t="shared" si="2"/>
        <v/>
      </c>
      <c r="W863" s="18"/>
      <c r="X863" s="18"/>
      <c r="Y863" s="18"/>
      <c r="Z863" s="18"/>
      <c r="AA863" s="18"/>
      <c r="AB863" s="18" t="str">
        <f t="shared" si="3"/>
        <v/>
      </c>
      <c r="AC863" s="18" t="str">
        <f t="shared" si="4"/>
        <v/>
      </c>
      <c r="AD863" s="18" t="str">
        <f t="shared" si="5"/>
        <v/>
      </c>
      <c r="AE863" s="18" t="str">
        <f t="shared" si="6"/>
        <v/>
      </c>
    </row>
    <row r="864">
      <c r="A864" s="9" t="str">
        <f>IF(E864="","", IF('Global Precios'!B866="",0,'Global Precios'!B866))</f>
        <v/>
      </c>
      <c r="B864" s="14" t="str">
        <f>IF('Global Precios'!B866="","",'Global Precios'!B866)</f>
        <v/>
      </c>
      <c r="C864" s="18" t="str">
        <f>IF('Global Precios'!A866="","",'Global Precios'!A866)</f>
        <v/>
      </c>
      <c r="D864" s="18"/>
      <c r="E864" s="25" t="str">
        <f>IF('Global Precios'!D866="","",'Global Precios'!D866)</f>
        <v/>
      </c>
      <c r="F864" s="18"/>
      <c r="G864" s="25" t="str">
        <f t="shared" si="7"/>
        <v/>
      </c>
      <c r="H864" s="25" t="str">
        <f t="shared" si="1"/>
        <v/>
      </c>
      <c r="I864" s="30" t="str">
        <f>IF('Global Precios'!I866="","",'Global Precios'!I866)</f>
        <v/>
      </c>
      <c r="J864" s="18" t="str">
        <f>IF('Global Precios'!K866="","",'Global Precios'!K866)</f>
        <v/>
      </c>
      <c r="K864" s="30" t="str">
        <f>IF('Global Precios'!L866="","",'Global Precios'!L866)</f>
        <v/>
      </c>
      <c r="L864" s="18"/>
      <c r="M864" s="18"/>
      <c r="N864" s="18"/>
      <c r="O864" s="18"/>
      <c r="P864" s="18"/>
      <c r="Q864" s="18"/>
      <c r="R864" s="18" t="str">
        <f>IF('Global Precios'!F866="","",'Global Precios'!F866)</f>
        <v/>
      </c>
      <c r="S864" s="18"/>
      <c r="T864" s="18" t="str">
        <f>IF('Global Precios'!E866="","",'Global Precios'!E866)</f>
        <v/>
      </c>
      <c r="U864" s="18"/>
      <c r="V864" s="18" t="str">
        <f t="shared" si="2"/>
        <v/>
      </c>
      <c r="W864" s="18"/>
      <c r="X864" s="18"/>
      <c r="Y864" s="18"/>
      <c r="Z864" s="18"/>
      <c r="AA864" s="18"/>
      <c r="AB864" s="18" t="str">
        <f t="shared" si="3"/>
        <v/>
      </c>
      <c r="AC864" s="18" t="str">
        <f t="shared" si="4"/>
        <v/>
      </c>
      <c r="AD864" s="18" t="str">
        <f t="shared" si="5"/>
        <v/>
      </c>
      <c r="AE864" s="18" t="str">
        <f t="shared" si="6"/>
        <v/>
      </c>
    </row>
    <row r="865">
      <c r="A865" s="9" t="str">
        <f>IF(E865="","", IF('Global Precios'!B867="",0,'Global Precios'!B867))</f>
        <v/>
      </c>
      <c r="B865" s="14" t="str">
        <f>IF('Global Precios'!B867="","",'Global Precios'!B867)</f>
        <v/>
      </c>
      <c r="C865" s="18" t="str">
        <f>IF('Global Precios'!A867="","",'Global Precios'!A867)</f>
        <v/>
      </c>
      <c r="D865" s="18"/>
      <c r="E865" s="25" t="str">
        <f>IF('Global Precios'!D867="","",'Global Precios'!D867)</f>
        <v/>
      </c>
      <c r="F865" s="18"/>
      <c r="G865" s="25" t="str">
        <f t="shared" si="7"/>
        <v/>
      </c>
      <c r="H865" s="25" t="str">
        <f t="shared" si="1"/>
        <v/>
      </c>
      <c r="I865" s="30" t="str">
        <f>IF('Global Precios'!I867="","",'Global Precios'!I867)</f>
        <v/>
      </c>
      <c r="J865" s="18" t="str">
        <f>IF('Global Precios'!K867="","",'Global Precios'!K867)</f>
        <v/>
      </c>
      <c r="K865" s="30" t="str">
        <f>IF('Global Precios'!L867="","",'Global Precios'!L867)</f>
        <v/>
      </c>
      <c r="L865" s="18"/>
      <c r="M865" s="18"/>
      <c r="N865" s="18"/>
      <c r="O865" s="18"/>
      <c r="P865" s="18"/>
      <c r="Q865" s="18"/>
      <c r="R865" s="18" t="str">
        <f>IF('Global Precios'!F867="","",'Global Precios'!F867)</f>
        <v/>
      </c>
      <c r="S865" s="18"/>
      <c r="T865" s="18" t="str">
        <f>IF('Global Precios'!E867="","",'Global Precios'!E867)</f>
        <v/>
      </c>
      <c r="U865" s="18"/>
      <c r="V865" s="18" t="str">
        <f t="shared" si="2"/>
        <v/>
      </c>
      <c r="W865" s="18"/>
      <c r="X865" s="18"/>
      <c r="Y865" s="18"/>
      <c r="Z865" s="18"/>
      <c r="AA865" s="18"/>
      <c r="AB865" s="18" t="str">
        <f t="shared" si="3"/>
        <v/>
      </c>
      <c r="AC865" s="18" t="str">
        <f t="shared" si="4"/>
        <v/>
      </c>
      <c r="AD865" s="18" t="str">
        <f t="shared" si="5"/>
        <v/>
      </c>
      <c r="AE865" s="18" t="str">
        <f t="shared" si="6"/>
        <v/>
      </c>
    </row>
    <row r="866">
      <c r="A866" s="9" t="str">
        <f>IF(E866="","", IF('Global Precios'!B868="",0,'Global Precios'!B868))</f>
        <v/>
      </c>
      <c r="B866" s="14" t="str">
        <f>IF('Global Precios'!B868="","",'Global Precios'!B868)</f>
        <v/>
      </c>
      <c r="C866" s="18" t="str">
        <f>IF('Global Precios'!A868="","",'Global Precios'!A868)</f>
        <v/>
      </c>
      <c r="D866" s="18"/>
      <c r="E866" s="25" t="str">
        <f>IF('Global Precios'!D868="","",'Global Precios'!D868)</f>
        <v/>
      </c>
      <c r="F866" s="18"/>
      <c r="G866" s="25" t="str">
        <f t="shared" si="7"/>
        <v/>
      </c>
      <c r="H866" s="25" t="str">
        <f t="shared" si="1"/>
        <v/>
      </c>
      <c r="I866" s="30" t="str">
        <f>IF('Global Precios'!I868="","",'Global Precios'!I868)</f>
        <v/>
      </c>
      <c r="J866" s="18" t="str">
        <f>IF('Global Precios'!K868="","",'Global Precios'!K868)</f>
        <v/>
      </c>
      <c r="K866" s="30" t="str">
        <f>IF('Global Precios'!L868="","",'Global Precios'!L868)</f>
        <v/>
      </c>
      <c r="L866" s="18"/>
      <c r="M866" s="18"/>
      <c r="N866" s="18"/>
      <c r="O866" s="18"/>
      <c r="P866" s="18"/>
      <c r="Q866" s="18"/>
      <c r="R866" s="18" t="str">
        <f>IF('Global Precios'!F868="","",'Global Precios'!F868)</f>
        <v/>
      </c>
      <c r="S866" s="18"/>
      <c r="T866" s="18" t="str">
        <f>IF('Global Precios'!E868="","",'Global Precios'!E868)</f>
        <v/>
      </c>
      <c r="U866" s="18"/>
      <c r="V866" s="18" t="str">
        <f t="shared" si="2"/>
        <v/>
      </c>
      <c r="W866" s="18"/>
      <c r="X866" s="18"/>
      <c r="Y866" s="18"/>
      <c r="Z866" s="18"/>
      <c r="AA866" s="18"/>
      <c r="AB866" s="18" t="str">
        <f t="shared" si="3"/>
        <v/>
      </c>
      <c r="AC866" s="18" t="str">
        <f t="shared" si="4"/>
        <v/>
      </c>
      <c r="AD866" s="18" t="str">
        <f t="shared" si="5"/>
        <v/>
      </c>
      <c r="AE866" s="18" t="str">
        <f t="shared" si="6"/>
        <v/>
      </c>
    </row>
    <row r="867">
      <c r="A867" s="9" t="str">
        <f>IF(E867="","", IF('Global Precios'!B869="",0,'Global Precios'!B869))</f>
        <v/>
      </c>
      <c r="B867" s="14" t="str">
        <f>IF('Global Precios'!B869="","",'Global Precios'!B869)</f>
        <v/>
      </c>
      <c r="C867" s="18" t="str">
        <f>IF('Global Precios'!A869="","",'Global Precios'!A869)</f>
        <v/>
      </c>
      <c r="D867" s="18"/>
      <c r="E867" s="25" t="str">
        <f>IF('Global Precios'!D869="","",'Global Precios'!D869)</f>
        <v/>
      </c>
      <c r="F867" s="18"/>
      <c r="G867" s="25" t="str">
        <f t="shared" si="7"/>
        <v/>
      </c>
      <c r="H867" s="25" t="str">
        <f t="shared" si="1"/>
        <v/>
      </c>
      <c r="I867" s="30" t="str">
        <f>IF('Global Precios'!I869="","",'Global Precios'!I869)</f>
        <v/>
      </c>
      <c r="J867" s="18" t="str">
        <f>IF('Global Precios'!K869="","",'Global Precios'!K869)</f>
        <v/>
      </c>
      <c r="K867" s="30" t="str">
        <f>IF('Global Precios'!L869="","",'Global Precios'!L869)</f>
        <v/>
      </c>
      <c r="L867" s="18"/>
      <c r="M867" s="18"/>
      <c r="N867" s="18"/>
      <c r="O867" s="18"/>
      <c r="P867" s="18"/>
      <c r="Q867" s="18"/>
      <c r="R867" s="18" t="str">
        <f>IF('Global Precios'!F869="","",'Global Precios'!F869)</f>
        <v/>
      </c>
      <c r="S867" s="18"/>
      <c r="T867" s="18" t="str">
        <f>IF('Global Precios'!E869="","",'Global Precios'!E869)</f>
        <v/>
      </c>
      <c r="U867" s="18"/>
      <c r="V867" s="18" t="str">
        <f t="shared" si="2"/>
        <v/>
      </c>
      <c r="W867" s="18"/>
      <c r="X867" s="18"/>
      <c r="Y867" s="18"/>
      <c r="Z867" s="18"/>
      <c r="AA867" s="18"/>
      <c r="AB867" s="18" t="str">
        <f t="shared" si="3"/>
        <v/>
      </c>
      <c r="AC867" s="18" t="str">
        <f t="shared" si="4"/>
        <v/>
      </c>
      <c r="AD867" s="18" t="str">
        <f t="shared" si="5"/>
        <v/>
      </c>
      <c r="AE867" s="18" t="str">
        <f t="shared" si="6"/>
        <v/>
      </c>
    </row>
    <row r="868">
      <c r="A868" s="9" t="str">
        <f>IF(E868="","", IF('Global Precios'!B870="",0,'Global Precios'!B870))</f>
        <v/>
      </c>
      <c r="B868" s="14" t="str">
        <f>IF('Global Precios'!B870="","",'Global Precios'!B870)</f>
        <v/>
      </c>
      <c r="C868" s="18" t="str">
        <f>IF('Global Precios'!A870="","",'Global Precios'!A870)</f>
        <v/>
      </c>
      <c r="D868" s="18"/>
      <c r="E868" s="25" t="str">
        <f>IF('Global Precios'!D870="","",'Global Precios'!D870)</f>
        <v/>
      </c>
      <c r="F868" s="18"/>
      <c r="G868" s="25" t="str">
        <f t="shared" si="7"/>
        <v/>
      </c>
      <c r="H868" s="25" t="str">
        <f t="shared" si="1"/>
        <v/>
      </c>
      <c r="I868" s="30" t="str">
        <f>IF('Global Precios'!I870="","",'Global Precios'!I870)</f>
        <v/>
      </c>
      <c r="J868" s="18" t="str">
        <f>IF('Global Precios'!K870="","",'Global Precios'!K870)</f>
        <v/>
      </c>
      <c r="K868" s="30" t="str">
        <f>IF('Global Precios'!L870="","",'Global Precios'!L870)</f>
        <v/>
      </c>
      <c r="L868" s="18"/>
      <c r="M868" s="18"/>
      <c r="N868" s="18"/>
      <c r="O868" s="18"/>
      <c r="P868" s="18"/>
      <c r="Q868" s="18"/>
      <c r="R868" s="18" t="str">
        <f>IF('Global Precios'!F870="","",'Global Precios'!F870)</f>
        <v/>
      </c>
      <c r="S868" s="18"/>
      <c r="T868" s="18" t="str">
        <f>IF('Global Precios'!E870="","",'Global Precios'!E870)</f>
        <v/>
      </c>
      <c r="U868" s="18"/>
      <c r="V868" s="18" t="str">
        <f t="shared" si="2"/>
        <v/>
      </c>
      <c r="W868" s="18"/>
      <c r="X868" s="18"/>
      <c r="Y868" s="18"/>
      <c r="Z868" s="18"/>
      <c r="AA868" s="18"/>
      <c r="AB868" s="18" t="str">
        <f t="shared" si="3"/>
        <v/>
      </c>
      <c r="AC868" s="18" t="str">
        <f t="shared" si="4"/>
        <v/>
      </c>
      <c r="AD868" s="18" t="str">
        <f t="shared" si="5"/>
        <v/>
      </c>
      <c r="AE868" s="18" t="str">
        <f t="shared" si="6"/>
        <v/>
      </c>
    </row>
    <row r="869">
      <c r="A869" s="9" t="str">
        <f>IF(E869="","", IF('Global Precios'!B871="",0,'Global Precios'!B871))</f>
        <v/>
      </c>
      <c r="B869" s="14" t="str">
        <f>IF('Global Precios'!B871="","",'Global Precios'!B871)</f>
        <v/>
      </c>
      <c r="C869" s="18" t="str">
        <f>IF('Global Precios'!A871="","",'Global Precios'!A871)</f>
        <v/>
      </c>
      <c r="D869" s="18"/>
      <c r="E869" s="25" t="str">
        <f>IF('Global Precios'!D871="","",'Global Precios'!D871)</f>
        <v/>
      </c>
      <c r="F869" s="18"/>
      <c r="G869" s="25" t="str">
        <f t="shared" si="7"/>
        <v/>
      </c>
      <c r="H869" s="25" t="str">
        <f t="shared" si="1"/>
        <v/>
      </c>
      <c r="I869" s="30" t="str">
        <f>IF('Global Precios'!I871="","",'Global Precios'!I871)</f>
        <v/>
      </c>
      <c r="J869" s="18" t="str">
        <f>IF('Global Precios'!K871="","",'Global Precios'!K871)</f>
        <v/>
      </c>
      <c r="K869" s="30" t="str">
        <f>IF('Global Precios'!L871="","",'Global Precios'!L871)</f>
        <v/>
      </c>
      <c r="L869" s="18"/>
      <c r="M869" s="18"/>
      <c r="N869" s="18"/>
      <c r="O869" s="18"/>
      <c r="P869" s="18"/>
      <c r="Q869" s="18"/>
      <c r="R869" s="18" t="str">
        <f>IF('Global Precios'!F871="","",'Global Precios'!F871)</f>
        <v/>
      </c>
      <c r="S869" s="18"/>
      <c r="T869" s="18" t="str">
        <f>IF('Global Precios'!E871="","",'Global Precios'!E871)</f>
        <v/>
      </c>
      <c r="U869" s="18"/>
      <c r="V869" s="18" t="str">
        <f t="shared" si="2"/>
        <v/>
      </c>
      <c r="W869" s="18"/>
      <c r="X869" s="18"/>
      <c r="Y869" s="18"/>
      <c r="Z869" s="18"/>
      <c r="AA869" s="18"/>
      <c r="AB869" s="18" t="str">
        <f t="shared" si="3"/>
        <v/>
      </c>
      <c r="AC869" s="18" t="str">
        <f t="shared" si="4"/>
        <v/>
      </c>
      <c r="AD869" s="18" t="str">
        <f t="shared" si="5"/>
        <v/>
      </c>
      <c r="AE869" s="18" t="str">
        <f t="shared" si="6"/>
        <v/>
      </c>
    </row>
    <row r="870">
      <c r="A870" s="9" t="str">
        <f>IF(E870="","", IF('Global Precios'!B872="",0,'Global Precios'!B872))</f>
        <v/>
      </c>
      <c r="B870" s="14" t="str">
        <f>IF('Global Precios'!B872="","",'Global Precios'!B872)</f>
        <v/>
      </c>
      <c r="C870" s="18" t="str">
        <f>IF('Global Precios'!A872="","",'Global Precios'!A872)</f>
        <v/>
      </c>
      <c r="D870" s="18"/>
      <c r="E870" s="25" t="str">
        <f>IF('Global Precios'!D872="","",'Global Precios'!D872)</f>
        <v/>
      </c>
      <c r="F870" s="18"/>
      <c r="G870" s="25" t="str">
        <f t="shared" si="7"/>
        <v/>
      </c>
      <c r="H870" s="25" t="str">
        <f t="shared" si="1"/>
        <v/>
      </c>
      <c r="I870" s="30" t="str">
        <f>IF('Global Precios'!I872="","",'Global Precios'!I872)</f>
        <v/>
      </c>
      <c r="J870" s="18" t="str">
        <f>IF('Global Precios'!K872="","",'Global Precios'!K872)</f>
        <v/>
      </c>
      <c r="K870" s="30" t="str">
        <f>IF('Global Precios'!L872="","",'Global Precios'!L872)</f>
        <v/>
      </c>
      <c r="L870" s="18"/>
      <c r="M870" s="18"/>
      <c r="N870" s="18"/>
      <c r="O870" s="18"/>
      <c r="P870" s="18"/>
      <c r="Q870" s="18"/>
      <c r="R870" s="18" t="str">
        <f>IF('Global Precios'!F872="","",'Global Precios'!F872)</f>
        <v/>
      </c>
      <c r="S870" s="18"/>
      <c r="T870" s="18" t="str">
        <f>IF('Global Precios'!E872="","",'Global Precios'!E872)</f>
        <v/>
      </c>
      <c r="U870" s="18"/>
      <c r="V870" s="18" t="str">
        <f t="shared" si="2"/>
        <v/>
      </c>
      <c r="W870" s="18"/>
      <c r="X870" s="18"/>
      <c r="Y870" s="18"/>
      <c r="Z870" s="18"/>
      <c r="AA870" s="18"/>
      <c r="AB870" s="18" t="str">
        <f t="shared" si="3"/>
        <v/>
      </c>
      <c r="AC870" s="18" t="str">
        <f t="shared" si="4"/>
        <v/>
      </c>
      <c r="AD870" s="18" t="str">
        <f t="shared" si="5"/>
        <v/>
      </c>
      <c r="AE870" s="18" t="str">
        <f t="shared" si="6"/>
        <v/>
      </c>
    </row>
    <row r="871">
      <c r="A871" s="9" t="str">
        <f>IF(E871="","", IF('Global Precios'!B873="",0,'Global Precios'!B873))</f>
        <v/>
      </c>
      <c r="B871" s="14" t="str">
        <f>IF('Global Precios'!B873="","",'Global Precios'!B873)</f>
        <v/>
      </c>
      <c r="C871" s="18" t="str">
        <f>IF('Global Precios'!A873="","",'Global Precios'!A873)</f>
        <v/>
      </c>
      <c r="D871" s="18"/>
      <c r="E871" s="25" t="str">
        <f>IF('Global Precios'!D873="","",'Global Precios'!D873)</f>
        <v/>
      </c>
      <c r="F871" s="18"/>
      <c r="G871" s="25" t="str">
        <f t="shared" si="7"/>
        <v/>
      </c>
      <c r="H871" s="25" t="str">
        <f t="shared" si="1"/>
        <v/>
      </c>
      <c r="I871" s="30" t="str">
        <f>IF('Global Precios'!I873="","",'Global Precios'!I873)</f>
        <v/>
      </c>
      <c r="J871" s="18" t="str">
        <f>IF('Global Precios'!K873="","",'Global Precios'!K873)</f>
        <v/>
      </c>
      <c r="K871" s="30" t="str">
        <f>IF('Global Precios'!L873="","",'Global Precios'!L873)</f>
        <v/>
      </c>
      <c r="L871" s="18"/>
      <c r="M871" s="18"/>
      <c r="N871" s="18"/>
      <c r="O871" s="18"/>
      <c r="P871" s="18"/>
      <c r="Q871" s="18"/>
      <c r="R871" s="18" t="str">
        <f>IF('Global Precios'!F873="","",'Global Precios'!F873)</f>
        <v/>
      </c>
      <c r="S871" s="18"/>
      <c r="T871" s="18" t="str">
        <f>IF('Global Precios'!E873="","",'Global Precios'!E873)</f>
        <v/>
      </c>
      <c r="U871" s="18"/>
      <c r="V871" s="18" t="str">
        <f t="shared" si="2"/>
        <v/>
      </c>
      <c r="W871" s="18"/>
      <c r="X871" s="18"/>
      <c r="Y871" s="18"/>
      <c r="Z871" s="18"/>
      <c r="AA871" s="18"/>
      <c r="AB871" s="18" t="str">
        <f t="shared" si="3"/>
        <v/>
      </c>
      <c r="AC871" s="18" t="str">
        <f t="shared" si="4"/>
        <v/>
      </c>
      <c r="AD871" s="18" t="str">
        <f t="shared" si="5"/>
        <v/>
      </c>
      <c r="AE871" s="18" t="str">
        <f t="shared" si="6"/>
        <v/>
      </c>
    </row>
    <row r="872">
      <c r="A872" s="9" t="str">
        <f>IF(E872="","", IF('Global Precios'!B874="",0,'Global Precios'!B874))</f>
        <v/>
      </c>
      <c r="B872" s="14" t="str">
        <f>IF('Global Precios'!B874="","",'Global Precios'!B874)</f>
        <v/>
      </c>
      <c r="C872" s="18" t="str">
        <f>IF('Global Precios'!A874="","",'Global Precios'!A874)</f>
        <v/>
      </c>
      <c r="D872" s="18"/>
      <c r="E872" s="25" t="str">
        <f>IF('Global Precios'!D874="","",'Global Precios'!D874)</f>
        <v/>
      </c>
      <c r="F872" s="18"/>
      <c r="G872" s="25" t="str">
        <f t="shared" si="7"/>
        <v/>
      </c>
      <c r="H872" s="25" t="str">
        <f t="shared" si="1"/>
        <v/>
      </c>
      <c r="I872" s="30" t="str">
        <f>IF('Global Precios'!I874="","",'Global Precios'!I874)</f>
        <v/>
      </c>
      <c r="J872" s="18" t="str">
        <f>IF('Global Precios'!K874="","",'Global Precios'!K874)</f>
        <v/>
      </c>
      <c r="K872" s="30" t="str">
        <f>IF('Global Precios'!L874="","",'Global Precios'!L874)</f>
        <v/>
      </c>
      <c r="L872" s="18"/>
      <c r="M872" s="18"/>
      <c r="N872" s="18"/>
      <c r="O872" s="18"/>
      <c r="P872" s="18"/>
      <c r="Q872" s="18"/>
      <c r="R872" s="18" t="str">
        <f>IF('Global Precios'!F874="","",'Global Precios'!F874)</f>
        <v/>
      </c>
      <c r="S872" s="18"/>
      <c r="T872" s="18" t="str">
        <f>IF('Global Precios'!E874="","",'Global Precios'!E874)</f>
        <v/>
      </c>
      <c r="U872" s="18"/>
      <c r="V872" s="18" t="str">
        <f t="shared" si="2"/>
        <v/>
      </c>
      <c r="W872" s="18"/>
      <c r="X872" s="18"/>
      <c r="Y872" s="18"/>
      <c r="Z872" s="18"/>
      <c r="AA872" s="18"/>
      <c r="AB872" s="18" t="str">
        <f t="shared" si="3"/>
        <v/>
      </c>
      <c r="AC872" s="18" t="str">
        <f t="shared" si="4"/>
        <v/>
      </c>
      <c r="AD872" s="18" t="str">
        <f t="shared" si="5"/>
        <v/>
      </c>
      <c r="AE872" s="18" t="str">
        <f t="shared" si="6"/>
        <v/>
      </c>
    </row>
    <row r="873">
      <c r="A873" s="9" t="str">
        <f>IF(E873="","", IF('Global Precios'!B875="",0,'Global Precios'!B875))</f>
        <v/>
      </c>
      <c r="B873" s="14" t="str">
        <f>IF('Global Precios'!B875="","",'Global Precios'!B875)</f>
        <v/>
      </c>
      <c r="C873" s="18" t="str">
        <f>IF('Global Precios'!A875="","",'Global Precios'!A875)</f>
        <v/>
      </c>
      <c r="D873" s="18"/>
      <c r="E873" s="25" t="str">
        <f>IF('Global Precios'!D875="","",'Global Precios'!D875)</f>
        <v/>
      </c>
      <c r="F873" s="18"/>
      <c r="G873" s="25" t="str">
        <f t="shared" si="7"/>
        <v/>
      </c>
      <c r="H873" s="25" t="str">
        <f t="shared" si="1"/>
        <v/>
      </c>
      <c r="I873" s="30" t="str">
        <f>IF('Global Precios'!I875="","",'Global Precios'!I875)</f>
        <v/>
      </c>
      <c r="J873" s="18" t="str">
        <f>IF('Global Precios'!K875="","",'Global Precios'!K875)</f>
        <v/>
      </c>
      <c r="K873" s="30" t="str">
        <f>IF('Global Precios'!L875="","",'Global Precios'!L875)</f>
        <v/>
      </c>
      <c r="L873" s="18"/>
      <c r="M873" s="18"/>
      <c r="N873" s="18"/>
      <c r="O873" s="18"/>
      <c r="P873" s="18"/>
      <c r="Q873" s="18"/>
      <c r="R873" s="18" t="str">
        <f>IF('Global Precios'!F875="","",'Global Precios'!F875)</f>
        <v/>
      </c>
      <c r="S873" s="18"/>
      <c r="T873" s="18" t="str">
        <f>IF('Global Precios'!E875="","",'Global Precios'!E875)</f>
        <v/>
      </c>
      <c r="U873" s="18"/>
      <c r="V873" s="18" t="str">
        <f t="shared" si="2"/>
        <v/>
      </c>
      <c r="W873" s="18"/>
      <c r="X873" s="18"/>
      <c r="Y873" s="18"/>
      <c r="Z873" s="18"/>
      <c r="AA873" s="18"/>
      <c r="AB873" s="18" t="str">
        <f t="shared" si="3"/>
        <v/>
      </c>
      <c r="AC873" s="18" t="str">
        <f t="shared" si="4"/>
        <v/>
      </c>
      <c r="AD873" s="18" t="str">
        <f t="shared" si="5"/>
        <v/>
      </c>
      <c r="AE873" s="18" t="str">
        <f t="shared" si="6"/>
        <v/>
      </c>
    </row>
    <row r="874">
      <c r="A874" s="9" t="str">
        <f>IF(E874="","", IF('Global Precios'!B876="",0,'Global Precios'!B876))</f>
        <v/>
      </c>
      <c r="B874" s="14" t="str">
        <f>IF('Global Precios'!B876="","",'Global Precios'!B876)</f>
        <v/>
      </c>
      <c r="C874" s="18" t="str">
        <f>IF('Global Precios'!A876="","",'Global Precios'!A876)</f>
        <v/>
      </c>
      <c r="D874" s="18"/>
      <c r="E874" s="25" t="str">
        <f>IF('Global Precios'!D876="","",'Global Precios'!D876)</f>
        <v/>
      </c>
      <c r="F874" s="18"/>
      <c r="G874" s="25" t="str">
        <f t="shared" si="7"/>
        <v/>
      </c>
      <c r="H874" s="25" t="str">
        <f t="shared" si="1"/>
        <v/>
      </c>
      <c r="I874" s="30" t="str">
        <f>IF('Global Precios'!I876="","",'Global Precios'!I876)</f>
        <v/>
      </c>
      <c r="J874" s="18" t="str">
        <f>IF('Global Precios'!K876="","",'Global Precios'!K876)</f>
        <v/>
      </c>
      <c r="K874" s="30" t="str">
        <f>IF('Global Precios'!L876="","",'Global Precios'!L876)</f>
        <v/>
      </c>
      <c r="L874" s="18"/>
      <c r="M874" s="18"/>
      <c r="N874" s="18"/>
      <c r="O874" s="18"/>
      <c r="P874" s="18"/>
      <c r="Q874" s="18"/>
      <c r="R874" s="18" t="str">
        <f>IF('Global Precios'!F876="","",'Global Precios'!F876)</f>
        <v/>
      </c>
      <c r="S874" s="18"/>
      <c r="T874" s="18" t="str">
        <f>IF('Global Precios'!E876="","",'Global Precios'!E876)</f>
        <v/>
      </c>
      <c r="U874" s="18"/>
      <c r="V874" s="18" t="str">
        <f t="shared" si="2"/>
        <v/>
      </c>
      <c r="W874" s="18"/>
      <c r="X874" s="18"/>
      <c r="Y874" s="18"/>
      <c r="Z874" s="18"/>
      <c r="AA874" s="18"/>
      <c r="AB874" s="18" t="str">
        <f t="shared" si="3"/>
        <v/>
      </c>
      <c r="AC874" s="18" t="str">
        <f t="shared" si="4"/>
        <v/>
      </c>
      <c r="AD874" s="18" t="str">
        <f t="shared" si="5"/>
        <v/>
      </c>
      <c r="AE874" s="18" t="str">
        <f t="shared" si="6"/>
        <v/>
      </c>
    </row>
    <row r="875">
      <c r="A875" s="9" t="str">
        <f>IF(E875="","", IF('Global Precios'!B877="",0,'Global Precios'!B877))</f>
        <v/>
      </c>
      <c r="B875" s="14" t="str">
        <f>IF('Global Precios'!B877="","",'Global Precios'!B877)</f>
        <v/>
      </c>
      <c r="C875" s="18" t="str">
        <f>IF('Global Precios'!A877="","",'Global Precios'!A877)</f>
        <v/>
      </c>
      <c r="D875" s="18"/>
      <c r="E875" s="25" t="str">
        <f>IF('Global Precios'!D877="","",'Global Precios'!D877)</f>
        <v/>
      </c>
      <c r="F875" s="18"/>
      <c r="G875" s="25" t="str">
        <f t="shared" si="7"/>
        <v/>
      </c>
      <c r="H875" s="25" t="str">
        <f t="shared" si="1"/>
        <v/>
      </c>
      <c r="I875" s="30" t="str">
        <f>IF('Global Precios'!I877="","",'Global Precios'!I877)</f>
        <v/>
      </c>
      <c r="J875" s="18" t="str">
        <f>IF('Global Precios'!K877="","",'Global Precios'!K877)</f>
        <v/>
      </c>
      <c r="K875" s="30" t="str">
        <f>IF('Global Precios'!L877="","",'Global Precios'!L877)</f>
        <v/>
      </c>
      <c r="L875" s="18"/>
      <c r="M875" s="18"/>
      <c r="N875" s="18"/>
      <c r="O875" s="18"/>
      <c r="P875" s="18"/>
      <c r="Q875" s="18"/>
      <c r="R875" s="18" t="str">
        <f>IF('Global Precios'!F877="","",'Global Precios'!F877)</f>
        <v/>
      </c>
      <c r="S875" s="18"/>
      <c r="T875" s="18" t="str">
        <f>IF('Global Precios'!E877="","",'Global Precios'!E877)</f>
        <v/>
      </c>
      <c r="U875" s="18"/>
      <c r="V875" s="18" t="str">
        <f t="shared" si="2"/>
        <v/>
      </c>
      <c r="W875" s="18"/>
      <c r="X875" s="18"/>
      <c r="Y875" s="18"/>
      <c r="Z875" s="18"/>
      <c r="AA875" s="18"/>
      <c r="AB875" s="18" t="str">
        <f t="shared" si="3"/>
        <v/>
      </c>
      <c r="AC875" s="18" t="str">
        <f t="shared" si="4"/>
        <v/>
      </c>
      <c r="AD875" s="18" t="str">
        <f t="shared" si="5"/>
        <v/>
      </c>
      <c r="AE875" s="18" t="str">
        <f t="shared" si="6"/>
        <v/>
      </c>
    </row>
    <row r="876">
      <c r="A876" s="9" t="str">
        <f>IF(E876="","", IF('Global Precios'!B878="",0,'Global Precios'!B878))</f>
        <v/>
      </c>
      <c r="B876" s="14" t="str">
        <f>IF('Global Precios'!B878="","",'Global Precios'!B878)</f>
        <v/>
      </c>
      <c r="C876" s="18" t="str">
        <f>IF('Global Precios'!A878="","",'Global Precios'!A878)</f>
        <v/>
      </c>
      <c r="D876" s="18"/>
      <c r="E876" s="25" t="str">
        <f>IF('Global Precios'!D878="","",'Global Precios'!D878)</f>
        <v/>
      </c>
      <c r="F876" s="18"/>
      <c r="G876" s="25" t="str">
        <f t="shared" si="7"/>
        <v/>
      </c>
      <c r="H876" s="25" t="str">
        <f t="shared" si="1"/>
        <v/>
      </c>
      <c r="I876" s="30" t="str">
        <f>IF('Global Precios'!I878="","",'Global Precios'!I878)</f>
        <v/>
      </c>
      <c r="J876" s="18" t="str">
        <f>IF('Global Precios'!K878="","",'Global Precios'!K878)</f>
        <v/>
      </c>
      <c r="K876" s="30" t="str">
        <f>IF('Global Precios'!L878="","",'Global Precios'!L878)</f>
        <v/>
      </c>
      <c r="L876" s="18"/>
      <c r="M876" s="18"/>
      <c r="N876" s="18"/>
      <c r="O876" s="18"/>
      <c r="P876" s="18"/>
      <c r="Q876" s="18"/>
      <c r="R876" s="18" t="str">
        <f>IF('Global Precios'!F878="","",'Global Precios'!F878)</f>
        <v/>
      </c>
      <c r="S876" s="18"/>
      <c r="T876" s="18" t="str">
        <f>IF('Global Precios'!E878="","",'Global Precios'!E878)</f>
        <v/>
      </c>
      <c r="U876" s="18"/>
      <c r="V876" s="18" t="str">
        <f t="shared" si="2"/>
        <v/>
      </c>
      <c r="W876" s="18"/>
      <c r="X876" s="18"/>
      <c r="Y876" s="18"/>
      <c r="Z876" s="18"/>
      <c r="AA876" s="18"/>
      <c r="AB876" s="18" t="str">
        <f t="shared" si="3"/>
        <v/>
      </c>
      <c r="AC876" s="18" t="str">
        <f t="shared" si="4"/>
        <v/>
      </c>
      <c r="AD876" s="18" t="str">
        <f t="shared" si="5"/>
        <v/>
      </c>
      <c r="AE876" s="18" t="str">
        <f t="shared" si="6"/>
        <v/>
      </c>
    </row>
    <row r="877">
      <c r="A877" s="9" t="str">
        <f>IF(E877="","", IF('Global Precios'!B879="",0,'Global Precios'!B879))</f>
        <v/>
      </c>
      <c r="B877" s="14" t="str">
        <f>IF('Global Precios'!B879="","",'Global Precios'!B879)</f>
        <v/>
      </c>
      <c r="C877" s="18" t="str">
        <f>IF('Global Precios'!A879="","",'Global Precios'!A879)</f>
        <v/>
      </c>
      <c r="D877" s="18"/>
      <c r="E877" s="25" t="str">
        <f>IF('Global Precios'!D879="","",'Global Precios'!D879)</f>
        <v/>
      </c>
      <c r="F877" s="18"/>
      <c r="G877" s="25" t="str">
        <f t="shared" si="7"/>
        <v/>
      </c>
      <c r="H877" s="25" t="str">
        <f t="shared" si="1"/>
        <v/>
      </c>
      <c r="I877" s="30" t="str">
        <f>IF('Global Precios'!I879="","",'Global Precios'!I879)</f>
        <v/>
      </c>
      <c r="J877" s="18" t="str">
        <f>IF('Global Precios'!K879="","",'Global Precios'!K879)</f>
        <v/>
      </c>
      <c r="K877" s="30" t="str">
        <f>IF('Global Precios'!L879="","",'Global Precios'!L879)</f>
        <v/>
      </c>
      <c r="L877" s="18"/>
      <c r="M877" s="18"/>
      <c r="N877" s="18"/>
      <c r="O877" s="18"/>
      <c r="P877" s="18"/>
      <c r="Q877" s="18"/>
      <c r="R877" s="18" t="str">
        <f>IF('Global Precios'!F879="","",'Global Precios'!F879)</f>
        <v/>
      </c>
      <c r="S877" s="18"/>
      <c r="T877" s="18" t="str">
        <f>IF('Global Precios'!E879="","",'Global Precios'!E879)</f>
        <v/>
      </c>
      <c r="U877" s="18"/>
      <c r="V877" s="18" t="str">
        <f t="shared" si="2"/>
        <v/>
      </c>
      <c r="W877" s="18"/>
      <c r="X877" s="18"/>
      <c r="Y877" s="18"/>
      <c r="Z877" s="18"/>
      <c r="AA877" s="18"/>
      <c r="AB877" s="18" t="str">
        <f t="shared" si="3"/>
        <v/>
      </c>
      <c r="AC877" s="18" t="str">
        <f t="shared" si="4"/>
        <v/>
      </c>
      <c r="AD877" s="18" t="str">
        <f t="shared" si="5"/>
        <v/>
      </c>
      <c r="AE877" s="18" t="str">
        <f t="shared" si="6"/>
        <v/>
      </c>
    </row>
    <row r="878">
      <c r="A878" s="9" t="str">
        <f>IF(E878="","", IF('Global Precios'!B880="",0,'Global Precios'!B880))</f>
        <v/>
      </c>
      <c r="B878" s="14" t="str">
        <f>IF('Global Precios'!B880="","",'Global Precios'!B880)</f>
        <v/>
      </c>
      <c r="C878" s="18" t="str">
        <f>IF('Global Precios'!A880="","",'Global Precios'!A880)</f>
        <v/>
      </c>
      <c r="D878" s="18"/>
      <c r="E878" s="25" t="str">
        <f>IF('Global Precios'!D880="","",'Global Precios'!D880)</f>
        <v/>
      </c>
      <c r="F878" s="18"/>
      <c r="G878" s="25" t="str">
        <f t="shared" si="7"/>
        <v/>
      </c>
      <c r="H878" s="25" t="str">
        <f t="shared" si="1"/>
        <v/>
      </c>
      <c r="I878" s="30" t="str">
        <f>IF('Global Precios'!I880="","",'Global Precios'!I880)</f>
        <v/>
      </c>
      <c r="J878" s="18" t="str">
        <f>IF('Global Precios'!K880="","",'Global Precios'!K880)</f>
        <v/>
      </c>
      <c r="K878" s="30" t="str">
        <f>IF('Global Precios'!L880="","",'Global Precios'!L880)</f>
        <v/>
      </c>
      <c r="L878" s="18"/>
      <c r="M878" s="18"/>
      <c r="N878" s="18"/>
      <c r="O878" s="18"/>
      <c r="P878" s="18"/>
      <c r="Q878" s="18"/>
      <c r="R878" s="18" t="str">
        <f>IF('Global Precios'!F880="","",'Global Precios'!F880)</f>
        <v/>
      </c>
      <c r="S878" s="18"/>
      <c r="T878" s="18" t="str">
        <f>IF('Global Precios'!E880="","",'Global Precios'!E880)</f>
        <v/>
      </c>
      <c r="U878" s="18"/>
      <c r="V878" s="18" t="str">
        <f t="shared" si="2"/>
        <v/>
      </c>
      <c r="W878" s="18"/>
      <c r="X878" s="18"/>
      <c r="Y878" s="18"/>
      <c r="Z878" s="18"/>
      <c r="AA878" s="18"/>
      <c r="AB878" s="18" t="str">
        <f t="shared" si="3"/>
        <v/>
      </c>
      <c r="AC878" s="18" t="str">
        <f t="shared" si="4"/>
        <v/>
      </c>
      <c r="AD878" s="18" t="str">
        <f t="shared" si="5"/>
        <v/>
      </c>
      <c r="AE878" s="18" t="str">
        <f t="shared" si="6"/>
        <v/>
      </c>
    </row>
    <row r="879">
      <c r="A879" s="9" t="str">
        <f>IF(E879="","", IF('Global Precios'!B881="",0,'Global Precios'!B881))</f>
        <v/>
      </c>
      <c r="B879" s="14" t="str">
        <f>IF('Global Precios'!B881="","",'Global Precios'!B881)</f>
        <v/>
      </c>
      <c r="C879" s="18" t="str">
        <f>IF('Global Precios'!A881="","",'Global Precios'!A881)</f>
        <v/>
      </c>
      <c r="D879" s="18"/>
      <c r="E879" s="25" t="str">
        <f>IF('Global Precios'!D881="","",'Global Precios'!D881)</f>
        <v/>
      </c>
      <c r="F879" s="18"/>
      <c r="G879" s="25" t="str">
        <f t="shared" si="7"/>
        <v/>
      </c>
      <c r="H879" s="25" t="str">
        <f t="shared" si="1"/>
        <v/>
      </c>
      <c r="I879" s="30" t="str">
        <f>IF('Global Precios'!I881="","",'Global Precios'!I881)</f>
        <v/>
      </c>
      <c r="J879" s="18" t="str">
        <f>IF('Global Precios'!K881="","",'Global Precios'!K881)</f>
        <v/>
      </c>
      <c r="K879" s="30" t="str">
        <f>IF('Global Precios'!L881="","",'Global Precios'!L881)</f>
        <v/>
      </c>
      <c r="L879" s="18"/>
      <c r="M879" s="18"/>
      <c r="N879" s="18"/>
      <c r="O879" s="18"/>
      <c r="P879" s="18"/>
      <c r="Q879" s="18"/>
      <c r="R879" s="18" t="str">
        <f>IF('Global Precios'!F881="","",'Global Precios'!F881)</f>
        <v/>
      </c>
      <c r="S879" s="18"/>
      <c r="T879" s="18" t="str">
        <f>IF('Global Precios'!E881="","",'Global Precios'!E881)</f>
        <v/>
      </c>
      <c r="U879" s="18"/>
      <c r="V879" s="18" t="str">
        <f t="shared" si="2"/>
        <v/>
      </c>
      <c r="W879" s="18"/>
      <c r="X879" s="18"/>
      <c r="Y879" s="18"/>
      <c r="Z879" s="18"/>
      <c r="AA879" s="18"/>
      <c r="AB879" s="18" t="str">
        <f t="shared" si="3"/>
        <v/>
      </c>
      <c r="AC879" s="18" t="str">
        <f t="shared" si="4"/>
        <v/>
      </c>
      <c r="AD879" s="18" t="str">
        <f t="shared" si="5"/>
        <v/>
      </c>
      <c r="AE879" s="18" t="str">
        <f t="shared" si="6"/>
        <v/>
      </c>
    </row>
    <row r="880">
      <c r="A880" s="9" t="str">
        <f>IF(E880="","", IF('Global Precios'!B882="",0,'Global Precios'!B882))</f>
        <v/>
      </c>
      <c r="B880" s="14" t="str">
        <f>IF('Global Precios'!B882="","",'Global Precios'!B882)</f>
        <v/>
      </c>
      <c r="C880" s="18" t="str">
        <f>IF('Global Precios'!A882="","",'Global Precios'!A882)</f>
        <v/>
      </c>
      <c r="D880" s="18"/>
      <c r="E880" s="25" t="str">
        <f>IF('Global Precios'!D882="","",'Global Precios'!D882)</f>
        <v/>
      </c>
      <c r="F880" s="18"/>
      <c r="G880" s="25" t="str">
        <f t="shared" si="7"/>
        <v/>
      </c>
      <c r="H880" s="25" t="str">
        <f t="shared" si="1"/>
        <v/>
      </c>
      <c r="I880" s="30" t="str">
        <f>IF('Global Precios'!I882="","",'Global Precios'!I882)</f>
        <v/>
      </c>
      <c r="J880" s="18" t="str">
        <f>IF('Global Precios'!K882="","",'Global Precios'!K882)</f>
        <v/>
      </c>
      <c r="K880" s="30" t="str">
        <f>IF('Global Precios'!L882="","",'Global Precios'!L882)</f>
        <v/>
      </c>
      <c r="L880" s="18"/>
      <c r="M880" s="18"/>
      <c r="N880" s="18"/>
      <c r="O880" s="18"/>
      <c r="P880" s="18"/>
      <c r="Q880" s="18"/>
      <c r="R880" s="18" t="str">
        <f>IF('Global Precios'!F882="","",'Global Precios'!F882)</f>
        <v/>
      </c>
      <c r="S880" s="18"/>
      <c r="T880" s="18" t="str">
        <f>IF('Global Precios'!E882="","",'Global Precios'!E882)</f>
        <v/>
      </c>
      <c r="U880" s="18"/>
      <c r="V880" s="18" t="str">
        <f t="shared" si="2"/>
        <v/>
      </c>
      <c r="W880" s="18"/>
      <c r="X880" s="18"/>
      <c r="Y880" s="18"/>
      <c r="Z880" s="18"/>
      <c r="AA880" s="18"/>
      <c r="AB880" s="18" t="str">
        <f t="shared" si="3"/>
        <v/>
      </c>
      <c r="AC880" s="18" t="str">
        <f t="shared" si="4"/>
        <v/>
      </c>
      <c r="AD880" s="18" t="str">
        <f t="shared" si="5"/>
        <v/>
      </c>
      <c r="AE880" s="18" t="str">
        <f t="shared" si="6"/>
        <v/>
      </c>
    </row>
    <row r="881">
      <c r="A881" s="9" t="str">
        <f>IF(E881="","", IF('Global Precios'!B883="",0,'Global Precios'!B883))</f>
        <v/>
      </c>
      <c r="B881" s="14" t="str">
        <f>IF('Global Precios'!B883="","",'Global Precios'!B883)</f>
        <v/>
      </c>
      <c r="C881" s="18" t="str">
        <f>IF('Global Precios'!A883="","",'Global Precios'!A883)</f>
        <v/>
      </c>
      <c r="D881" s="18"/>
      <c r="E881" s="25" t="str">
        <f>IF('Global Precios'!D883="","",'Global Precios'!D883)</f>
        <v/>
      </c>
      <c r="F881" s="18"/>
      <c r="G881" s="25" t="str">
        <f t="shared" si="7"/>
        <v/>
      </c>
      <c r="H881" s="25" t="str">
        <f t="shared" si="1"/>
        <v/>
      </c>
      <c r="I881" s="30" t="str">
        <f>IF('Global Precios'!I883="","",'Global Precios'!I883)</f>
        <v/>
      </c>
      <c r="J881" s="18" t="str">
        <f>IF('Global Precios'!K883="","",'Global Precios'!K883)</f>
        <v/>
      </c>
      <c r="K881" s="30" t="str">
        <f>IF('Global Precios'!L883="","",'Global Precios'!L883)</f>
        <v/>
      </c>
      <c r="L881" s="18"/>
      <c r="M881" s="18"/>
      <c r="N881" s="18"/>
      <c r="O881" s="18"/>
      <c r="P881" s="18"/>
      <c r="Q881" s="18"/>
      <c r="R881" s="18" t="str">
        <f>IF('Global Precios'!F883="","",'Global Precios'!F883)</f>
        <v/>
      </c>
      <c r="S881" s="18"/>
      <c r="T881" s="18" t="str">
        <f>IF('Global Precios'!E883="","",'Global Precios'!E883)</f>
        <v/>
      </c>
      <c r="U881" s="18"/>
      <c r="V881" s="18" t="str">
        <f t="shared" si="2"/>
        <v/>
      </c>
      <c r="W881" s="18"/>
      <c r="X881" s="18"/>
      <c r="Y881" s="18"/>
      <c r="Z881" s="18"/>
      <c r="AA881" s="18"/>
      <c r="AB881" s="18" t="str">
        <f t="shared" si="3"/>
        <v/>
      </c>
      <c r="AC881" s="18" t="str">
        <f t="shared" si="4"/>
        <v/>
      </c>
      <c r="AD881" s="18" t="str">
        <f t="shared" si="5"/>
        <v/>
      </c>
      <c r="AE881" s="18" t="str">
        <f t="shared" si="6"/>
        <v/>
      </c>
    </row>
    <row r="882">
      <c r="A882" s="9" t="str">
        <f>IF(E882="","", IF('Global Precios'!B884="",0,'Global Precios'!B884))</f>
        <v/>
      </c>
      <c r="B882" s="14" t="str">
        <f>IF('Global Precios'!B884="","",'Global Precios'!B884)</f>
        <v/>
      </c>
      <c r="C882" s="18" t="str">
        <f>IF('Global Precios'!A884="","",'Global Precios'!A884)</f>
        <v/>
      </c>
      <c r="D882" s="18"/>
      <c r="E882" s="25" t="str">
        <f>IF('Global Precios'!D884="","",'Global Precios'!D884)</f>
        <v/>
      </c>
      <c r="F882" s="18"/>
      <c r="G882" s="25" t="str">
        <f t="shared" si="7"/>
        <v/>
      </c>
      <c r="H882" s="25" t="str">
        <f t="shared" si="1"/>
        <v/>
      </c>
      <c r="I882" s="30" t="str">
        <f>IF('Global Precios'!I884="","",'Global Precios'!I884)</f>
        <v/>
      </c>
      <c r="J882" s="18" t="str">
        <f>IF('Global Precios'!K884="","",'Global Precios'!K884)</f>
        <v/>
      </c>
      <c r="K882" s="30" t="str">
        <f>IF('Global Precios'!L884="","",'Global Precios'!L884)</f>
        <v/>
      </c>
      <c r="L882" s="18"/>
      <c r="M882" s="18"/>
      <c r="N882" s="18"/>
      <c r="O882" s="18"/>
      <c r="P882" s="18"/>
      <c r="Q882" s="18"/>
      <c r="R882" s="18" t="str">
        <f>IF('Global Precios'!F884="","",'Global Precios'!F884)</f>
        <v/>
      </c>
      <c r="S882" s="18"/>
      <c r="T882" s="18" t="str">
        <f>IF('Global Precios'!E884="","",'Global Precios'!E884)</f>
        <v/>
      </c>
      <c r="U882" s="18"/>
      <c r="V882" s="18" t="str">
        <f t="shared" si="2"/>
        <v/>
      </c>
      <c r="W882" s="18"/>
      <c r="X882" s="18"/>
      <c r="Y882" s="18"/>
      <c r="Z882" s="18"/>
      <c r="AA882" s="18"/>
      <c r="AB882" s="18" t="str">
        <f t="shared" si="3"/>
        <v/>
      </c>
      <c r="AC882" s="18" t="str">
        <f t="shared" si="4"/>
        <v/>
      </c>
      <c r="AD882" s="18" t="str">
        <f t="shared" si="5"/>
        <v/>
      </c>
      <c r="AE882" s="18" t="str">
        <f t="shared" si="6"/>
        <v/>
      </c>
    </row>
    <row r="883">
      <c r="A883" s="9" t="str">
        <f>IF(E883="","", IF('Global Precios'!B885="",0,'Global Precios'!B885))</f>
        <v/>
      </c>
      <c r="B883" s="14" t="str">
        <f>IF('Global Precios'!B885="","",'Global Precios'!B885)</f>
        <v/>
      </c>
      <c r="C883" s="18" t="str">
        <f>IF('Global Precios'!A885="","",'Global Precios'!A885)</f>
        <v/>
      </c>
      <c r="D883" s="18"/>
      <c r="E883" s="25" t="str">
        <f>IF('Global Precios'!D885="","",'Global Precios'!D885)</f>
        <v/>
      </c>
      <c r="F883" s="18"/>
      <c r="G883" s="25" t="str">
        <f t="shared" si="7"/>
        <v/>
      </c>
      <c r="H883" s="25" t="str">
        <f t="shared" si="1"/>
        <v/>
      </c>
      <c r="I883" s="30" t="str">
        <f>IF('Global Precios'!I885="","",'Global Precios'!I885)</f>
        <v/>
      </c>
      <c r="J883" s="18" t="str">
        <f>IF('Global Precios'!K885="","",'Global Precios'!K885)</f>
        <v/>
      </c>
      <c r="K883" s="30" t="str">
        <f>IF('Global Precios'!L885="","",'Global Precios'!L885)</f>
        <v/>
      </c>
      <c r="L883" s="18"/>
      <c r="M883" s="18"/>
      <c r="N883" s="18"/>
      <c r="O883" s="18"/>
      <c r="P883" s="18"/>
      <c r="Q883" s="18"/>
      <c r="R883" s="18" t="str">
        <f>IF('Global Precios'!F885="","",'Global Precios'!F885)</f>
        <v/>
      </c>
      <c r="S883" s="18"/>
      <c r="T883" s="18" t="str">
        <f>IF('Global Precios'!E885="","",'Global Precios'!E885)</f>
        <v/>
      </c>
      <c r="U883" s="18"/>
      <c r="V883" s="18" t="str">
        <f t="shared" si="2"/>
        <v/>
      </c>
      <c r="W883" s="18"/>
      <c r="X883" s="18"/>
      <c r="Y883" s="18"/>
      <c r="Z883" s="18"/>
      <c r="AA883" s="18"/>
      <c r="AB883" s="18" t="str">
        <f t="shared" si="3"/>
        <v/>
      </c>
      <c r="AC883" s="18" t="str">
        <f t="shared" si="4"/>
        <v/>
      </c>
      <c r="AD883" s="18" t="str">
        <f t="shared" si="5"/>
        <v/>
      </c>
      <c r="AE883" s="18" t="str">
        <f t="shared" si="6"/>
        <v/>
      </c>
    </row>
    <row r="884">
      <c r="A884" s="9" t="str">
        <f>IF(E884="","", IF('Global Precios'!B886="",0,'Global Precios'!B886))</f>
        <v/>
      </c>
      <c r="B884" s="14" t="str">
        <f>IF('Global Precios'!B886="","",'Global Precios'!B886)</f>
        <v/>
      </c>
      <c r="C884" s="18" t="str">
        <f>IF('Global Precios'!A886="","",'Global Precios'!A886)</f>
        <v/>
      </c>
      <c r="D884" s="18"/>
      <c r="E884" s="25" t="str">
        <f>IF('Global Precios'!D886="","",'Global Precios'!D886)</f>
        <v/>
      </c>
      <c r="F884" s="18"/>
      <c r="G884" s="25" t="str">
        <f t="shared" si="7"/>
        <v/>
      </c>
      <c r="H884" s="25" t="str">
        <f t="shared" si="1"/>
        <v/>
      </c>
      <c r="I884" s="30" t="str">
        <f>IF('Global Precios'!I886="","",'Global Precios'!I886)</f>
        <v/>
      </c>
      <c r="J884" s="18" t="str">
        <f>IF('Global Precios'!K886="","",'Global Precios'!K886)</f>
        <v/>
      </c>
      <c r="K884" s="30" t="str">
        <f>IF('Global Precios'!L886="","",'Global Precios'!L886)</f>
        <v/>
      </c>
      <c r="L884" s="18"/>
      <c r="M884" s="18"/>
      <c r="N884" s="18"/>
      <c r="O884" s="18"/>
      <c r="P884" s="18"/>
      <c r="Q884" s="18"/>
      <c r="R884" s="18" t="str">
        <f>IF('Global Precios'!F886="","",'Global Precios'!F886)</f>
        <v/>
      </c>
      <c r="S884" s="18"/>
      <c r="T884" s="18" t="str">
        <f>IF('Global Precios'!E886="","",'Global Precios'!E886)</f>
        <v/>
      </c>
      <c r="U884" s="18"/>
      <c r="V884" s="18" t="str">
        <f t="shared" si="2"/>
        <v/>
      </c>
      <c r="W884" s="18"/>
      <c r="X884" s="18"/>
      <c r="Y884" s="18"/>
      <c r="Z884" s="18"/>
      <c r="AA884" s="18"/>
      <c r="AB884" s="18" t="str">
        <f t="shared" si="3"/>
        <v/>
      </c>
      <c r="AC884" s="18" t="str">
        <f t="shared" si="4"/>
        <v/>
      </c>
      <c r="AD884" s="18" t="str">
        <f t="shared" si="5"/>
        <v/>
      </c>
      <c r="AE884" s="18" t="str">
        <f t="shared" si="6"/>
        <v/>
      </c>
    </row>
    <row r="885">
      <c r="A885" s="9" t="str">
        <f>IF(E885="","", IF('Global Precios'!B887="",0,'Global Precios'!B887))</f>
        <v/>
      </c>
      <c r="B885" s="14" t="str">
        <f>IF('Global Precios'!B887="","",'Global Precios'!B887)</f>
        <v/>
      </c>
      <c r="C885" s="18" t="str">
        <f>IF('Global Precios'!A887="","",'Global Precios'!A887)</f>
        <v/>
      </c>
      <c r="D885" s="18"/>
      <c r="E885" s="25" t="str">
        <f>IF('Global Precios'!D887="","",'Global Precios'!D887)</f>
        <v/>
      </c>
      <c r="F885" s="18"/>
      <c r="G885" s="25" t="str">
        <f t="shared" si="7"/>
        <v/>
      </c>
      <c r="H885" s="25" t="str">
        <f t="shared" si="1"/>
        <v/>
      </c>
      <c r="I885" s="30" t="str">
        <f>IF('Global Precios'!I887="","",'Global Precios'!I887)</f>
        <v/>
      </c>
      <c r="J885" s="18" t="str">
        <f>IF('Global Precios'!K887="","",'Global Precios'!K887)</f>
        <v/>
      </c>
      <c r="K885" s="30" t="str">
        <f>IF('Global Precios'!L887="","",'Global Precios'!L887)</f>
        <v/>
      </c>
      <c r="L885" s="18"/>
      <c r="M885" s="18"/>
      <c r="N885" s="18"/>
      <c r="O885" s="18"/>
      <c r="P885" s="18"/>
      <c r="Q885" s="18"/>
      <c r="R885" s="18" t="str">
        <f>IF('Global Precios'!F887="","",'Global Precios'!F887)</f>
        <v/>
      </c>
      <c r="S885" s="18"/>
      <c r="T885" s="18" t="str">
        <f>IF('Global Precios'!E887="","",'Global Precios'!E887)</f>
        <v/>
      </c>
      <c r="U885" s="18"/>
      <c r="V885" s="18" t="str">
        <f t="shared" si="2"/>
        <v/>
      </c>
      <c r="W885" s="18"/>
      <c r="X885" s="18"/>
      <c r="Y885" s="18"/>
      <c r="Z885" s="18"/>
      <c r="AA885" s="18"/>
      <c r="AB885" s="18" t="str">
        <f t="shared" si="3"/>
        <v/>
      </c>
      <c r="AC885" s="18" t="str">
        <f t="shared" si="4"/>
        <v/>
      </c>
      <c r="AD885" s="18" t="str">
        <f t="shared" si="5"/>
        <v/>
      </c>
      <c r="AE885" s="18" t="str">
        <f t="shared" si="6"/>
        <v/>
      </c>
    </row>
    <row r="886">
      <c r="A886" s="9" t="str">
        <f>IF(E886="","", IF('Global Precios'!B888="",0,'Global Precios'!B888))</f>
        <v/>
      </c>
      <c r="B886" s="14" t="str">
        <f>IF('Global Precios'!B888="","",'Global Precios'!B888)</f>
        <v/>
      </c>
      <c r="C886" s="18" t="str">
        <f>IF('Global Precios'!A888="","",'Global Precios'!A888)</f>
        <v/>
      </c>
      <c r="D886" s="18"/>
      <c r="E886" s="25" t="str">
        <f>IF('Global Precios'!D888="","",'Global Precios'!D888)</f>
        <v/>
      </c>
      <c r="F886" s="18"/>
      <c r="G886" s="25" t="str">
        <f t="shared" si="7"/>
        <v/>
      </c>
      <c r="H886" s="25" t="str">
        <f t="shared" si="1"/>
        <v/>
      </c>
      <c r="I886" s="30" t="str">
        <f>IF('Global Precios'!I888="","",'Global Precios'!I888)</f>
        <v/>
      </c>
      <c r="J886" s="18" t="str">
        <f>IF('Global Precios'!K888="","",'Global Precios'!K888)</f>
        <v/>
      </c>
      <c r="K886" s="30" t="str">
        <f>IF('Global Precios'!L888="","",'Global Precios'!L888)</f>
        <v/>
      </c>
      <c r="L886" s="18"/>
      <c r="M886" s="18"/>
      <c r="N886" s="18"/>
      <c r="O886" s="18"/>
      <c r="P886" s="18"/>
      <c r="Q886" s="18"/>
      <c r="R886" s="18" t="str">
        <f>IF('Global Precios'!F888="","",'Global Precios'!F888)</f>
        <v/>
      </c>
      <c r="S886" s="18"/>
      <c r="T886" s="18" t="str">
        <f>IF('Global Precios'!E888="","",'Global Precios'!E888)</f>
        <v/>
      </c>
      <c r="U886" s="18"/>
      <c r="V886" s="18" t="str">
        <f t="shared" si="2"/>
        <v/>
      </c>
      <c r="W886" s="18"/>
      <c r="X886" s="18"/>
      <c r="Y886" s="18"/>
      <c r="Z886" s="18"/>
      <c r="AA886" s="18"/>
      <c r="AB886" s="18" t="str">
        <f t="shared" si="3"/>
        <v/>
      </c>
      <c r="AC886" s="18" t="str">
        <f t="shared" si="4"/>
        <v/>
      </c>
      <c r="AD886" s="18" t="str">
        <f t="shared" si="5"/>
        <v/>
      </c>
      <c r="AE886" s="18" t="str">
        <f t="shared" si="6"/>
        <v/>
      </c>
    </row>
    <row r="887">
      <c r="A887" s="9" t="str">
        <f>IF(E887="","", IF('Global Precios'!B889="",0,'Global Precios'!B889))</f>
        <v/>
      </c>
      <c r="B887" s="14" t="str">
        <f>IF('Global Precios'!B889="","",'Global Precios'!B889)</f>
        <v/>
      </c>
      <c r="C887" s="18" t="str">
        <f>IF('Global Precios'!A889="","",'Global Precios'!A889)</f>
        <v/>
      </c>
      <c r="D887" s="18"/>
      <c r="E887" s="25" t="str">
        <f>IF('Global Precios'!D889="","",'Global Precios'!D889)</f>
        <v/>
      </c>
      <c r="F887" s="18"/>
      <c r="G887" s="25" t="str">
        <f t="shared" si="7"/>
        <v/>
      </c>
      <c r="H887" s="25" t="str">
        <f t="shared" si="1"/>
        <v/>
      </c>
      <c r="I887" s="30" t="str">
        <f>IF('Global Precios'!I889="","",'Global Precios'!I889)</f>
        <v/>
      </c>
      <c r="J887" s="18" t="str">
        <f>IF('Global Precios'!K889="","",'Global Precios'!K889)</f>
        <v/>
      </c>
      <c r="K887" s="30" t="str">
        <f>IF('Global Precios'!L889="","",'Global Precios'!L889)</f>
        <v/>
      </c>
      <c r="L887" s="18"/>
      <c r="M887" s="18"/>
      <c r="N887" s="18"/>
      <c r="O887" s="18"/>
      <c r="P887" s="18"/>
      <c r="Q887" s="18"/>
      <c r="R887" s="18" t="str">
        <f>IF('Global Precios'!F889="","",'Global Precios'!F889)</f>
        <v/>
      </c>
      <c r="S887" s="18"/>
      <c r="T887" s="18" t="str">
        <f>IF('Global Precios'!E889="","",'Global Precios'!E889)</f>
        <v/>
      </c>
      <c r="U887" s="18"/>
      <c r="V887" s="18" t="str">
        <f t="shared" si="2"/>
        <v/>
      </c>
      <c r="W887" s="18"/>
      <c r="X887" s="18"/>
      <c r="Y887" s="18"/>
      <c r="Z887" s="18"/>
      <c r="AA887" s="18"/>
      <c r="AB887" s="18" t="str">
        <f t="shared" si="3"/>
        <v/>
      </c>
      <c r="AC887" s="18" t="str">
        <f t="shared" si="4"/>
        <v/>
      </c>
      <c r="AD887" s="18" t="str">
        <f t="shared" si="5"/>
        <v/>
      </c>
      <c r="AE887" s="18" t="str">
        <f t="shared" si="6"/>
        <v/>
      </c>
    </row>
    <row r="888">
      <c r="A888" s="9" t="str">
        <f>IF(E888="","", IF('Global Precios'!B890="",0,'Global Precios'!B890))</f>
        <v/>
      </c>
      <c r="B888" s="14" t="str">
        <f>IF('Global Precios'!B890="","",'Global Precios'!B890)</f>
        <v/>
      </c>
      <c r="C888" s="18" t="str">
        <f>IF('Global Precios'!A890="","",'Global Precios'!A890)</f>
        <v/>
      </c>
      <c r="D888" s="18"/>
      <c r="E888" s="25" t="str">
        <f>IF('Global Precios'!D890="","",'Global Precios'!D890)</f>
        <v/>
      </c>
      <c r="F888" s="18"/>
      <c r="G888" s="25" t="str">
        <f t="shared" si="7"/>
        <v/>
      </c>
      <c r="H888" s="25" t="str">
        <f t="shared" si="1"/>
        <v/>
      </c>
      <c r="I888" s="30" t="str">
        <f>IF('Global Precios'!I890="","",'Global Precios'!I890)</f>
        <v/>
      </c>
      <c r="J888" s="18" t="str">
        <f>IF('Global Precios'!K890="","",'Global Precios'!K890)</f>
        <v/>
      </c>
      <c r="K888" s="30" t="str">
        <f>IF('Global Precios'!L890="","",'Global Precios'!L890)</f>
        <v/>
      </c>
      <c r="L888" s="18"/>
      <c r="M888" s="18"/>
      <c r="N888" s="18"/>
      <c r="O888" s="18"/>
      <c r="P888" s="18"/>
      <c r="Q888" s="18"/>
      <c r="R888" s="18" t="str">
        <f>IF('Global Precios'!F890="","",'Global Precios'!F890)</f>
        <v/>
      </c>
      <c r="S888" s="18"/>
      <c r="T888" s="18" t="str">
        <f>IF('Global Precios'!E890="","",'Global Precios'!E890)</f>
        <v/>
      </c>
      <c r="U888" s="18"/>
      <c r="V888" s="18" t="str">
        <f t="shared" si="2"/>
        <v/>
      </c>
      <c r="W888" s="18"/>
      <c r="X888" s="18"/>
      <c r="Y888" s="18"/>
      <c r="Z888" s="18"/>
      <c r="AA888" s="18"/>
      <c r="AB888" s="18" t="str">
        <f t="shared" si="3"/>
        <v/>
      </c>
      <c r="AC888" s="18" t="str">
        <f t="shared" si="4"/>
        <v/>
      </c>
      <c r="AD888" s="18" t="str">
        <f t="shared" si="5"/>
        <v/>
      </c>
      <c r="AE888" s="18" t="str">
        <f t="shared" si="6"/>
        <v/>
      </c>
    </row>
    <row r="889">
      <c r="A889" s="9" t="str">
        <f>IF(E889="","", IF('Global Precios'!B891="",0,'Global Precios'!B891))</f>
        <v/>
      </c>
      <c r="B889" s="14" t="str">
        <f>IF('Global Precios'!B891="","",'Global Precios'!B891)</f>
        <v/>
      </c>
      <c r="C889" s="18" t="str">
        <f>IF('Global Precios'!A891="","",'Global Precios'!A891)</f>
        <v/>
      </c>
      <c r="D889" s="18"/>
      <c r="E889" s="25" t="str">
        <f>IF('Global Precios'!D891="","",'Global Precios'!D891)</f>
        <v/>
      </c>
      <c r="F889" s="18"/>
      <c r="G889" s="25" t="str">
        <f t="shared" si="7"/>
        <v/>
      </c>
      <c r="H889" s="25" t="str">
        <f t="shared" si="1"/>
        <v/>
      </c>
      <c r="I889" s="30" t="str">
        <f>IF('Global Precios'!I891="","",'Global Precios'!I891)</f>
        <v/>
      </c>
      <c r="J889" s="18" t="str">
        <f>IF('Global Precios'!K891="","",'Global Precios'!K891)</f>
        <v/>
      </c>
      <c r="K889" s="30" t="str">
        <f>IF('Global Precios'!L891="","",'Global Precios'!L891)</f>
        <v/>
      </c>
      <c r="L889" s="18"/>
      <c r="M889" s="18"/>
      <c r="N889" s="18"/>
      <c r="O889" s="18"/>
      <c r="P889" s="18"/>
      <c r="Q889" s="18"/>
      <c r="R889" s="18" t="str">
        <f>IF('Global Precios'!F891="","",'Global Precios'!F891)</f>
        <v/>
      </c>
      <c r="S889" s="18"/>
      <c r="T889" s="18" t="str">
        <f>IF('Global Precios'!E891="","",'Global Precios'!E891)</f>
        <v/>
      </c>
      <c r="U889" s="18"/>
      <c r="V889" s="18" t="str">
        <f t="shared" si="2"/>
        <v/>
      </c>
      <c r="W889" s="18"/>
      <c r="X889" s="18"/>
      <c r="Y889" s="18"/>
      <c r="Z889" s="18"/>
      <c r="AA889" s="18"/>
      <c r="AB889" s="18" t="str">
        <f t="shared" si="3"/>
        <v/>
      </c>
      <c r="AC889" s="18" t="str">
        <f t="shared" si="4"/>
        <v/>
      </c>
      <c r="AD889" s="18" t="str">
        <f t="shared" si="5"/>
        <v/>
      </c>
      <c r="AE889" s="18" t="str">
        <f t="shared" si="6"/>
        <v/>
      </c>
    </row>
    <row r="890">
      <c r="A890" s="9" t="str">
        <f>IF(E890="","", IF('Global Precios'!B892="",0,'Global Precios'!B892))</f>
        <v/>
      </c>
      <c r="B890" s="14" t="str">
        <f>IF('Global Precios'!B892="","",'Global Precios'!B892)</f>
        <v/>
      </c>
      <c r="C890" s="18" t="str">
        <f>IF('Global Precios'!A892="","",'Global Precios'!A892)</f>
        <v/>
      </c>
      <c r="D890" s="18"/>
      <c r="E890" s="25" t="str">
        <f>IF('Global Precios'!D892="","",'Global Precios'!D892)</f>
        <v/>
      </c>
      <c r="F890" s="18"/>
      <c r="G890" s="25" t="str">
        <f t="shared" si="7"/>
        <v/>
      </c>
      <c r="H890" s="25" t="str">
        <f t="shared" si="1"/>
        <v/>
      </c>
      <c r="I890" s="30" t="str">
        <f>IF('Global Precios'!I892="","",'Global Precios'!I892)</f>
        <v/>
      </c>
      <c r="J890" s="18" t="str">
        <f>IF('Global Precios'!K892="","",'Global Precios'!K892)</f>
        <v/>
      </c>
      <c r="K890" s="30" t="str">
        <f>IF('Global Precios'!L892="","",'Global Precios'!L892)</f>
        <v/>
      </c>
      <c r="L890" s="18"/>
      <c r="M890" s="18"/>
      <c r="N890" s="18"/>
      <c r="O890" s="18"/>
      <c r="P890" s="18"/>
      <c r="Q890" s="18"/>
      <c r="R890" s="18" t="str">
        <f>IF('Global Precios'!F892="","",'Global Precios'!F892)</f>
        <v/>
      </c>
      <c r="S890" s="18"/>
      <c r="T890" s="18" t="str">
        <f>IF('Global Precios'!E892="","",'Global Precios'!E892)</f>
        <v/>
      </c>
      <c r="U890" s="18"/>
      <c r="V890" s="18" t="str">
        <f t="shared" si="2"/>
        <v/>
      </c>
      <c r="W890" s="18"/>
      <c r="X890" s="18"/>
      <c r="Y890" s="18"/>
      <c r="Z890" s="18"/>
      <c r="AA890" s="18"/>
      <c r="AB890" s="18" t="str">
        <f t="shared" si="3"/>
        <v/>
      </c>
      <c r="AC890" s="18" t="str">
        <f t="shared" si="4"/>
        <v/>
      </c>
      <c r="AD890" s="18" t="str">
        <f t="shared" si="5"/>
        <v/>
      </c>
      <c r="AE890" s="18" t="str">
        <f t="shared" si="6"/>
        <v/>
      </c>
    </row>
    <row r="891">
      <c r="A891" s="9" t="str">
        <f>IF(E891="","", IF('Global Precios'!B893="",0,'Global Precios'!B893))</f>
        <v/>
      </c>
      <c r="B891" s="14" t="str">
        <f>IF('Global Precios'!B893="","",'Global Precios'!B893)</f>
        <v/>
      </c>
      <c r="C891" s="18" t="str">
        <f>IF('Global Precios'!A893="","",'Global Precios'!A893)</f>
        <v/>
      </c>
      <c r="D891" s="18"/>
      <c r="E891" s="25" t="str">
        <f>IF('Global Precios'!D893="","",'Global Precios'!D893)</f>
        <v/>
      </c>
      <c r="F891" s="18"/>
      <c r="G891" s="25" t="str">
        <f t="shared" si="7"/>
        <v/>
      </c>
      <c r="H891" s="25" t="str">
        <f t="shared" si="1"/>
        <v/>
      </c>
      <c r="I891" s="30" t="str">
        <f>IF('Global Precios'!I893="","",'Global Precios'!I893)</f>
        <v/>
      </c>
      <c r="J891" s="18" t="str">
        <f>IF('Global Precios'!K893="","",'Global Precios'!K893)</f>
        <v/>
      </c>
      <c r="K891" s="30" t="str">
        <f>IF('Global Precios'!L893="","",'Global Precios'!L893)</f>
        <v/>
      </c>
      <c r="L891" s="18"/>
      <c r="M891" s="18"/>
      <c r="N891" s="18"/>
      <c r="O891" s="18"/>
      <c r="P891" s="18"/>
      <c r="Q891" s="18"/>
      <c r="R891" s="18" t="str">
        <f>IF('Global Precios'!F893="","",'Global Precios'!F893)</f>
        <v/>
      </c>
      <c r="S891" s="18"/>
      <c r="T891" s="18" t="str">
        <f>IF('Global Precios'!E893="","",'Global Precios'!E893)</f>
        <v/>
      </c>
      <c r="U891" s="18"/>
      <c r="V891" s="18" t="str">
        <f t="shared" si="2"/>
        <v/>
      </c>
      <c r="W891" s="18"/>
      <c r="X891" s="18"/>
      <c r="Y891" s="18"/>
      <c r="Z891" s="18"/>
      <c r="AA891" s="18"/>
      <c r="AB891" s="18" t="str">
        <f t="shared" si="3"/>
        <v/>
      </c>
      <c r="AC891" s="18" t="str">
        <f t="shared" si="4"/>
        <v/>
      </c>
      <c r="AD891" s="18" t="str">
        <f t="shared" si="5"/>
        <v/>
      </c>
      <c r="AE891" s="18" t="str">
        <f t="shared" si="6"/>
        <v/>
      </c>
    </row>
    <row r="892">
      <c r="A892" s="9" t="str">
        <f>IF(E892="","", IF('Global Precios'!B894="",0,'Global Precios'!B894))</f>
        <v/>
      </c>
      <c r="B892" s="14" t="str">
        <f>IF('Global Precios'!B894="","",'Global Precios'!B894)</f>
        <v/>
      </c>
      <c r="C892" s="18" t="str">
        <f>IF('Global Precios'!A894="","",'Global Precios'!A894)</f>
        <v/>
      </c>
      <c r="D892" s="18"/>
      <c r="E892" s="25" t="str">
        <f>IF('Global Precios'!D894="","",'Global Precios'!D894)</f>
        <v/>
      </c>
      <c r="F892" s="18"/>
      <c r="G892" s="25" t="str">
        <f t="shared" si="7"/>
        <v/>
      </c>
      <c r="H892" s="25" t="str">
        <f t="shared" si="1"/>
        <v/>
      </c>
      <c r="I892" s="30" t="str">
        <f>IF('Global Precios'!I894="","",'Global Precios'!I894)</f>
        <v/>
      </c>
      <c r="J892" s="18" t="str">
        <f>IF('Global Precios'!K894="","",'Global Precios'!K894)</f>
        <v/>
      </c>
      <c r="K892" s="30" t="str">
        <f>IF('Global Precios'!L894="","",'Global Precios'!L894)</f>
        <v/>
      </c>
      <c r="L892" s="18"/>
      <c r="M892" s="18"/>
      <c r="N892" s="18"/>
      <c r="O892" s="18"/>
      <c r="P892" s="18"/>
      <c r="Q892" s="18"/>
      <c r="R892" s="18" t="str">
        <f>IF('Global Precios'!F894="","",'Global Precios'!F894)</f>
        <v/>
      </c>
      <c r="S892" s="18"/>
      <c r="T892" s="18" t="str">
        <f>IF('Global Precios'!E894="","",'Global Precios'!E894)</f>
        <v/>
      </c>
      <c r="U892" s="18"/>
      <c r="V892" s="18" t="str">
        <f t="shared" si="2"/>
        <v/>
      </c>
      <c r="W892" s="18"/>
      <c r="X892" s="18"/>
      <c r="Y892" s="18"/>
      <c r="Z892" s="18"/>
      <c r="AA892" s="18"/>
      <c r="AB892" s="18" t="str">
        <f t="shared" si="3"/>
        <v/>
      </c>
      <c r="AC892" s="18" t="str">
        <f t="shared" si="4"/>
        <v/>
      </c>
      <c r="AD892" s="18" t="str">
        <f t="shared" si="5"/>
        <v/>
      </c>
      <c r="AE892" s="18" t="str">
        <f t="shared" si="6"/>
        <v/>
      </c>
    </row>
    <row r="893">
      <c r="A893" s="9" t="str">
        <f>IF(E893="","", IF('Global Precios'!B895="",0,'Global Precios'!B895))</f>
        <v/>
      </c>
      <c r="B893" s="14" t="str">
        <f>IF('Global Precios'!B895="","",'Global Precios'!B895)</f>
        <v/>
      </c>
      <c r="C893" s="18" t="str">
        <f>IF('Global Precios'!A895="","",'Global Precios'!A895)</f>
        <v/>
      </c>
      <c r="D893" s="18"/>
      <c r="E893" s="25" t="str">
        <f>IF('Global Precios'!D895="","",'Global Precios'!D895)</f>
        <v/>
      </c>
      <c r="F893" s="18"/>
      <c r="G893" s="25" t="str">
        <f t="shared" si="7"/>
        <v/>
      </c>
      <c r="H893" s="25" t="str">
        <f t="shared" si="1"/>
        <v/>
      </c>
      <c r="I893" s="30" t="str">
        <f>IF('Global Precios'!I895="","",'Global Precios'!I895)</f>
        <v/>
      </c>
      <c r="J893" s="18" t="str">
        <f>IF('Global Precios'!K895="","",'Global Precios'!K895)</f>
        <v/>
      </c>
      <c r="K893" s="30" t="str">
        <f>IF('Global Precios'!L895="","",'Global Precios'!L895)</f>
        <v/>
      </c>
      <c r="L893" s="18"/>
      <c r="M893" s="18"/>
      <c r="N893" s="18"/>
      <c r="O893" s="18"/>
      <c r="P893" s="18"/>
      <c r="Q893" s="18"/>
      <c r="R893" s="18" t="str">
        <f>IF('Global Precios'!F895="","",'Global Precios'!F895)</f>
        <v/>
      </c>
      <c r="S893" s="18"/>
      <c r="T893" s="18" t="str">
        <f>IF('Global Precios'!E895="","",'Global Precios'!E895)</f>
        <v/>
      </c>
      <c r="U893" s="18"/>
      <c r="V893" s="18" t="str">
        <f t="shared" si="2"/>
        <v/>
      </c>
      <c r="W893" s="18"/>
      <c r="X893" s="18"/>
      <c r="Y893" s="18"/>
      <c r="Z893" s="18"/>
      <c r="AA893" s="18"/>
      <c r="AB893" s="18" t="str">
        <f t="shared" si="3"/>
        <v/>
      </c>
      <c r="AC893" s="18" t="str">
        <f t="shared" si="4"/>
        <v/>
      </c>
      <c r="AD893" s="18" t="str">
        <f t="shared" si="5"/>
        <v/>
      </c>
      <c r="AE893" s="18" t="str">
        <f t="shared" si="6"/>
        <v/>
      </c>
    </row>
    <row r="894">
      <c r="A894" s="9" t="str">
        <f>IF(E894="","", IF('Global Precios'!B896="",0,'Global Precios'!B896))</f>
        <v/>
      </c>
      <c r="B894" s="14" t="str">
        <f>IF('Global Precios'!B896="","",'Global Precios'!B896)</f>
        <v/>
      </c>
      <c r="C894" s="18" t="str">
        <f>IF('Global Precios'!A896="","",'Global Precios'!A896)</f>
        <v/>
      </c>
      <c r="D894" s="18"/>
      <c r="E894" s="25" t="str">
        <f>IF('Global Precios'!D896="","",'Global Precios'!D896)</f>
        <v/>
      </c>
      <c r="F894" s="18"/>
      <c r="G894" s="25" t="str">
        <f t="shared" si="7"/>
        <v/>
      </c>
      <c r="H894" s="25" t="str">
        <f t="shared" si="1"/>
        <v/>
      </c>
      <c r="I894" s="30" t="str">
        <f>IF('Global Precios'!I896="","",'Global Precios'!I896)</f>
        <v/>
      </c>
      <c r="J894" s="18" t="str">
        <f>IF('Global Precios'!K896="","",'Global Precios'!K896)</f>
        <v/>
      </c>
      <c r="K894" s="30" t="str">
        <f>IF('Global Precios'!L896="","",'Global Precios'!L896)</f>
        <v/>
      </c>
      <c r="L894" s="18"/>
      <c r="M894" s="18"/>
      <c r="N894" s="18"/>
      <c r="O894" s="18"/>
      <c r="P894" s="18"/>
      <c r="Q894" s="18"/>
      <c r="R894" s="18" t="str">
        <f>IF('Global Precios'!F896="","",'Global Precios'!F896)</f>
        <v/>
      </c>
      <c r="S894" s="18"/>
      <c r="T894" s="18" t="str">
        <f>IF('Global Precios'!E896="","",'Global Precios'!E896)</f>
        <v/>
      </c>
      <c r="U894" s="18"/>
      <c r="V894" s="18" t="str">
        <f t="shared" si="2"/>
        <v/>
      </c>
      <c r="W894" s="18"/>
      <c r="X894" s="18"/>
      <c r="Y894" s="18"/>
      <c r="Z894" s="18"/>
      <c r="AA894" s="18"/>
      <c r="AB894" s="18" t="str">
        <f t="shared" si="3"/>
        <v/>
      </c>
      <c r="AC894" s="18" t="str">
        <f t="shared" si="4"/>
        <v/>
      </c>
      <c r="AD894" s="18" t="str">
        <f t="shared" si="5"/>
        <v/>
      </c>
      <c r="AE894" s="18" t="str">
        <f t="shared" si="6"/>
        <v/>
      </c>
    </row>
    <row r="895">
      <c r="A895" s="9" t="str">
        <f>IF(E895="","", IF('Global Precios'!B897="",0,'Global Precios'!B897))</f>
        <v/>
      </c>
      <c r="B895" s="14" t="str">
        <f>IF('Global Precios'!B897="","",'Global Precios'!B897)</f>
        <v/>
      </c>
      <c r="C895" s="18" t="str">
        <f>IF('Global Precios'!A897="","",'Global Precios'!A897)</f>
        <v/>
      </c>
      <c r="D895" s="18"/>
      <c r="E895" s="25" t="str">
        <f>IF('Global Precios'!D897="","",'Global Precios'!D897)</f>
        <v/>
      </c>
      <c r="F895" s="18"/>
      <c r="G895" s="25" t="str">
        <f t="shared" si="7"/>
        <v/>
      </c>
      <c r="H895" s="25" t="str">
        <f t="shared" si="1"/>
        <v/>
      </c>
      <c r="I895" s="30" t="str">
        <f>IF('Global Precios'!I897="","",'Global Precios'!I897)</f>
        <v/>
      </c>
      <c r="J895" s="18" t="str">
        <f>IF('Global Precios'!K897="","",'Global Precios'!K897)</f>
        <v/>
      </c>
      <c r="K895" s="30" t="str">
        <f>IF('Global Precios'!L897="","",'Global Precios'!L897)</f>
        <v/>
      </c>
      <c r="L895" s="18"/>
      <c r="M895" s="18"/>
      <c r="N895" s="18"/>
      <c r="O895" s="18"/>
      <c r="P895" s="18"/>
      <c r="Q895" s="18"/>
      <c r="R895" s="18" t="str">
        <f>IF('Global Precios'!F897="","",'Global Precios'!F897)</f>
        <v/>
      </c>
      <c r="S895" s="18"/>
      <c r="T895" s="18" t="str">
        <f>IF('Global Precios'!E897="","",'Global Precios'!E897)</f>
        <v/>
      </c>
      <c r="U895" s="18"/>
      <c r="V895" s="18" t="str">
        <f t="shared" si="2"/>
        <v/>
      </c>
      <c r="W895" s="18"/>
      <c r="X895" s="18"/>
      <c r="Y895" s="18"/>
      <c r="Z895" s="18"/>
      <c r="AA895" s="18"/>
      <c r="AB895" s="18" t="str">
        <f t="shared" si="3"/>
        <v/>
      </c>
      <c r="AC895" s="18" t="str">
        <f t="shared" si="4"/>
        <v/>
      </c>
      <c r="AD895" s="18" t="str">
        <f t="shared" si="5"/>
        <v/>
      </c>
      <c r="AE895" s="18" t="str">
        <f t="shared" si="6"/>
        <v/>
      </c>
    </row>
    <row r="896">
      <c r="A896" s="9" t="str">
        <f>IF(E896="","", IF('Global Precios'!B898="",0,'Global Precios'!B898))</f>
        <v/>
      </c>
      <c r="B896" s="14" t="str">
        <f>IF('Global Precios'!B898="","",'Global Precios'!B898)</f>
        <v/>
      </c>
      <c r="C896" s="18" t="str">
        <f>IF('Global Precios'!A898="","",'Global Precios'!A898)</f>
        <v/>
      </c>
      <c r="D896" s="18"/>
      <c r="E896" s="25" t="str">
        <f>IF('Global Precios'!D898="","",'Global Precios'!D898)</f>
        <v/>
      </c>
      <c r="F896" s="18"/>
      <c r="G896" s="25" t="str">
        <f t="shared" si="7"/>
        <v/>
      </c>
      <c r="H896" s="25" t="str">
        <f t="shared" si="1"/>
        <v/>
      </c>
      <c r="I896" s="30" t="str">
        <f>IF('Global Precios'!I898="","",'Global Precios'!I898)</f>
        <v/>
      </c>
      <c r="J896" s="18" t="str">
        <f>IF('Global Precios'!K898="","",'Global Precios'!K898)</f>
        <v/>
      </c>
      <c r="K896" s="30" t="str">
        <f>IF('Global Precios'!L898="","",'Global Precios'!L898)</f>
        <v/>
      </c>
      <c r="L896" s="18"/>
      <c r="M896" s="18"/>
      <c r="N896" s="18"/>
      <c r="O896" s="18"/>
      <c r="P896" s="18"/>
      <c r="Q896" s="18"/>
      <c r="R896" s="18" t="str">
        <f>IF('Global Precios'!F898="","",'Global Precios'!F898)</f>
        <v/>
      </c>
      <c r="S896" s="18"/>
      <c r="T896" s="18" t="str">
        <f>IF('Global Precios'!E898="","",'Global Precios'!E898)</f>
        <v/>
      </c>
      <c r="U896" s="18"/>
      <c r="V896" s="18" t="str">
        <f t="shared" si="2"/>
        <v/>
      </c>
      <c r="W896" s="18"/>
      <c r="X896" s="18"/>
      <c r="Y896" s="18"/>
      <c r="Z896" s="18"/>
      <c r="AA896" s="18"/>
      <c r="AB896" s="18" t="str">
        <f t="shared" si="3"/>
        <v/>
      </c>
      <c r="AC896" s="18" t="str">
        <f t="shared" si="4"/>
        <v/>
      </c>
      <c r="AD896" s="18" t="str">
        <f t="shared" si="5"/>
        <v/>
      </c>
      <c r="AE896" s="18" t="str">
        <f t="shared" si="6"/>
        <v/>
      </c>
    </row>
    <row r="897">
      <c r="A897" s="9" t="str">
        <f>IF(E897="","", IF('Global Precios'!B899="",0,'Global Precios'!B899))</f>
        <v/>
      </c>
      <c r="B897" s="14" t="str">
        <f>IF('Global Precios'!B899="","",'Global Precios'!B899)</f>
        <v/>
      </c>
      <c r="C897" s="18" t="str">
        <f>IF('Global Precios'!A899="","",'Global Precios'!A899)</f>
        <v/>
      </c>
      <c r="D897" s="18"/>
      <c r="E897" s="25" t="str">
        <f>IF('Global Precios'!D899="","",'Global Precios'!D899)</f>
        <v/>
      </c>
      <c r="F897" s="18"/>
      <c r="G897" s="25" t="str">
        <f t="shared" si="7"/>
        <v/>
      </c>
      <c r="H897" s="25" t="str">
        <f t="shared" si="1"/>
        <v/>
      </c>
      <c r="I897" s="30" t="str">
        <f>IF('Global Precios'!I899="","",'Global Precios'!I899)</f>
        <v/>
      </c>
      <c r="J897" s="18" t="str">
        <f>IF('Global Precios'!K899="","",'Global Precios'!K899)</f>
        <v/>
      </c>
      <c r="K897" s="30" t="str">
        <f>IF('Global Precios'!L899="","",'Global Precios'!L899)</f>
        <v/>
      </c>
      <c r="L897" s="18"/>
      <c r="M897" s="18"/>
      <c r="N897" s="18"/>
      <c r="O897" s="18"/>
      <c r="P897" s="18"/>
      <c r="Q897" s="18"/>
      <c r="R897" s="18" t="str">
        <f>IF('Global Precios'!F899="","",'Global Precios'!F899)</f>
        <v/>
      </c>
      <c r="S897" s="18"/>
      <c r="T897" s="18" t="str">
        <f>IF('Global Precios'!E899="","",'Global Precios'!E899)</f>
        <v/>
      </c>
      <c r="U897" s="18"/>
      <c r="V897" s="18" t="str">
        <f t="shared" si="2"/>
        <v/>
      </c>
      <c r="W897" s="18"/>
      <c r="X897" s="18"/>
      <c r="Y897" s="18"/>
      <c r="Z897" s="18"/>
      <c r="AA897" s="18"/>
      <c r="AB897" s="18" t="str">
        <f t="shared" si="3"/>
        <v/>
      </c>
      <c r="AC897" s="18" t="str">
        <f t="shared" si="4"/>
        <v/>
      </c>
      <c r="AD897" s="18" t="str">
        <f t="shared" si="5"/>
        <v/>
      </c>
      <c r="AE897" s="18" t="str">
        <f t="shared" si="6"/>
        <v/>
      </c>
    </row>
    <row r="898">
      <c r="A898" s="9" t="str">
        <f>IF(E898="","", IF('Global Precios'!B900="",0,'Global Precios'!B900))</f>
        <v/>
      </c>
      <c r="B898" s="14" t="str">
        <f>IF('Global Precios'!B900="","",'Global Precios'!B900)</f>
        <v/>
      </c>
      <c r="C898" s="18" t="str">
        <f>IF('Global Precios'!A900="","",'Global Precios'!A900)</f>
        <v/>
      </c>
      <c r="D898" s="18"/>
      <c r="E898" s="25" t="str">
        <f>IF('Global Precios'!D900="","",'Global Precios'!D900)</f>
        <v/>
      </c>
      <c r="F898" s="18"/>
      <c r="G898" s="25" t="str">
        <f t="shared" si="7"/>
        <v/>
      </c>
      <c r="H898" s="25" t="str">
        <f t="shared" si="1"/>
        <v/>
      </c>
      <c r="I898" s="30" t="str">
        <f>IF('Global Precios'!I900="","",'Global Precios'!I900)</f>
        <v/>
      </c>
      <c r="J898" s="18" t="str">
        <f>IF('Global Precios'!K900="","",'Global Precios'!K900)</f>
        <v/>
      </c>
      <c r="K898" s="30" t="str">
        <f>IF('Global Precios'!L900="","",'Global Precios'!L900)</f>
        <v/>
      </c>
      <c r="L898" s="18"/>
      <c r="M898" s="18"/>
      <c r="N898" s="18"/>
      <c r="O898" s="18"/>
      <c r="P898" s="18"/>
      <c r="Q898" s="18"/>
      <c r="R898" s="18" t="str">
        <f>IF('Global Precios'!F900="","",'Global Precios'!F900)</f>
        <v/>
      </c>
      <c r="S898" s="18"/>
      <c r="T898" s="18" t="str">
        <f>IF('Global Precios'!E900="","",'Global Precios'!E900)</f>
        <v/>
      </c>
      <c r="U898" s="18"/>
      <c r="V898" s="18" t="str">
        <f t="shared" si="2"/>
        <v/>
      </c>
      <c r="W898" s="18"/>
      <c r="X898" s="18"/>
      <c r="Y898" s="18"/>
      <c r="Z898" s="18"/>
      <c r="AA898" s="18"/>
      <c r="AB898" s="18" t="str">
        <f t="shared" si="3"/>
        <v/>
      </c>
      <c r="AC898" s="18" t="str">
        <f t="shared" si="4"/>
        <v/>
      </c>
      <c r="AD898" s="18" t="str">
        <f t="shared" si="5"/>
        <v/>
      </c>
      <c r="AE898" s="18" t="str">
        <f t="shared" si="6"/>
        <v/>
      </c>
    </row>
    <row r="899">
      <c r="A899" s="9" t="str">
        <f>IF(E899="","", IF('Global Precios'!B901="",0,'Global Precios'!B901))</f>
        <v/>
      </c>
      <c r="B899" s="14" t="str">
        <f>IF('Global Precios'!B901="","",'Global Precios'!B901)</f>
        <v/>
      </c>
      <c r="C899" s="18" t="str">
        <f>IF('Global Precios'!A901="","",'Global Precios'!A901)</f>
        <v/>
      </c>
      <c r="D899" s="18"/>
      <c r="E899" s="25" t="str">
        <f>IF('Global Precios'!D901="","",'Global Precios'!D901)</f>
        <v/>
      </c>
      <c r="F899" s="18"/>
      <c r="G899" s="25" t="str">
        <f t="shared" si="7"/>
        <v/>
      </c>
      <c r="H899" s="25" t="str">
        <f t="shared" si="1"/>
        <v/>
      </c>
      <c r="I899" s="30" t="str">
        <f>IF('Global Precios'!I901="","",'Global Precios'!I901)</f>
        <v/>
      </c>
      <c r="J899" s="18" t="str">
        <f>IF('Global Precios'!K901="","",'Global Precios'!K901)</f>
        <v/>
      </c>
      <c r="K899" s="30" t="str">
        <f>IF('Global Precios'!L901="","",'Global Precios'!L901)</f>
        <v/>
      </c>
      <c r="L899" s="18"/>
      <c r="M899" s="18"/>
      <c r="N899" s="18"/>
      <c r="O899" s="18"/>
      <c r="P899" s="18"/>
      <c r="Q899" s="18"/>
      <c r="R899" s="18" t="str">
        <f>IF('Global Precios'!F901="","",'Global Precios'!F901)</f>
        <v/>
      </c>
      <c r="S899" s="18"/>
      <c r="T899" s="18" t="str">
        <f>IF('Global Precios'!E901="","",'Global Precios'!E901)</f>
        <v/>
      </c>
      <c r="U899" s="18"/>
      <c r="V899" s="18" t="str">
        <f t="shared" si="2"/>
        <v/>
      </c>
      <c r="W899" s="18"/>
      <c r="X899" s="18"/>
      <c r="Y899" s="18"/>
      <c r="Z899" s="18"/>
      <c r="AA899" s="18"/>
      <c r="AB899" s="18" t="str">
        <f t="shared" si="3"/>
        <v/>
      </c>
      <c r="AC899" s="18" t="str">
        <f t="shared" si="4"/>
        <v/>
      </c>
      <c r="AD899" s="18" t="str">
        <f t="shared" si="5"/>
        <v/>
      </c>
      <c r="AE899" s="18" t="str">
        <f t="shared" si="6"/>
        <v/>
      </c>
    </row>
    <row r="900">
      <c r="A900" s="9" t="str">
        <f>IF(E900="","", IF('Global Precios'!B902="",0,'Global Precios'!B902))</f>
        <v/>
      </c>
      <c r="B900" s="14" t="str">
        <f>IF('Global Precios'!B902="","",'Global Precios'!B902)</f>
        <v/>
      </c>
      <c r="C900" s="18" t="str">
        <f>IF('Global Precios'!A902="","",'Global Precios'!A902)</f>
        <v/>
      </c>
      <c r="D900" s="18"/>
      <c r="E900" s="25" t="str">
        <f>IF('Global Precios'!D902="","",'Global Precios'!D902)</f>
        <v/>
      </c>
      <c r="F900" s="18"/>
      <c r="G900" s="25" t="str">
        <f t="shared" si="7"/>
        <v/>
      </c>
      <c r="H900" s="25" t="str">
        <f t="shared" si="1"/>
        <v/>
      </c>
      <c r="I900" s="30" t="str">
        <f>IF('Global Precios'!I902="","",'Global Precios'!I902)</f>
        <v/>
      </c>
      <c r="J900" s="18" t="str">
        <f>IF('Global Precios'!K902="","",'Global Precios'!K902)</f>
        <v/>
      </c>
      <c r="K900" s="30" t="str">
        <f>IF('Global Precios'!L902="","",'Global Precios'!L902)</f>
        <v/>
      </c>
      <c r="L900" s="18"/>
      <c r="M900" s="18"/>
      <c r="N900" s="18"/>
      <c r="O900" s="18"/>
      <c r="P900" s="18"/>
      <c r="Q900" s="18"/>
      <c r="R900" s="18" t="str">
        <f>IF('Global Precios'!F902="","",'Global Precios'!F902)</f>
        <v/>
      </c>
      <c r="S900" s="18"/>
      <c r="T900" s="18" t="str">
        <f>IF('Global Precios'!E902="","",'Global Precios'!E902)</f>
        <v/>
      </c>
      <c r="U900" s="18"/>
      <c r="V900" s="18" t="str">
        <f t="shared" si="2"/>
        <v/>
      </c>
      <c r="W900" s="18"/>
      <c r="X900" s="18"/>
      <c r="Y900" s="18"/>
      <c r="Z900" s="18"/>
      <c r="AA900" s="18"/>
      <c r="AB900" s="18" t="str">
        <f t="shared" si="3"/>
        <v/>
      </c>
      <c r="AC900" s="18" t="str">
        <f t="shared" si="4"/>
        <v/>
      </c>
      <c r="AD900" s="18" t="str">
        <f t="shared" si="5"/>
        <v/>
      </c>
      <c r="AE900" s="18" t="str">
        <f t="shared" si="6"/>
        <v/>
      </c>
    </row>
    <row r="901">
      <c r="A901" s="9" t="str">
        <f>IF(E901="","", IF('Global Precios'!B903="",0,'Global Precios'!B903))</f>
        <v/>
      </c>
      <c r="B901" s="14" t="str">
        <f>IF('Global Precios'!B903="","",'Global Precios'!B903)</f>
        <v/>
      </c>
      <c r="C901" s="18" t="str">
        <f>IF('Global Precios'!A903="","",'Global Precios'!A903)</f>
        <v/>
      </c>
      <c r="D901" s="18"/>
      <c r="E901" s="25" t="str">
        <f>IF('Global Precios'!D903="","",'Global Precios'!D903)</f>
        <v/>
      </c>
      <c r="F901" s="18"/>
      <c r="G901" s="25" t="str">
        <f t="shared" si="7"/>
        <v/>
      </c>
      <c r="H901" s="25" t="str">
        <f t="shared" si="1"/>
        <v/>
      </c>
      <c r="I901" s="30" t="str">
        <f>IF('Global Precios'!I903="","",'Global Precios'!I903)</f>
        <v/>
      </c>
      <c r="J901" s="18" t="str">
        <f>IF('Global Precios'!K903="","",'Global Precios'!K903)</f>
        <v/>
      </c>
      <c r="K901" s="30" t="str">
        <f>IF('Global Precios'!L903="","",'Global Precios'!L903)</f>
        <v/>
      </c>
      <c r="L901" s="18"/>
      <c r="M901" s="18"/>
      <c r="N901" s="18"/>
      <c r="O901" s="18"/>
      <c r="P901" s="18"/>
      <c r="Q901" s="18"/>
      <c r="R901" s="18" t="str">
        <f>IF('Global Precios'!F903="","",'Global Precios'!F903)</f>
        <v/>
      </c>
      <c r="S901" s="18"/>
      <c r="T901" s="18" t="str">
        <f>IF('Global Precios'!E903="","",'Global Precios'!E903)</f>
        <v/>
      </c>
      <c r="U901" s="18"/>
      <c r="V901" s="18" t="str">
        <f t="shared" si="2"/>
        <v/>
      </c>
      <c r="W901" s="18"/>
      <c r="X901" s="18"/>
      <c r="Y901" s="18"/>
      <c r="Z901" s="18"/>
      <c r="AA901" s="18"/>
      <c r="AB901" s="18" t="str">
        <f t="shared" si="3"/>
        <v/>
      </c>
      <c r="AC901" s="18" t="str">
        <f t="shared" si="4"/>
        <v/>
      </c>
      <c r="AD901" s="18" t="str">
        <f t="shared" si="5"/>
        <v/>
      </c>
      <c r="AE901" s="18" t="str">
        <f t="shared" si="6"/>
        <v/>
      </c>
    </row>
    <row r="902">
      <c r="A902" s="9" t="str">
        <f>IF(E902="","", IF('Global Precios'!B904="",0,'Global Precios'!B904))</f>
        <v/>
      </c>
      <c r="B902" s="14" t="str">
        <f>IF('Global Precios'!B904="","",'Global Precios'!B904)</f>
        <v/>
      </c>
      <c r="C902" s="18" t="str">
        <f>IF('Global Precios'!A904="","",'Global Precios'!A904)</f>
        <v/>
      </c>
      <c r="D902" s="18"/>
      <c r="E902" s="25" t="str">
        <f>IF('Global Precios'!D904="","",'Global Precios'!D904)</f>
        <v/>
      </c>
      <c r="F902" s="18"/>
      <c r="G902" s="25" t="str">
        <f t="shared" si="7"/>
        <v/>
      </c>
      <c r="H902" s="25" t="str">
        <f t="shared" si="1"/>
        <v/>
      </c>
      <c r="I902" s="30" t="str">
        <f>IF('Global Precios'!I904="","",'Global Precios'!I904)</f>
        <v/>
      </c>
      <c r="J902" s="18" t="str">
        <f>IF('Global Precios'!K904="","",'Global Precios'!K904)</f>
        <v/>
      </c>
      <c r="K902" s="30" t="str">
        <f>IF('Global Precios'!L904="","",'Global Precios'!L904)</f>
        <v/>
      </c>
      <c r="L902" s="18"/>
      <c r="M902" s="18"/>
      <c r="N902" s="18"/>
      <c r="O902" s="18"/>
      <c r="P902" s="18"/>
      <c r="Q902" s="18"/>
      <c r="R902" s="18" t="str">
        <f>IF('Global Precios'!F904="","",'Global Precios'!F904)</f>
        <v/>
      </c>
      <c r="S902" s="18"/>
      <c r="T902" s="18" t="str">
        <f>IF('Global Precios'!E904="","",'Global Precios'!E904)</f>
        <v/>
      </c>
      <c r="U902" s="18"/>
      <c r="V902" s="18" t="str">
        <f t="shared" si="2"/>
        <v/>
      </c>
      <c r="W902" s="18"/>
      <c r="X902" s="18"/>
      <c r="Y902" s="18"/>
      <c r="Z902" s="18"/>
      <c r="AA902" s="18"/>
      <c r="AB902" s="18" t="str">
        <f t="shared" si="3"/>
        <v/>
      </c>
      <c r="AC902" s="18" t="str">
        <f t="shared" si="4"/>
        <v/>
      </c>
      <c r="AD902" s="18" t="str">
        <f t="shared" si="5"/>
        <v/>
      </c>
      <c r="AE902" s="18" t="str">
        <f t="shared" si="6"/>
        <v/>
      </c>
    </row>
    <row r="903">
      <c r="A903" s="9" t="str">
        <f>IF(E903="","", IF('Global Precios'!B905="",0,'Global Precios'!B905))</f>
        <v/>
      </c>
      <c r="B903" s="14" t="str">
        <f>IF('Global Precios'!B905="","",'Global Precios'!B905)</f>
        <v/>
      </c>
      <c r="C903" s="18" t="str">
        <f>IF('Global Precios'!A905="","",'Global Precios'!A905)</f>
        <v/>
      </c>
      <c r="D903" s="18"/>
      <c r="E903" s="25" t="str">
        <f>IF('Global Precios'!D905="","",'Global Precios'!D905)</f>
        <v/>
      </c>
      <c r="F903" s="18"/>
      <c r="G903" s="25" t="str">
        <f t="shared" si="7"/>
        <v/>
      </c>
      <c r="H903" s="25" t="str">
        <f t="shared" si="1"/>
        <v/>
      </c>
      <c r="I903" s="30" t="str">
        <f>IF('Global Precios'!I905="","",'Global Precios'!I905)</f>
        <v/>
      </c>
      <c r="J903" s="18" t="str">
        <f>IF('Global Precios'!K905="","",'Global Precios'!K905)</f>
        <v/>
      </c>
      <c r="K903" s="30" t="str">
        <f>IF('Global Precios'!L905="","",'Global Precios'!L905)</f>
        <v/>
      </c>
      <c r="L903" s="18"/>
      <c r="M903" s="18"/>
      <c r="N903" s="18"/>
      <c r="O903" s="18"/>
      <c r="P903" s="18"/>
      <c r="Q903" s="18"/>
      <c r="R903" s="18" t="str">
        <f>IF('Global Precios'!F905="","",'Global Precios'!F905)</f>
        <v/>
      </c>
      <c r="S903" s="18"/>
      <c r="T903" s="18" t="str">
        <f>IF('Global Precios'!E905="","",'Global Precios'!E905)</f>
        <v/>
      </c>
      <c r="U903" s="18"/>
      <c r="V903" s="18" t="str">
        <f t="shared" si="2"/>
        <v/>
      </c>
      <c r="W903" s="18"/>
      <c r="X903" s="18"/>
      <c r="Y903" s="18"/>
      <c r="Z903" s="18"/>
      <c r="AA903" s="18"/>
      <c r="AB903" s="18" t="str">
        <f t="shared" si="3"/>
        <v/>
      </c>
      <c r="AC903" s="18" t="str">
        <f t="shared" si="4"/>
        <v/>
      </c>
      <c r="AD903" s="18" t="str">
        <f t="shared" si="5"/>
        <v/>
      </c>
      <c r="AE903" s="18" t="str">
        <f t="shared" si="6"/>
        <v/>
      </c>
    </row>
    <row r="904">
      <c r="A904" s="9" t="str">
        <f>IF(E904="","", IF('Global Precios'!B906="",0,'Global Precios'!B906))</f>
        <v/>
      </c>
      <c r="B904" s="14" t="str">
        <f>IF('Global Precios'!B906="","",'Global Precios'!B906)</f>
        <v/>
      </c>
      <c r="C904" s="18" t="str">
        <f>IF('Global Precios'!A906="","",'Global Precios'!A906)</f>
        <v/>
      </c>
      <c r="D904" s="18"/>
      <c r="E904" s="25" t="str">
        <f>IF('Global Precios'!D906="","",'Global Precios'!D906)</f>
        <v/>
      </c>
      <c r="F904" s="18"/>
      <c r="G904" s="25" t="str">
        <f t="shared" si="7"/>
        <v/>
      </c>
      <c r="H904" s="25" t="str">
        <f t="shared" si="1"/>
        <v/>
      </c>
      <c r="I904" s="30" t="str">
        <f>IF('Global Precios'!I906="","",'Global Precios'!I906)</f>
        <v/>
      </c>
      <c r="J904" s="18" t="str">
        <f>IF('Global Precios'!K906="","",'Global Precios'!K906)</f>
        <v/>
      </c>
      <c r="K904" s="30" t="str">
        <f>IF('Global Precios'!L906="","",'Global Precios'!L906)</f>
        <v/>
      </c>
      <c r="L904" s="18"/>
      <c r="M904" s="18"/>
      <c r="N904" s="18"/>
      <c r="O904" s="18"/>
      <c r="P904" s="18"/>
      <c r="Q904" s="18"/>
      <c r="R904" s="18" t="str">
        <f>IF('Global Precios'!F906="","",'Global Precios'!F906)</f>
        <v/>
      </c>
      <c r="S904" s="18"/>
      <c r="T904" s="18" t="str">
        <f>IF('Global Precios'!E906="","",'Global Precios'!E906)</f>
        <v/>
      </c>
      <c r="U904" s="18"/>
      <c r="V904" s="18" t="str">
        <f t="shared" si="2"/>
        <v/>
      </c>
      <c r="W904" s="18"/>
      <c r="X904" s="18"/>
      <c r="Y904" s="18"/>
      <c r="Z904" s="18"/>
      <c r="AA904" s="18"/>
      <c r="AB904" s="18" t="str">
        <f t="shared" si="3"/>
        <v/>
      </c>
      <c r="AC904" s="18" t="str">
        <f t="shared" si="4"/>
        <v/>
      </c>
      <c r="AD904" s="18" t="str">
        <f t="shared" si="5"/>
        <v/>
      </c>
      <c r="AE904" s="18" t="str">
        <f t="shared" si="6"/>
        <v/>
      </c>
    </row>
    <row r="905">
      <c r="A905" s="9" t="str">
        <f>IF(E905="","", IF('Global Precios'!B907="",0,'Global Precios'!B907))</f>
        <v/>
      </c>
      <c r="B905" s="14" t="str">
        <f>IF('Global Precios'!B907="","",'Global Precios'!B907)</f>
        <v/>
      </c>
      <c r="C905" s="18" t="str">
        <f>IF('Global Precios'!A907="","",'Global Precios'!A907)</f>
        <v/>
      </c>
      <c r="D905" s="18"/>
      <c r="E905" s="25" t="str">
        <f>IF('Global Precios'!D907="","",'Global Precios'!D907)</f>
        <v/>
      </c>
      <c r="F905" s="18"/>
      <c r="G905" s="25" t="str">
        <f t="shared" si="7"/>
        <v/>
      </c>
      <c r="H905" s="25" t="str">
        <f t="shared" si="1"/>
        <v/>
      </c>
      <c r="I905" s="30" t="str">
        <f>IF('Global Precios'!I907="","",'Global Precios'!I907)</f>
        <v/>
      </c>
      <c r="J905" s="18" t="str">
        <f>IF('Global Precios'!K907="","",'Global Precios'!K907)</f>
        <v/>
      </c>
      <c r="K905" s="30" t="str">
        <f>IF('Global Precios'!L907="","",'Global Precios'!L907)</f>
        <v/>
      </c>
      <c r="L905" s="18"/>
      <c r="M905" s="18"/>
      <c r="N905" s="18"/>
      <c r="O905" s="18"/>
      <c r="P905" s="18"/>
      <c r="Q905" s="18"/>
      <c r="R905" s="18" t="str">
        <f>IF('Global Precios'!F907="","",'Global Precios'!F907)</f>
        <v/>
      </c>
      <c r="S905" s="18"/>
      <c r="T905" s="18" t="str">
        <f>IF('Global Precios'!E907="","",'Global Precios'!E907)</f>
        <v/>
      </c>
      <c r="U905" s="18"/>
      <c r="V905" s="18" t="str">
        <f t="shared" si="2"/>
        <v/>
      </c>
      <c r="W905" s="18"/>
      <c r="X905" s="18"/>
      <c r="Y905" s="18"/>
      <c r="Z905" s="18"/>
      <c r="AA905" s="18"/>
      <c r="AB905" s="18" t="str">
        <f t="shared" si="3"/>
        <v/>
      </c>
      <c r="AC905" s="18" t="str">
        <f t="shared" si="4"/>
        <v/>
      </c>
      <c r="AD905" s="18" t="str">
        <f t="shared" si="5"/>
        <v/>
      </c>
      <c r="AE905" s="18" t="str">
        <f t="shared" si="6"/>
        <v/>
      </c>
    </row>
    <row r="906">
      <c r="A906" s="9" t="str">
        <f>IF(E906="","", IF('Global Precios'!B908="",0,'Global Precios'!B908))</f>
        <v/>
      </c>
      <c r="B906" s="14" t="str">
        <f>IF('Global Precios'!B908="","",'Global Precios'!B908)</f>
        <v/>
      </c>
      <c r="C906" s="18" t="str">
        <f>IF('Global Precios'!A908="","",'Global Precios'!A908)</f>
        <v/>
      </c>
      <c r="D906" s="18"/>
      <c r="E906" s="25" t="str">
        <f>IF('Global Precios'!D908="","",'Global Precios'!D908)</f>
        <v/>
      </c>
      <c r="F906" s="18"/>
      <c r="G906" s="25" t="str">
        <f t="shared" si="7"/>
        <v/>
      </c>
      <c r="H906" s="25" t="str">
        <f t="shared" si="1"/>
        <v/>
      </c>
      <c r="I906" s="30" t="str">
        <f>IF('Global Precios'!I908="","",'Global Precios'!I908)</f>
        <v/>
      </c>
      <c r="J906" s="18" t="str">
        <f>IF('Global Precios'!K908="","",'Global Precios'!K908)</f>
        <v/>
      </c>
      <c r="K906" s="30" t="str">
        <f>IF('Global Precios'!L908="","",'Global Precios'!L908)</f>
        <v/>
      </c>
      <c r="L906" s="18"/>
      <c r="M906" s="18"/>
      <c r="N906" s="18"/>
      <c r="O906" s="18"/>
      <c r="P906" s="18"/>
      <c r="Q906" s="18"/>
      <c r="R906" s="18" t="str">
        <f>IF('Global Precios'!F908="","",'Global Precios'!F908)</f>
        <v/>
      </c>
      <c r="S906" s="18"/>
      <c r="T906" s="18" t="str">
        <f>IF('Global Precios'!E908="","",'Global Precios'!E908)</f>
        <v/>
      </c>
      <c r="U906" s="18"/>
      <c r="V906" s="18" t="str">
        <f t="shared" si="2"/>
        <v/>
      </c>
      <c r="W906" s="18"/>
      <c r="X906" s="18"/>
      <c r="Y906" s="18"/>
      <c r="Z906" s="18"/>
      <c r="AA906" s="18"/>
      <c r="AB906" s="18" t="str">
        <f t="shared" si="3"/>
        <v/>
      </c>
      <c r="AC906" s="18" t="str">
        <f t="shared" si="4"/>
        <v/>
      </c>
      <c r="AD906" s="18" t="str">
        <f t="shared" si="5"/>
        <v/>
      </c>
      <c r="AE906" s="18" t="str">
        <f t="shared" si="6"/>
        <v/>
      </c>
    </row>
    <row r="907">
      <c r="A907" s="9" t="str">
        <f>IF(E907="","", IF('Global Precios'!B909="",0,'Global Precios'!B909))</f>
        <v/>
      </c>
      <c r="B907" s="14" t="str">
        <f>IF('Global Precios'!B909="","",'Global Precios'!B909)</f>
        <v/>
      </c>
      <c r="C907" s="18" t="str">
        <f>IF('Global Precios'!A909="","",'Global Precios'!A909)</f>
        <v/>
      </c>
      <c r="D907" s="18"/>
      <c r="E907" s="25" t="str">
        <f>IF('Global Precios'!D909="","",'Global Precios'!D909)</f>
        <v/>
      </c>
      <c r="F907" s="18"/>
      <c r="G907" s="25" t="str">
        <f t="shared" si="7"/>
        <v/>
      </c>
      <c r="H907" s="25" t="str">
        <f t="shared" si="1"/>
        <v/>
      </c>
      <c r="I907" s="30" t="str">
        <f>IF('Global Precios'!I909="","",'Global Precios'!I909)</f>
        <v/>
      </c>
      <c r="J907" s="18" t="str">
        <f>IF('Global Precios'!K909="","",'Global Precios'!K909)</f>
        <v/>
      </c>
      <c r="K907" s="30" t="str">
        <f>IF('Global Precios'!L909="","",'Global Precios'!L909)</f>
        <v/>
      </c>
      <c r="L907" s="18"/>
      <c r="M907" s="18"/>
      <c r="N907" s="18"/>
      <c r="O907" s="18"/>
      <c r="P907" s="18"/>
      <c r="Q907" s="18"/>
      <c r="R907" s="18" t="str">
        <f>IF('Global Precios'!F909="","",'Global Precios'!F909)</f>
        <v/>
      </c>
      <c r="S907" s="18"/>
      <c r="T907" s="18" t="str">
        <f>IF('Global Precios'!E909="","",'Global Precios'!E909)</f>
        <v/>
      </c>
      <c r="U907" s="18"/>
      <c r="V907" s="18" t="str">
        <f t="shared" si="2"/>
        <v/>
      </c>
      <c r="W907" s="18"/>
      <c r="X907" s="18"/>
      <c r="Y907" s="18"/>
      <c r="Z907" s="18"/>
      <c r="AA907" s="18"/>
      <c r="AB907" s="18" t="str">
        <f t="shared" si="3"/>
        <v/>
      </c>
      <c r="AC907" s="18" t="str">
        <f t="shared" si="4"/>
        <v/>
      </c>
      <c r="AD907" s="18" t="str">
        <f t="shared" si="5"/>
        <v/>
      </c>
      <c r="AE907" s="18" t="str">
        <f t="shared" si="6"/>
        <v/>
      </c>
    </row>
    <row r="908">
      <c r="A908" s="9" t="str">
        <f>IF(E908="","", IF('Global Precios'!B910="",0,'Global Precios'!B910))</f>
        <v/>
      </c>
      <c r="B908" s="14" t="str">
        <f>IF('Global Precios'!B910="","",'Global Precios'!B910)</f>
        <v/>
      </c>
      <c r="C908" s="18" t="str">
        <f>IF('Global Precios'!A910="","",'Global Precios'!A910)</f>
        <v/>
      </c>
      <c r="D908" s="18"/>
      <c r="E908" s="25" t="str">
        <f>IF('Global Precios'!D910="","",'Global Precios'!D910)</f>
        <v/>
      </c>
      <c r="F908" s="18"/>
      <c r="G908" s="25" t="str">
        <f t="shared" si="7"/>
        <v/>
      </c>
      <c r="H908" s="25" t="str">
        <f t="shared" si="1"/>
        <v/>
      </c>
      <c r="I908" s="30" t="str">
        <f>IF('Global Precios'!I910="","",'Global Precios'!I910)</f>
        <v/>
      </c>
      <c r="J908" s="18" t="str">
        <f>IF('Global Precios'!K910="","",'Global Precios'!K910)</f>
        <v/>
      </c>
      <c r="K908" s="30" t="str">
        <f>IF('Global Precios'!L910="","",'Global Precios'!L910)</f>
        <v/>
      </c>
      <c r="L908" s="18"/>
      <c r="M908" s="18"/>
      <c r="N908" s="18"/>
      <c r="O908" s="18"/>
      <c r="P908" s="18"/>
      <c r="Q908" s="18"/>
      <c r="R908" s="18" t="str">
        <f>IF('Global Precios'!F910="","",'Global Precios'!F910)</f>
        <v/>
      </c>
      <c r="S908" s="18"/>
      <c r="T908" s="18" t="str">
        <f>IF('Global Precios'!E910="","",'Global Precios'!E910)</f>
        <v/>
      </c>
      <c r="U908" s="18"/>
      <c r="V908" s="18" t="str">
        <f t="shared" si="2"/>
        <v/>
      </c>
      <c r="W908" s="18"/>
      <c r="X908" s="18"/>
      <c r="Y908" s="18"/>
      <c r="Z908" s="18"/>
      <c r="AA908" s="18"/>
      <c r="AB908" s="18" t="str">
        <f t="shared" si="3"/>
        <v/>
      </c>
      <c r="AC908" s="18" t="str">
        <f t="shared" si="4"/>
        <v/>
      </c>
      <c r="AD908" s="18" t="str">
        <f t="shared" si="5"/>
        <v/>
      </c>
      <c r="AE908" s="18" t="str">
        <f t="shared" si="6"/>
        <v/>
      </c>
    </row>
    <row r="909">
      <c r="A909" s="9" t="str">
        <f>IF(E909="","", IF('Global Precios'!B911="",0,'Global Precios'!B911))</f>
        <v/>
      </c>
      <c r="B909" s="14" t="str">
        <f>IF('Global Precios'!B911="","",'Global Precios'!B911)</f>
        <v/>
      </c>
      <c r="C909" s="18" t="str">
        <f>IF('Global Precios'!A911="","",'Global Precios'!A911)</f>
        <v/>
      </c>
      <c r="D909" s="18"/>
      <c r="E909" s="25" t="str">
        <f>IF('Global Precios'!D911="","",'Global Precios'!D911)</f>
        <v/>
      </c>
      <c r="F909" s="18"/>
      <c r="G909" s="25" t="str">
        <f t="shared" si="7"/>
        <v/>
      </c>
      <c r="H909" s="25" t="str">
        <f t="shared" si="1"/>
        <v/>
      </c>
      <c r="I909" s="30" t="str">
        <f>IF('Global Precios'!I911="","",'Global Precios'!I911)</f>
        <v/>
      </c>
      <c r="J909" s="18" t="str">
        <f>IF('Global Precios'!K911="","",'Global Precios'!K911)</f>
        <v/>
      </c>
      <c r="K909" s="30" t="str">
        <f>IF('Global Precios'!L911="","",'Global Precios'!L911)</f>
        <v/>
      </c>
      <c r="L909" s="18"/>
      <c r="M909" s="18"/>
      <c r="N909" s="18"/>
      <c r="O909" s="18"/>
      <c r="P909" s="18"/>
      <c r="Q909" s="18"/>
      <c r="R909" s="18" t="str">
        <f>IF('Global Precios'!F911="","",'Global Precios'!F911)</f>
        <v/>
      </c>
      <c r="S909" s="18"/>
      <c r="T909" s="18" t="str">
        <f>IF('Global Precios'!E911="","",'Global Precios'!E911)</f>
        <v/>
      </c>
      <c r="U909" s="18"/>
      <c r="V909" s="18" t="str">
        <f t="shared" si="2"/>
        <v/>
      </c>
      <c r="W909" s="18"/>
      <c r="X909" s="18"/>
      <c r="Y909" s="18"/>
      <c r="Z909" s="18"/>
      <c r="AA909" s="18"/>
      <c r="AB909" s="18" t="str">
        <f t="shared" si="3"/>
        <v/>
      </c>
      <c r="AC909" s="18" t="str">
        <f t="shared" si="4"/>
        <v/>
      </c>
      <c r="AD909" s="18" t="str">
        <f t="shared" si="5"/>
        <v/>
      </c>
      <c r="AE909" s="18" t="str">
        <f t="shared" si="6"/>
        <v/>
      </c>
    </row>
    <row r="910">
      <c r="A910" s="9" t="str">
        <f>IF(E910="","", IF('Global Precios'!B912="",0,'Global Precios'!B912))</f>
        <v/>
      </c>
      <c r="B910" s="14" t="str">
        <f>IF('Global Precios'!B912="","",'Global Precios'!B912)</f>
        <v/>
      </c>
      <c r="C910" s="18" t="str">
        <f>IF('Global Precios'!A912="","",'Global Precios'!A912)</f>
        <v/>
      </c>
      <c r="D910" s="18"/>
      <c r="E910" s="25" t="str">
        <f>IF('Global Precios'!D912="","",'Global Precios'!D912)</f>
        <v/>
      </c>
      <c r="F910" s="18"/>
      <c r="G910" s="25" t="str">
        <f t="shared" si="7"/>
        <v/>
      </c>
      <c r="H910" s="25" t="str">
        <f t="shared" si="1"/>
        <v/>
      </c>
      <c r="I910" s="30" t="str">
        <f>IF('Global Precios'!I912="","",'Global Precios'!I912)</f>
        <v/>
      </c>
      <c r="J910" s="18" t="str">
        <f>IF('Global Precios'!K912="","",'Global Precios'!K912)</f>
        <v/>
      </c>
      <c r="K910" s="30" t="str">
        <f>IF('Global Precios'!L912="","",'Global Precios'!L912)</f>
        <v/>
      </c>
      <c r="L910" s="18"/>
      <c r="M910" s="18"/>
      <c r="N910" s="18"/>
      <c r="O910" s="18"/>
      <c r="P910" s="18"/>
      <c r="Q910" s="18"/>
      <c r="R910" s="18" t="str">
        <f>IF('Global Precios'!F912="","",'Global Precios'!F912)</f>
        <v/>
      </c>
      <c r="S910" s="18"/>
      <c r="T910" s="18" t="str">
        <f>IF('Global Precios'!E912="","",'Global Precios'!E912)</f>
        <v/>
      </c>
      <c r="U910" s="18"/>
      <c r="V910" s="18" t="str">
        <f t="shared" si="2"/>
        <v/>
      </c>
      <c r="W910" s="18"/>
      <c r="X910" s="18"/>
      <c r="Y910" s="18"/>
      <c r="Z910" s="18"/>
      <c r="AA910" s="18"/>
      <c r="AB910" s="18" t="str">
        <f t="shared" si="3"/>
        <v/>
      </c>
      <c r="AC910" s="18" t="str">
        <f t="shared" si="4"/>
        <v/>
      </c>
      <c r="AD910" s="18" t="str">
        <f t="shared" si="5"/>
        <v/>
      </c>
      <c r="AE910" s="18" t="str">
        <f t="shared" si="6"/>
        <v/>
      </c>
    </row>
    <row r="911">
      <c r="A911" s="9" t="str">
        <f>IF(E911="","", IF('Global Precios'!B913="",0,'Global Precios'!B913))</f>
        <v/>
      </c>
      <c r="B911" s="14" t="str">
        <f>IF('Global Precios'!B913="","",'Global Precios'!B913)</f>
        <v/>
      </c>
      <c r="C911" s="18" t="str">
        <f>IF('Global Precios'!A913="","",'Global Precios'!A913)</f>
        <v/>
      </c>
      <c r="D911" s="18"/>
      <c r="E911" s="25" t="str">
        <f>IF('Global Precios'!D913="","",'Global Precios'!D913)</f>
        <v/>
      </c>
      <c r="F911" s="18"/>
      <c r="G911" s="25" t="str">
        <f t="shared" si="7"/>
        <v/>
      </c>
      <c r="H911" s="25" t="str">
        <f t="shared" si="1"/>
        <v/>
      </c>
      <c r="I911" s="30" t="str">
        <f>IF('Global Precios'!I913="","",'Global Precios'!I913)</f>
        <v/>
      </c>
      <c r="J911" s="18" t="str">
        <f>IF('Global Precios'!K913="","",'Global Precios'!K913)</f>
        <v/>
      </c>
      <c r="K911" s="30" t="str">
        <f>IF('Global Precios'!L913="","",'Global Precios'!L913)</f>
        <v/>
      </c>
      <c r="L911" s="18"/>
      <c r="M911" s="18"/>
      <c r="N911" s="18"/>
      <c r="O911" s="18"/>
      <c r="P911" s="18"/>
      <c r="Q911" s="18"/>
      <c r="R911" s="18" t="str">
        <f>IF('Global Precios'!F913="","",'Global Precios'!F913)</f>
        <v/>
      </c>
      <c r="S911" s="18"/>
      <c r="T911" s="18" t="str">
        <f>IF('Global Precios'!E913="","",'Global Precios'!E913)</f>
        <v/>
      </c>
      <c r="U911" s="18"/>
      <c r="V911" s="18" t="str">
        <f t="shared" si="2"/>
        <v/>
      </c>
      <c r="W911" s="18"/>
      <c r="X911" s="18"/>
      <c r="Y911" s="18"/>
      <c r="Z911" s="18"/>
      <c r="AA911" s="18"/>
      <c r="AB911" s="18" t="str">
        <f t="shared" si="3"/>
        <v/>
      </c>
      <c r="AC911" s="18" t="str">
        <f t="shared" si="4"/>
        <v/>
      </c>
      <c r="AD911" s="18" t="str">
        <f t="shared" si="5"/>
        <v/>
      </c>
      <c r="AE911" s="18" t="str">
        <f t="shared" si="6"/>
        <v/>
      </c>
    </row>
    <row r="912">
      <c r="A912" s="9" t="str">
        <f>IF(E912="","", IF('Global Precios'!B914="",0,'Global Precios'!B914))</f>
        <v/>
      </c>
      <c r="B912" s="14" t="str">
        <f>IF('Global Precios'!B914="","",'Global Precios'!B914)</f>
        <v/>
      </c>
      <c r="C912" s="18" t="str">
        <f>IF('Global Precios'!A914="","",'Global Precios'!A914)</f>
        <v/>
      </c>
      <c r="D912" s="18"/>
      <c r="E912" s="25" t="str">
        <f>IF('Global Precios'!D914="","",'Global Precios'!D914)</f>
        <v/>
      </c>
      <c r="F912" s="18"/>
      <c r="G912" s="25" t="str">
        <f t="shared" si="7"/>
        <v/>
      </c>
      <c r="H912" s="25" t="str">
        <f t="shared" si="1"/>
        <v/>
      </c>
      <c r="I912" s="30" t="str">
        <f>IF('Global Precios'!I914="","",'Global Precios'!I914)</f>
        <v/>
      </c>
      <c r="J912" s="18" t="str">
        <f>IF('Global Precios'!K914="","",'Global Precios'!K914)</f>
        <v/>
      </c>
      <c r="K912" s="30" t="str">
        <f>IF('Global Precios'!L914="","",'Global Precios'!L914)</f>
        <v/>
      </c>
      <c r="L912" s="18"/>
      <c r="M912" s="18"/>
      <c r="N912" s="18"/>
      <c r="O912" s="18"/>
      <c r="P912" s="18"/>
      <c r="Q912" s="18"/>
      <c r="R912" s="18" t="str">
        <f>IF('Global Precios'!F914="","",'Global Precios'!F914)</f>
        <v/>
      </c>
      <c r="S912" s="18"/>
      <c r="T912" s="18" t="str">
        <f>IF('Global Precios'!E914="","",'Global Precios'!E914)</f>
        <v/>
      </c>
      <c r="U912" s="18"/>
      <c r="V912" s="18" t="str">
        <f t="shared" si="2"/>
        <v/>
      </c>
      <c r="W912" s="18"/>
      <c r="X912" s="18"/>
      <c r="Y912" s="18"/>
      <c r="Z912" s="18"/>
      <c r="AA912" s="18"/>
      <c r="AB912" s="18" t="str">
        <f t="shared" si="3"/>
        <v/>
      </c>
      <c r="AC912" s="18" t="str">
        <f t="shared" si="4"/>
        <v/>
      </c>
      <c r="AD912" s="18" t="str">
        <f t="shared" si="5"/>
        <v/>
      </c>
      <c r="AE912" s="18" t="str">
        <f t="shared" si="6"/>
        <v/>
      </c>
    </row>
    <row r="913">
      <c r="A913" s="9" t="str">
        <f>IF(E913="","", IF('Global Precios'!B915="",0,'Global Precios'!B915))</f>
        <v/>
      </c>
      <c r="B913" s="14" t="str">
        <f>IF('Global Precios'!B915="","",'Global Precios'!B915)</f>
        <v/>
      </c>
      <c r="C913" s="18" t="str">
        <f>IF('Global Precios'!A915="","",'Global Precios'!A915)</f>
        <v/>
      </c>
      <c r="D913" s="18"/>
      <c r="E913" s="25" t="str">
        <f>IF('Global Precios'!D915="","",'Global Precios'!D915)</f>
        <v/>
      </c>
      <c r="F913" s="18"/>
      <c r="G913" s="25" t="str">
        <f t="shared" si="7"/>
        <v/>
      </c>
      <c r="H913" s="25" t="str">
        <f t="shared" si="1"/>
        <v/>
      </c>
      <c r="I913" s="30" t="str">
        <f>IF('Global Precios'!I915="","",'Global Precios'!I915)</f>
        <v/>
      </c>
      <c r="J913" s="18" t="str">
        <f>IF('Global Precios'!K915="","",'Global Precios'!K915)</f>
        <v/>
      </c>
      <c r="K913" s="30" t="str">
        <f>IF('Global Precios'!L915="","",'Global Precios'!L915)</f>
        <v/>
      </c>
      <c r="L913" s="18"/>
      <c r="M913" s="18"/>
      <c r="N913" s="18"/>
      <c r="O913" s="18"/>
      <c r="P913" s="18"/>
      <c r="Q913" s="18"/>
      <c r="R913" s="18" t="str">
        <f>IF('Global Precios'!F915="","",'Global Precios'!F915)</f>
        <v/>
      </c>
      <c r="S913" s="18"/>
      <c r="T913" s="18" t="str">
        <f>IF('Global Precios'!E915="","",'Global Precios'!E915)</f>
        <v/>
      </c>
      <c r="U913" s="18"/>
      <c r="V913" s="18" t="str">
        <f t="shared" si="2"/>
        <v/>
      </c>
      <c r="W913" s="18"/>
      <c r="X913" s="18"/>
      <c r="Y913" s="18"/>
      <c r="Z913" s="18"/>
      <c r="AA913" s="18"/>
      <c r="AB913" s="18" t="str">
        <f t="shared" si="3"/>
        <v/>
      </c>
      <c r="AC913" s="18" t="str">
        <f t="shared" si="4"/>
        <v/>
      </c>
      <c r="AD913" s="18" t="str">
        <f t="shared" si="5"/>
        <v/>
      </c>
      <c r="AE913" s="18" t="str">
        <f t="shared" si="6"/>
        <v/>
      </c>
    </row>
    <row r="914">
      <c r="A914" s="9" t="str">
        <f>IF(E914="","", IF('Global Precios'!B916="",0,'Global Precios'!B916))</f>
        <v/>
      </c>
      <c r="B914" s="14" t="str">
        <f>IF('Global Precios'!B916="","",'Global Precios'!B916)</f>
        <v/>
      </c>
      <c r="C914" s="18" t="str">
        <f>IF('Global Precios'!A916="","",'Global Precios'!A916)</f>
        <v/>
      </c>
      <c r="D914" s="18"/>
      <c r="E914" s="25" t="str">
        <f>IF('Global Precios'!D916="","",'Global Precios'!D916)</f>
        <v/>
      </c>
      <c r="F914" s="18"/>
      <c r="G914" s="25" t="str">
        <f t="shared" si="7"/>
        <v/>
      </c>
      <c r="H914" s="25" t="str">
        <f t="shared" si="1"/>
        <v/>
      </c>
      <c r="I914" s="30" t="str">
        <f>IF('Global Precios'!I916="","",'Global Precios'!I916)</f>
        <v/>
      </c>
      <c r="J914" s="18" t="str">
        <f>IF('Global Precios'!K916="","",'Global Precios'!K916)</f>
        <v/>
      </c>
      <c r="K914" s="30" t="str">
        <f>IF('Global Precios'!L916="","",'Global Precios'!L916)</f>
        <v/>
      </c>
      <c r="L914" s="18"/>
      <c r="M914" s="18"/>
      <c r="N914" s="18"/>
      <c r="O914" s="18"/>
      <c r="P914" s="18"/>
      <c r="Q914" s="18"/>
      <c r="R914" s="18" t="str">
        <f>IF('Global Precios'!F916="","",'Global Precios'!F916)</f>
        <v/>
      </c>
      <c r="S914" s="18"/>
      <c r="T914" s="18" t="str">
        <f>IF('Global Precios'!E916="","",'Global Precios'!E916)</f>
        <v/>
      </c>
      <c r="U914" s="18"/>
      <c r="V914" s="18" t="str">
        <f t="shared" si="2"/>
        <v/>
      </c>
      <c r="W914" s="18"/>
      <c r="X914" s="18"/>
      <c r="Y914" s="18"/>
      <c r="Z914" s="18"/>
      <c r="AA914" s="18"/>
      <c r="AB914" s="18" t="str">
        <f t="shared" si="3"/>
        <v/>
      </c>
      <c r="AC914" s="18" t="str">
        <f t="shared" si="4"/>
        <v/>
      </c>
      <c r="AD914" s="18" t="str">
        <f t="shared" si="5"/>
        <v/>
      </c>
      <c r="AE914" s="18" t="str">
        <f t="shared" si="6"/>
        <v/>
      </c>
    </row>
    <row r="915">
      <c r="A915" s="9" t="str">
        <f>IF(E915="","", IF('Global Precios'!B917="",0,'Global Precios'!B917))</f>
        <v/>
      </c>
      <c r="B915" s="14" t="str">
        <f>IF('Global Precios'!B917="","",'Global Precios'!B917)</f>
        <v/>
      </c>
      <c r="C915" s="18" t="str">
        <f>IF('Global Precios'!A917="","",'Global Precios'!A917)</f>
        <v/>
      </c>
      <c r="D915" s="18"/>
      <c r="E915" s="25" t="str">
        <f>IF('Global Precios'!D917="","",'Global Precios'!D917)</f>
        <v/>
      </c>
      <c r="F915" s="18"/>
      <c r="G915" s="25" t="str">
        <f t="shared" si="7"/>
        <v/>
      </c>
      <c r="H915" s="25" t="str">
        <f t="shared" si="1"/>
        <v/>
      </c>
      <c r="I915" s="30" t="str">
        <f>IF('Global Precios'!I917="","",'Global Precios'!I917)</f>
        <v/>
      </c>
      <c r="J915" s="18" t="str">
        <f>IF('Global Precios'!K917="","",'Global Precios'!K917)</f>
        <v/>
      </c>
      <c r="K915" s="30" t="str">
        <f>IF('Global Precios'!L917="","",'Global Precios'!L917)</f>
        <v/>
      </c>
      <c r="L915" s="18"/>
      <c r="M915" s="18"/>
      <c r="N915" s="18"/>
      <c r="O915" s="18"/>
      <c r="P915" s="18"/>
      <c r="Q915" s="18"/>
      <c r="R915" s="18" t="str">
        <f>IF('Global Precios'!F917="","",'Global Precios'!F917)</f>
        <v/>
      </c>
      <c r="S915" s="18"/>
      <c r="T915" s="18" t="str">
        <f>IF('Global Precios'!E917="","",'Global Precios'!E917)</f>
        <v/>
      </c>
      <c r="U915" s="18"/>
      <c r="V915" s="18" t="str">
        <f t="shared" si="2"/>
        <v/>
      </c>
      <c r="W915" s="18"/>
      <c r="X915" s="18"/>
      <c r="Y915" s="18"/>
      <c r="Z915" s="18"/>
      <c r="AA915" s="18"/>
      <c r="AB915" s="18" t="str">
        <f t="shared" si="3"/>
        <v/>
      </c>
      <c r="AC915" s="18" t="str">
        <f t="shared" si="4"/>
        <v/>
      </c>
      <c r="AD915" s="18" t="str">
        <f t="shared" si="5"/>
        <v/>
      </c>
      <c r="AE915" s="18" t="str">
        <f t="shared" si="6"/>
        <v/>
      </c>
    </row>
    <row r="916">
      <c r="A916" s="9" t="str">
        <f>IF(E916="","", IF('Global Precios'!B918="",0,'Global Precios'!B918))</f>
        <v/>
      </c>
      <c r="B916" s="14" t="str">
        <f>IF('Global Precios'!B918="","",'Global Precios'!B918)</f>
        <v/>
      </c>
      <c r="C916" s="18" t="str">
        <f>IF('Global Precios'!A918="","",'Global Precios'!A918)</f>
        <v/>
      </c>
      <c r="D916" s="18"/>
      <c r="E916" s="25" t="str">
        <f>IF('Global Precios'!D918="","",'Global Precios'!D918)</f>
        <v/>
      </c>
      <c r="F916" s="18"/>
      <c r="G916" s="25" t="str">
        <f t="shared" si="7"/>
        <v/>
      </c>
      <c r="H916" s="25" t="str">
        <f t="shared" si="1"/>
        <v/>
      </c>
      <c r="I916" s="30" t="str">
        <f>IF('Global Precios'!I918="","",'Global Precios'!I918)</f>
        <v/>
      </c>
      <c r="J916" s="18" t="str">
        <f>IF('Global Precios'!K918="","",'Global Precios'!K918)</f>
        <v/>
      </c>
      <c r="K916" s="30" t="str">
        <f>IF('Global Precios'!L918="","",'Global Precios'!L918)</f>
        <v/>
      </c>
      <c r="L916" s="18"/>
      <c r="M916" s="18"/>
      <c r="N916" s="18"/>
      <c r="O916" s="18"/>
      <c r="P916" s="18"/>
      <c r="Q916" s="18"/>
      <c r="R916" s="18" t="str">
        <f>IF('Global Precios'!F918="","",'Global Precios'!F918)</f>
        <v/>
      </c>
      <c r="S916" s="18"/>
      <c r="T916" s="18" t="str">
        <f>IF('Global Precios'!E918="","",'Global Precios'!E918)</f>
        <v/>
      </c>
      <c r="U916" s="18"/>
      <c r="V916" s="18" t="str">
        <f t="shared" si="2"/>
        <v/>
      </c>
      <c r="W916" s="18"/>
      <c r="X916" s="18"/>
      <c r="Y916" s="18"/>
      <c r="Z916" s="18"/>
      <c r="AA916" s="18"/>
      <c r="AB916" s="18" t="str">
        <f t="shared" si="3"/>
        <v/>
      </c>
      <c r="AC916" s="18" t="str">
        <f t="shared" si="4"/>
        <v/>
      </c>
      <c r="AD916" s="18" t="str">
        <f t="shared" si="5"/>
        <v/>
      </c>
      <c r="AE916" s="18" t="str">
        <f t="shared" si="6"/>
        <v/>
      </c>
    </row>
    <row r="917">
      <c r="A917" s="9" t="str">
        <f>IF(E917="","", IF('Global Precios'!B919="",0,'Global Precios'!B919))</f>
        <v/>
      </c>
      <c r="B917" s="14" t="str">
        <f>IF('Global Precios'!B919="","",'Global Precios'!B919)</f>
        <v/>
      </c>
      <c r="C917" s="18" t="str">
        <f>IF('Global Precios'!A919="","",'Global Precios'!A919)</f>
        <v/>
      </c>
      <c r="D917" s="18"/>
      <c r="E917" s="25" t="str">
        <f>IF('Global Precios'!D919="","",'Global Precios'!D919)</f>
        <v/>
      </c>
      <c r="F917" s="18"/>
      <c r="G917" s="25" t="str">
        <f t="shared" si="7"/>
        <v/>
      </c>
      <c r="H917" s="25" t="str">
        <f t="shared" si="1"/>
        <v/>
      </c>
      <c r="I917" s="30" t="str">
        <f>IF('Global Precios'!I919="","",'Global Precios'!I919)</f>
        <v/>
      </c>
      <c r="J917" s="18" t="str">
        <f>IF('Global Precios'!K919="","",'Global Precios'!K919)</f>
        <v/>
      </c>
      <c r="K917" s="30" t="str">
        <f>IF('Global Precios'!L919="","",'Global Precios'!L919)</f>
        <v/>
      </c>
      <c r="L917" s="18"/>
      <c r="M917" s="18"/>
      <c r="N917" s="18"/>
      <c r="O917" s="18"/>
      <c r="P917" s="18"/>
      <c r="Q917" s="18"/>
      <c r="R917" s="18" t="str">
        <f>IF('Global Precios'!F919="","",'Global Precios'!F919)</f>
        <v/>
      </c>
      <c r="S917" s="18"/>
      <c r="T917" s="18" t="str">
        <f>IF('Global Precios'!E919="","",'Global Precios'!E919)</f>
        <v/>
      </c>
      <c r="U917" s="18"/>
      <c r="V917" s="18" t="str">
        <f t="shared" si="2"/>
        <v/>
      </c>
      <c r="W917" s="18"/>
      <c r="X917" s="18"/>
      <c r="Y917" s="18"/>
      <c r="Z917" s="18"/>
      <c r="AA917" s="18"/>
      <c r="AB917" s="18" t="str">
        <f t="shared" si="3"/>
        <v/>
      </c>
      <c r="AC917" s="18" t="str">
        <f t="shared" si="4"/>
        <v/>
      </c>
      <c r="AD917" s="18" t="str">
        <f t="shared" si="5"/>
        <v/>
      </c>
      <c r="AE917" s="18" t="str">
        <f t="shared" si="6"/>
        <v/>
      </c>
    </row>
    <row r="918">
      <c r="A918" s="9" t="str">
        <f>IF(E918="","", IF('Global Precios'!B920="",0,'Global Precios'!B920))</f>
        <v/>
      </c>
      <c r="B918" s="14" t="str">
        <f>IF('Global Precios'!B920="","",'Global Precios'!B920)</f>
        <v/>
      </c>
      <c r="C918" s="18" t="str">
        <f>IF('Global Precios'!A920="","",'Global Precios'!A920)</f>
        <v/>
      </c>
      <c r="D918" s="18"/>
      <c r="E918" s="25" t="str">
        <f>IF('Global Precios'!D920="","",'Global Precios'!D920)</f>
        <v/>
      </c>
      <c r="F918" s="18"/>
      <c r="G918" s="25" t="str">
        <f t="shared" si="7"/>
        <v/>
      </c>
      <c r="H918" s="25" t="str">
        <f t="shared" si="1"/>
        <v/>
      </c>
      <c r="I918" s="30" t="str">
        <f>IF('Global Precios'!I920="","",'Global Precios'!I920)</f>
        <v/>
      </c>
      <c r="J918" s="18" t="str">
        <f>IF('Global Precios'!K920="","",'Global Precios'!K920)</f>
        <v/>
      </c>
      <c r="K918" s="30" t="str">
        <f>IF('Global Precios'!L920="","",'Global Precios'!L920)</f>
        <v/>
      </c>
      <c r="L918" s="18"/>
      <c r="M918" s="18"/>
      <c r="N918" s="18"/>
      <c r="O918" s="18"/>
      <c r="P918" s="18"/>
      <c r="Q918" s="18"/>
      <c r="R918" s="18" t="str">
        <f>IF('Global Precios'!F920="","",'Global Precios'!F920)</f>
        <v/>
      </c>
      <c r="S918" s="18"/>
      <c r="T918" s="18" t="str">
        <f>IF('Global Precios'!E920="","",'Global Precios'!E920)</f>
        <v/>
      </c>
      <c r="U918" s="18"/>
      <c r="V918" s="18" t="str">
        <f t="shared" si="2"/>
        <v/>
      </c>
      <c r="W918" s="18"/>
      <c r="X918" s="18"/>
      <c r="Y918" s="18"/>
      <c r="Z918" s="18"/>
      <c r="AA918" s="18"/>
      <c r="AB918" s="18" t="str">
        <f t="shared" si="3"/>
        <v/>
      </c>
      <c r="AC918" s="18" t="str">
        <f t="shared" si="4"/>
        <v/>
      </c>
      <c r="AD918" s="18" t="str">
        <f t="shared" si="5"/>
        <v/>
      </c>
      <c r="AE918" s="18" t="str">
        <f t="shared" si="6"/>
        <v/>
      </c>
    </row>
    <row r="919">
      <c r="A919" s="9" t="str">
        <f>IF(E919="","", IF('Global Precios'!B921="",0,'Global Precios'!B921))</f>
        <v/>
      </c>
      <c r="B919" s="14" t="str">
        <f>IF('Global Precios'!B921="","",'Global Precios'!B921)</f>
        <v/>
      </c>
      <c r="C919" s="18" t="str">
        <f>IF('Global Precios'!A921="","",'Global Precios'!A921)</f>
        <v/>
      </c>
      <c r="D919" s="18"/>
      <c r="E919" s="25" t="str">
        <f>IF('Global Precios'!D921="","",'Global Precios'!D921)</f>
        <v/>
      </c>
      <c r="F919" s="18"/>
      <c r="G919" s="25" t="str">
        <f t="shared" si="7"/>
        <v/>
      </c>
      <c r="H919" s="25" t="str">
        <f t="shared" si="1"/>
        <v/>
      </c>
      <c r="I919" s="30" t="str">
        <f>IF('Global Precios'!I921="","",'Global Precios'!I921)</f>
        <v/>
      </c>
      <c r="J919" s="18" t="str">
        <f>IF('Global Precios'!K921="","",'Global Precios'!K921)</f>
        <v/>
      </c>
      <c r="K919" s="30" t="str">
        <f>IF('Global Precios'!L921="","",'Global Precios'!L921)</f>
        <v/>
      </c>
      <c r="L919" s="18"/>
      <c r="M919" s="18"/>
      <c r="N919" s="18"/>
      <c r="O919" s="18"/>
      <c r="P919" s="18"/>
      <c r="Q919" s="18"/>
      <c r="R919" s="18" t="str">
        <f>IF('Global Precios'!F921="","",'Global Precios'!F921)</f>
        <v/>
      </c>
      <c r="S919" s="18"/>
      <c r="T919" s="18" t="str">
        <f>IF('Global Precios'!E921="","",'Global Precios'!E921)</f>
        <v/>
      </c>
      <c r="U919" s="18"/>
      <c r="V919" s="18" t="str">
        <f t="shared" si="2"/>
        <v/>
      </c>
      <c r="W919" s="18"/>
      <c r="X919" s="18"/>
      <c r="Y919" s="18"/>
      <c r="Z919" s="18"/>
      <c r="AA919" s="18"/>
      <c r="AB919" s="18" t="str">
        <f t="shared" si="3"/>
        <v/>
      </c>
      <c r="AC919" s="18" t="str">
        <f t="shared" si="4"/>
        <v/>
      </c>
      <c r="AD919" s="18" t="str">
        <f t="shared" si="5"/>
        <v/>
      </c>
      <c r="AE919" s="18" t="str">
        <f t="shared" si="6"/>
        <v/>
      </c>
    </row>
    <row r="920">
      <c r="A920" s="9" t="str">
        <f>IF(E920="","", IF('Global Precios'!B922="",0,'Global Precios'!B922))</f>
        <v/>
      </c>
      <c r="B920" s="14" t="str">
        <f>IF('Global Precios'!B922="","",'Global Precios'!B922)</f>
        <v/>
      </c>
      <c r="C920" s="18" t="str">
        <f>IF('Global Precios'!A922="","",'Global Precios'!A922)</f>
        <v/>
      </c>
      <c r="D920" s="18"/>
      <c r="E920" s="25" t="str">
        <f>IF('Global Precios'!D922="","",'Global Precios'!D922)</f>
        <v/>
      </c>
      <c r="F920" s="18"/>
      <c r="G920" s="25" t="str">
        <f t="shared" si="7"/>
        <v/>
      </c>
      <c r="H920" s="25" t="str">
        <f t="shared" si="1"/>
        <v/>
      </c>
      <c r="I920" s="30" t="str">
        <f>IF('Global Precios'!I922="","",'Global Precios'!I922)</f>
        <v/>
      </c>
      <c r="J920" s="18" t="str">
        <f>IF('Global Precios'!K922="","",'Global Precios'!K922)</f>
        <v/>
      </c>
      <c r="K920" s="30" t="str">
        <f>IF('Global Precios'!L922="","",'Global Precios'!L922)</f>
        <v/>
      </c>
      <c r="L920" s="18"/>
      <c r="M920" s="18"/>
      <c r="N920" s="18"/>
      <c r="O920" s="18"/>
      <c r="P920" s="18"/>
      <c r="Q920" s="18"/>
      <c r="R920" s="18" t="str">
        <f>IF('Global Precios'!F922="","",'Global Precios'!F922)</f>
        <v/>
      </c>
      <c r="S920" s="18"/>
      <c r="T920" s="18" t="str">
        <f>IF('Global Precios'!E922="","",'Global Precios'!E922)</f>
        <v/>
      </c>
      <c r="U920" s="18"/>
      <c r="V920" s="18" t="str">
        <f t="shared" si="2"/>
        <v/>
      </c>
      <c r="W920" s="18"/>
      <c r="X920" s="18"/>
      <c r="Y920" s="18"/>
      <c r="Z920" s="18"/>
      <c r="AA920" s="18"/>
      <c r="AB920" s="18" t="str">
        <f t="shared" si="3"/>
        <v/>
      </c>
      <c r="AC920" s="18" t="str">
        <f t="shared" si="4"/>
        <v/>
      </c>
      <c r="AD920" s="18" t="str">
        <f t="shared" si="5"/>
        <v/>
      </c>
      <c r="AE920" s="18" t="str">
        <f t="shared" si="6"/>
        <v/>
      </c>
    </row>
    <row r="921">
      <c r="A921" s="9" t="str">
        <f>IF(E921="","", IF('Global Precios'!B923="",0,'Global Precios'!B923))</f>
        <v/>
      </c>
      <c r="B921" s="14" t="str">
        <f>IF('Global Precios'!B923="","",'Global Precios'!B923)</f>
        <v/>
      </c>
      <c r="C921" s="18" t="str">
        <f>IF('Global Precios'!A923="","",'Global Precios'!A923)</f>
        <v/>
      </c>
      <c r="D921" s="18"/>
      <c r="E921" s="25" t="str">
        <f>IF('Global Precios'!D923="","",'Global Precios'!D923)</f>
        <v/>
      </c>
      <c r="F921" s="18"/>
      <c r="G921" s="25" t="str">
        <f t="shared" si="7"/>
        <v/>
      </c>
      <c r="H921" s="25" t="str">
        <f t="shared" si="1"/>
        <v/>
      </c>
      <c r="I921" s="30" t="str">
        <f>IF('Global Precios'!I923="","",'Global Precios'!I923)</f>
        <v/>
      </c>
      <c r="J921" s="18" t="str">
        <f>IF('Global Precios'!K923="","",'Global Precios'!K923)</f>
        <v/>
      </c>
      <c r="K921" s="30" t="str">
        <f>IF('Global Precios'!L923="","",'Global Precios'!L923)</f>
        <v/>
      </c>
      <c r="L921" s="18"/>
      <c r="M921" s="18"/>
      <c r="N921" s="18"/>
      <c r="O921" s="18"/>
      <c r="P921" s="18"/>
      <c r="Q921" s="18"/>
      <c r="R921" s="18" t="str">
        <f>IF('Global Precios'!F923="","",'Global Precios'!F923)</f>
        <v/>
      </c>
      <c r="S921" s="18"/>
      <c r="T921" s="18" t="str">
        <f>IF('Global Precios'!E923="","",'Global Precios'!E923)</f>
        <v/>
      </c>
      <c r="U921" s="18"/>
      <c r="V921" s="18" t="str">
        <f t="shared" si="2"/>
        <v/>
      </c>
      <c r="W921" s="18"/>
      <c r="X921" s="18"/>
      <c r="Y921" s="18"/>
      <c r="Z921" s="18"/>
      <c r="AA921" s="18"/>
      <c r="AB921" s="18" t="str">
        <f t="shared" si="3"/>
        <v/>
      </c>
      <c r="AC921" s="18" t="str">
        <f t="shared" si="4"/>
        <v/>
      </c>
      <c r="AD921" s="18" t="str">
        <f t="shared" si="5"/>
        <v/>
      </c>
      <c r="AE921" s="18" t="str">
        <f t="shared" si="6"/>
        <v/>
      </c>
    </row>
    <row r="922">
      <c r="A922" s="9" t="str">
        <f>IF(E922="","", IF('Global Precios'!B924="",0,'Global Precios'!B924))</f>
        <v/>
      </c>
      <c r="B922" s="14" t="str">
        <f>IF('Global Precios'!B924="","",'Global Precios'!B924)</f>
        <v/>
      </c>
      <c r="C922" s="18" t="str">
        <f>IF('Global Precios'!A924="","",'Global Precios'!A924)</f>
        <v/>
      </c>
      <c r="D922" s="18"/>
      <c r="E922" s="25" t="str">
        <f>IF('Global Precios'!D924="","",'Global Precios'!D924)</f>
        <v/>
      </c>
      <c r="F922" s="18"/>
      <c r="G922" s="25" t="str">
        <f t="shared" si="7"/>
        <v/>
      </c>
      <c r="H922" s="25" t="str">
        <f t="shared" si="1"/>
        <v/>
      </c>
      <c r="I922" s="30" t="str">
        <f>IF('Global Precios'!I924="","",'Global Precios'!I924)</f>
        <v/>
      </c>
      <c r="J922" s="18" t="str">
        <f>IF('Global Precios'!K924="","",'Global Precios'!K924)</f>
        <v/>
      </c>
      <c r="K922" s="30" t="str">
        <f>IF('Global Precios'!L924="","",'Global Precios'!L924)</f>
        <v/>
      </c>
      <c r="L922" s="18"/>
      <c r="M922" s="18"/>
      <c r="N922" s="18"/>
      <c r="O922" s="18"/>
      <c r="P922" s="18"/>
      <c r="Q922" s="18"/>
      <c r="R922" s="18" t="str">
        <f>IF('Global Precios'!F924="","",'Global Precios'!F924)</f>
        <v/>
      </c>
      <c r="S922" s="18"/>
      <c r="T922" s="18" t="str">
        <f>IF('Global Precios'!E924="","",'Global Precios'!E924)</f>
        <v/>
      </c>
      <c r="U922" s="18"/>
      <c r="V922" s="18" t="str">
        <f t="shared" si="2"/>
        <v/>
      </c>
      <c r="W922" s="18"/>
      <c r="X922" s="18"/>
      <c r="Y922" s="18"/>
      <c r="Z922" s="18"/>
      <c r="AA922" s="18"/>
      <c r="AB922" s="18" t="str">
        <f t="shared" si="3"/>
        <v/>
      </c>
      <c r="AC922" s="18" t="str">
        <f t="shared" si="4"/>
        <v/>
      </c>
      <c r="AD922" s="18" t="str">
        <f t="shared" si="5"/>
        <v/>
      </c>
      <c r="AE922" s="18" t="str">
        <f t="shared" si="6"/>
        <v/>
      </c>
    </row>
    <row r="923">
      <c r="A923" s="9" t="str">
        <f>IF(E923="","", IF('Global Precios'!B925="",0,'Global Precios'!B925))</f>
        <v/>
      </c>
      <c r="B923" s="14" t="str">
        <f>IF('Global Precios'!B925="","",'Global Precios'!B925)</f>
        <v/>
      </c>
      <c r="C923" s="18" t="str">
        <f>IF('Global Precios'!A925="","",'Global Precios'!A925)</f>
        <v/>
      </c>
      <c r="D923" s="18"/>
      <c r="E923" s="25" t="str">
        <f>IF('Global Precios'!D925="","",'Global Precios'!D925)</f>
        <v/>
      </c>
      <c r="F923" s="18"/>
      <c r="G923" s="25" t="str">
        <f t="shared" si="7"/>
        <v/>
      </c>
      <c r="H923" s="25" t="str">
        <f t="shared" si="1"/>
        <v/>
      </c>
      <c r="I923" s="30" t="str">
        <f>IF('Global Precios'!I925="","",'Global Precios'!I925)</f>
        <v/>
      </c>
      <c r="J923" s="18" t="str">
        <f>IF('Global Precios'!K925="","",'Global Precios'!K925)</f>
        <v/>
      </c>
      <c r="K923" s="30" t="str">
        <f>IF('Global Precios'!L925="","",'Global Precios'!L925)</f>
        <v/>
      </c>
      <c r="L923" s="18"/>
      <c r="M923" s="18"/>
      <c r="N923" s="18"/>
      <c r="O923" s="18"/>
      <c r="P923" s="18"/>
      <c r="Q923" s="18"/>
      <c r="R923" s="18" t="str">
        <f>IF('Global Precios'!F925="","",'Global Precios'!F925)</f>
        <v/>
      </c>
      <c r="S923" s="18"/>
      <c r="T923" s="18" t="str">
        <f>IF('Global Precios'!E925="","",'Global Precios'!E925)</f>
        <v/>
      </c>
      <c r="U923" s="18"/>
      <c r="V923" s="18" t="str">
        <f t="shared" si="2"/>
        <v/>
      </c>
      <c r="W923" s="18"/>
      <c r="X923" s="18"/>
      <c r="Y923" s="18"/>
      <c r="Z923" s="18"/>
      <c r="AA923" s="18"/>
      <c r="AB923" s="18" t="str">
        <f t="shared" si="3"/>
        <v/>
      </c>
      <c r="AC923" s="18" t="str">
        <f t="shared" si="4"/>
        <v/>
      </c>
      <c r="AD923" s="18" t="str">
        <f t="shared" si="5"/>
        <v/>
      </c>
      <c r="AE923" s="18" t="str">
        <f t="shared" si="6"/>
        <v/>
      </c>
    </row>
    <row r="924">
      <c r="A924" s="9" t="str">
        <f>IF(E924="","", IF('Global Precios'!B926="",0,'Global Precios'!B926))</f>
        <v/>
      </c>
      <c r="B924" s="14" t="str">
        <f>IF('Global Precios'!B926="","",'Global Precios'!B926)</f>
        <v/>
      </c>
      <c r="C924" s="18" t="str">
        <f>IF('Global Precios'!A926="","",'Global Precios'!A926)</f>
        <v/>
      </c>
      <c r="D924" s="18"/>
      <c r="E924" s="25" t="str">
        <f>IF('Global Precios'!D926="","",'Global Precios'!D926)</f>
        <v/>
      </c>
      <c r="F924" s="18"/>
      <c r="G924" s="25" t="str">
        <f t="shared" si="7"/>
        <v/>
      </c>
      <c r="H924" s="25" t="str">
        <f t="shared" si="1"/>
        <v/>
      </c>
      <c r="I924" s="30" t="str">
        <f>IF('Global Precios'!I926="","",'Global Precios'!I926)</f>
        <v/>
      </c>
      <c r="J924" s="18" t="str">
        <f>IF('Global Precios'!K926="","",'Global Precios'!K926)</f>
        <v/>
      </c>
      <c r="K924" s="30" t="str">
        <f>IF('Global Precios'!L926="","",'Global Precios'!L926)</f>
        <v/>
      </c>
      <c r="L924" s="18"/>
      <c r="M924" s="18"/>
      <c r="N924" s="18"/>
      <c r="O924" s="18"/>
      <c r="P924" s="18"/>
      <c r="Q924" s="18"/>
      <c r="R924" s="18" t="str">
        <f>IF('Global Precios'!F926="","",'Global Precios'!F926)</f>
        <v/>
      </c>
      <c r="S924" s="18"/>
      <c r="T924" s="18" t="str">
        <f>IF('Global Precios'!E926="","",'Global Precios'!E926)</f>
        <v/>
      </c>
      <c r="U924" s="18"/>
      <c r="V924" s="18" t="str">
        <f t="shared" si="2"/>
        <v/>
      </c>
      <c r="W924" s="18"/>
      <c r="X924" s="18"/>
      <c r="Y924" s="18"/>
      <c r="Z924" s="18"/>
      <c r="AA924" s="18"/>
      <c r="AB924" s="18" t="str">
        <f t="shared" si="3"/>
        <v/>
      </c>
      <c r="AC924" s="18" t="str">
        <f t="shared" si="4"/>
        <v/>
      </c>
      <c r="AD924" s="18" t="str">
        <f t="shared" si="5"/>
        <v/>
      </c>
      <c r="AE924" s="18" t="str">
        <f t="shared" si="6"/>
        <v/>
      </c>
    </row>
    <row r="925">
      <c r="A925" s="9" t="str">
        <f>IF(E925="","", IF('Global Precios'!B927="",0,'Global Precios'!B927))</f>
        <v/>
      </c>
      <c r="B925" s="14" t="str">
        <f>IF('Global Precios'!B927="","",'Global Precios'!B927)</f>
        <v/>
      </c>
      <c r="C925" s="18" t="str">
        <f>IF('Global Precios'!A927="","",'Global Precios'!A927)</f>
        <v/>
      </c>
      <c r="D925" s="18"/>
      <c r="E925" s="25" t="str">
        <f>IF('Global Precios'!D927="","",'Global Precios'!D927)</f>
        <v/>
      </c>
      <c r="F925" s="18"/>
      <c r="G925" s="25" t="str">
        <f t="shared" si="7"/>
        <v/>
      </c>
      <c r="H925" s="25" t="str">
        <f t="shared" si="1"/>
        <v/>
      </c>
      <c r="I925" s="30" t="str">
        <f>IF('Global Precios'!I927="","",'Global Precios'!I927)</f>
        <v/>
      </c>
      <c r="J925" s="18" t="str">
        <f>IF('Global Precios'!K927="","",'Global Precios'!K927)</f>
        <v/>
      </c>
      <c r="K925" s="30" t="str">
        <f>IF('Global Precios'!L927="","",'Global Precios'!L927)</f>
        <v/>
      </c>
      <c r="L925" s="18"/>
      <c r="M925" s="18"/>
      <c r="N925" s="18"/>
      <c r="O925" s="18"/>
      <c r="P925" s="18"/>
      <c r="Q925" s="18"/>
      <c r="R925" s="18" t="str">
        <f>IF('Global Precios'!F927="","",'Global Precios'!F927)</f>
        <v/>
      </c>
      <c r="S925" s="18"/>
      <c r="T925" s="18" t="str">
        <f>IF('Global Precios'!E927="","",'Global Precios'!E927)</f>
        <v/>
      </c>
      <c r="U925" s="18"/>
      <c r="V925" s="18" t="str">
        <f t="shared" si="2"/>
        <v/>
      </c>
      <c r="W925" s="18"/>
      <c r="X925" s="18"/>
      <c r="Y925" s="18"/>
      <c r="Z925" s="18"/>
      <c r="AA925" s="18"/>
      <c r="AB925" s="18" t="str">
        <f t="shared" si="3"/>
        <v/>
      </c>
      <c r="AC925" s="18" t="str">
        <f t="shared" si="4"/>
        <v/>
      </c>
      <c r="AD925" s="18" t="str">
        <f t="shared" si="5"/>
        <v/>
      </c>
      <c r="AE925" s="18" t="str">
        <f t="shared" si="6"/>
        <v/>
      </c>
    </row>
    <row r="926">
      <c r="A926" s="9" t="str">
        <f>IF(E926="","", IF('Global Precios'!B928="",0,'Global Precios'!B928))</f>
        <v/>
      </c>
      <c r="B926" s="14" t="str">
        <f>IF('Global Precios'!B928="","",'Global Precios'!B928)</f>
        <v/>
      </c>
      <c r="C926" s="18" t="str">
        <f>IF('Global Precios'!A928="","",'Global Precios'!A928)</f>
        <v/>
      </c>
      <c r="D926" s="18"/>
      <c r="E926" s="25" t="str">
        <f>IF('Global Precios'!D928="","",'Global Precios'!D928)</f>
        <v/>
      </c>
      <c r="F926" s="18"/>
      <c r="G926" s="25" t="str">
        <f t="shared" si="7"/>
        <v/>
      </c>
      <c r="H926" s="25" t="str">
        <f t="shared" si="1"/>
        <v/>
      </c>
      <c r="I926" s="30" t="str">
        <f>IF('Global Precios'!I928="","",'Global Precios'!I928)</f>
        <v/>
      </c>
      <c r="J926" s="18" t="str">
        <f>IF('Global Precios'!K928="","",'Global Precios'!K928)</f>
        <v/>
      </c>
      <c r="K926" s="30" t="str">
        <f>IF('Global Precios'!L928="","",'Global Precios'!L928)</f>
        <v/>
      </c>
      <c r="L926" s="18"/>
      <c r="M926" s="18"/>
      <c r="N926" s="18"/>
      <c r="O926" s="18"/>
      <c r="P926" s="18"/>
      <c r="Q926" s="18"/>
      <c r="R926" s="18" t="str">
        <f>IF('Global Precios'!F928="","",'Global Precios'!F928)</f>
        <v/>
      </c>
      <c r="S926" s="18"/>
      <c r="T926" s="18" t="str">
        <f>IF('Global Precios'!E928="","",'Global Precios'!E928)</f>
        <v/>
      </c>
      <c r="U926" s="18"/>
      <c r="V926" s="18" t="str">
        <f t="shared" si="2"/>
        <v/>
      </c>
      <c r="W926" s="18"/>
      <c r="X926" s="18"/>
      <c r="Y926" s="18"/>
      <c r="Z926" s="18"/>
      <c r="AA926" s="18"/>
      <c r="AB926" s="18" t="str">
        <f t="shared" si="3"/>
        <v/>
      </c>
      <c r="AC926" s="18" t="str">
        <f t="shared" si="4"/>
        <v/>
      </c>
      <c r="AD926" s="18" t="str">
        <f t="shared" si="5"/>
        <v/>
      </c>
      <c r="AE926" s="18" t="str">
        <f t="shared" si="6"/>
        <v/>
      </c>
    </row>
    <row r="927">
      <c r="A927" s="9" t="str">
        <f>IF(E927="","", IF('Global Precios'!B929="",0,'Global Precios'!B929))</f>
        <v/>
      </c>
      <c r="B927" s="14" t="str">
        <f>IF('Global Precios'!B929="","",'Global Precios'!B929)</f>
        <v/>
      </c>
      <c r="C927" s="18" t="str">
        <f>IF('Global Precios'!A929="","",'Global Precios'!A929)</f>
        <v/>
      </c>
      <c r="D927" s="18"/>
      <c r="E927" s="25" t="str">
        <f>IF('Global Precios'!D929="","",'Global Precios'!D929)</f>
        <v/>
      </c>
      <c r="F927" s="18"/>
      <c r="G927" s="25" t="str">
        <f t="shared" si="7"/>
        <v/>
      </c>
      <c r="H927" s="25" t="str">
        <f t="shared" si="1"/>
        <v/>
      </c>
      <c r="I927" s="30" t="str">
        <f>IF('Global Precios'!I929="","",'Global Precios'!I929)</f>
        <v/>
      </c>
      <c r="J927" s="18" t="str">
        <f>IF('Global Precios'!K929="","",'Global Precios'!K929)</f>
        <v/>
      </c>
      <c r="K927" s="30" t="str">
        <f>IF('Global Precios'!L929="","",'Global Precios'!L929)</f>
        <v/>
      </c>
      <c r="L927" s="18"/>
      <c r="M927" s="18"/>
      <c r="N927" s="18"/>
      <c r="O927" s="18"/>
      <c r="P927" s="18"/>
      <c r="Q927" s="18"/>
      <c r="R927" s="18" t="str">
        <f>IF('Global Precios'!F929="","",'Global Precios'!F929)</f>
        <v/>
      </c>
      <c r="S927" s="18"/>
      <c r="T927" s="18" t="str">
        <f>IF('Global Precios'!E929="","",'Global Precios'!E929)</f>
        <v/>
      </c>
      <c r="U927" s="18"/>
      <c r="V927" s="18" t="str">
        <f t="shared" si="2"/>
        <v/>
      </c>
      <c r="W927" s="18"/>
      <c r="X927" s="18"/>
      <c r="Y927" s="18"/>
      <c r="Z927" s="18"/>
      <c r="AA927" s="18"/>
      <c r="AB927" s="18" t="str">
        <f t="shared" si="3"/>
        <v/>
      </c>
      <c r="AC927" s="18" t="str">
        <f t="shared" si="4"/>
        <v/>
      </c>
      <c r="AD927" s="18" t="str">
        <f t="shared" si="5"/>
        <v/>
      </c>
      <c r="AE927" s="18" t="str">
        <f t="shared" si="6"/>
        <v/>
      </c>
    </row>
    <row r="928">
      <c r="A928" s="9" t="str">
        <f>IF(E928="","", IF('Global Precios'!B930="",0,'Global Precios'!B930))</f>
        <v/>
      </c>
      <c r="B928" s="14" t="str">
        <f>IF('Global Precios'!B930="","",'Global Precios'!B930)</f>
        <v/>
      </c>
      <c r="C928" s="18" t="str">
        <f>IF('Global Precios'!A930="","",'Global Precios'!A930)</f>
        <v/>
      </c>
      <c r="D928" s="18"/>
      <c r="E928" s="25" t="str">
        <f>IF('Global Precios'!D930="","",'Global Precios'!D930)</f>
        <v/>
      </c>
      <c r="F928" s="18"/>
      <c r="G928" s="25" t="str">
        <f t="shared" si="7"/>
        <v/>
      </c>
      <c r="H928" s="25" t="str">
        <f t="shared" si="1"/>
        <v/>
      </c>
      <c r="I928" s="30" t="str">
        <f>IF('Global Precios'!I930="","",'Global Precios'!I930)</f>
        <v/>
      </c>
      <c r="J928" s="18" t="str">
        <f>IF('Global Precios'!K930="","",'Global Precios'!K930)</f>
        <v/>
      </c>
      <c r="K928" s="30" t="str">
        <f>IF('Global Precios'!L930="","",'Global Precios'!L930)</f>
        <v/>
      </c>
      <c r="L928" s="18"/>
      <c r="M928" s="18"/>
      <c r="N928" s="18"/>
      <c r="O928" s="18"/>
      <c r="P928" s="18"/>
      <c r="Q928" s="18"/>
      <c r="R928" s="18" t="str">
        <f>IF('Global Precios'!F930="","",'Global Precios'!F930)</f>
        <v/>
      </c>
      <c r="S928" s="18"/>
      <c r="T928" s="18" t="str">
        <f>IF('Global Precios'!E930="","",'Global Precios'!E930)</f>
        <v/>
      </c>
      <c r="U928" s="18"/>
      <c r="V928" s="18" t="str">
        <f t="shared" si="2"/>
        <v/>
      </c>
      <c r="W928" s="18"/>
      <c r="X928" s="18"/>
      <c r="Y928" s="18"/>
      <c r="Z928" s="18"/>
      <c r="AA928" s="18"/>
      <c r="AB928" s="18" t="str">
        <f t="shared" si="3"/>
        <v/>
      </c>
      <c r="AC928" s="18" t="str">
        <f t="shared" si="4"/>
        <v/>
      </c>
      <c r="AD928" s="18" t="str">
        <f t="shared" si="5"/>
        <v/>
      </c>
      <c r="AE928" s="18" t="str">
        <f t="shared" si="6"/>
        <v/>
      </c>
    </row>
    <row r="929">
      <c r="A929" s="9" t="str">
        <f>IF(E929="","", IF('Global Precios'!B931="",0,'Global Precios'!B931))</f>
        <v/>
      </c>
      <c r="B929" s="14" t="str">
        <f>IF('Global Precios'!B931="","",'Global Precios'!B931)</f>
        <v/>
      </c>
      <c r="C929" s="18" t="str">
        <f>IF('Global Precios'!A931="","",'Global Precios'!A931)</f>
        <v/>
      </c>
      <c r="D929" s="18"/>
      <c r="E929" s="25" t="str">
        <f>IF('Global Precios'!D931="","",'Global Precios'!D931)</f>
        <v/>
      </c>
      <c r="F929" s="18"/>
      <c r="G929" s="25" t="str">
        <f t="shared" si="7"/>
        <v/>
      </c>
      <c r="H929" s="25" t="str">
        <f t="shared" si="1"/>
        <v/>
      </c>
      <c r="I929" s="30" t="str">
        <f>IF('Global Precios'!I931="","",'Global Precios'!I931)</f>
        <v/>
      </c>
      <c r="J929" s="18" t="str">
        <f>IF('Global Precios'!K931="","",'Global Precios'!K931)</f>
        <v/>
      </c>
      <c r="K929" s="30" t="str">
        <f>IF('Global Precios'!L931="","",'Global Precios'!L931)</f>
        <v/>
      </c>
      <c r="L929" s="18"/>
      <c r="M929" s="18"/>
      <c r="N929" s="18"/>
      <c r="O929" s="18"/>
      <c r="P929" s="18"/>
      <c r="Q929" s="18"/>
      <c r="R929" s="18" t="str">
        <f>IF('Global Precios'!F931="","",'Global Precios'!F931)</f>
        <v/>
      </c>
      <c r="S929" s="18"/>
      <c r="T929" s="18" t="str">
        <f>IF('Global Precios'!E931="","",'Global Precios'!E931)</f>
        <v/>
      </c>
      <c r="U929" s="18"/>
      <c r="V929" s="18" t="str">
        <f t="shared" si="2"/>
        <v/>
      </c>
      <c r="W929" s="18"/>
      <c r="X929" s="18"/>
      <c r="Y929" s="18"/>
      <c r="Z929" s="18"/>
      <c r="AA929" s="18"/>
      <c r="AB929" s="18" t="str">
        <f t="shared" si="3"/>
        <v/>
      </c>
      <c r="AC929" s="18" t="str">
        <f t="shared" si="4"/>
        <v/>
      </c>
      <c r="AD929" s="18" t="str">
        <f t="shared" si="5"/>
        <v/>
      </c>
      <c r="AE929" s="18" t="str">
        <f t="shared" si="6"/>
        <v/>
      </c>
    </row>
    <row r="930">
      <c r="A930" s="9" t="str">
        <f>IF(E930="","", IF('Global Precios'!B932="",0,'Global Precios'!B932))</f>
        <v/>
      </c>
      <c r="B930" s="14" t="str">
        <f>IF('Global Precios'!B932="","",'Global Precios'!B932)</f>
        <v/>
      </c>
      <c r="C930" s="18" t="str">
        <f>IF('Global Precios'!A932="","",'Global Precios'!A932)</f>
        <v/>
      </c>
      <c r="D930" s="18"/>
      <c r="E930" s="25" t="str">
        <f>IF('Global Precios'!D932="","",'Global Precios'!D932)</f>
        <v/>
      </c>
      <c r="F930" s="18"/>
      <c r="G930" s="25" t="str">
        <f t="shared" si="7"/>
        <v/>
      </c>
      <c r="H930" s="25" t="str">
        <f t="shared" si="1"/>
        <v/>
      </c>
      <c r="I930" s="30" t="str">
        <f>IF('Global Precios'!I932="","",'Global Precios'!I932)</f>
        <v/>
      </c>
      <c r="J930" s="18" t="str">
        <f>IF('Global Precios'!K932="","",'Global Precios'!K932)</f>
        <v/>
      </c>
      <c r="K930" s="30" t="str">
        <f>IF('Global Precios'!L932="","",'Global Precios'!L932)</f>
        <v/>
      </c>
      <c r="L930" s="18"/>
      <c r="M930" s="18"/>
      <c r="N930" s="18"/>
      <c r="O930" s="18"/>
      <c r="P930" s="18"/>
      <c r="Q930" s="18"/>
      <c r="R930" s="18" t="str">
        <f>IF('Global Precios'!F932="","",'Global Precios'!F932)</f>
        <v/>
      </c>
      <c r="S930" s="18"/>
      <c r="T930" s="18" t="str">
        <f>IF('Global Precios'!E932="","",'Global Precios'!E932)</f>
        <v/>
      </c>
      <c r="U930" s="18"/>
      <c r="V930" s="18" t="str">
        <f t="shared" si="2"/>
        <v/>
      </c>
      <c r="W930" s="18"/>
      <c r="X930" s="18"/>
      <c r="Y930" s="18"/>
      <c r="Z930" s="18"/>
      <c r="AA930" s="18"/>
      <c r="AB930" s="18" t="str">
        <f t="shared" si="3"/>
        <v/>
      </c>
      <c r="AC930" s="18" t="str">
        <f t="shared" si="4"/>
        <v/>
      </c>
      <c r="AD930" s="18" t="str">
        <f t="shared" si="5"/>
        <v/>
      </c>
      <c r="AE930" s="18" t="str">
        <f t="shared" si="6"/>
        <v/>
      </c>
    </row>
    <row r="931">
      <c r="A931" s="9" t="str">
        <f>IF(E931="","", IF('Global Precios'!B933="",0,'Global Precios'!B933))</f>
        <v/>
      </c>
      <c r="B931" s="14" t="str">
        <f>IF('Global Precios'!B933="","",'Global Precios'!B933)</f>
        <v/>
      </c>
      <c r="C931" s="18" t="str">
        <f>IF('Global Precios'!A933="","",'Global Precios'!A933)</f>
        <v/>
      </c>
      <c r="D931" s="18"/>
      <c r="E931" s="25" t="str">
        <f>IF('Global Precios'!D933="","",'Global Precios'!D933)</f>
        <v/>
      </c>
      <c r="F931" s="18"/>
      <c r="G931" s="25" t="str">
        <f t="shared" si="7"/>
        <v/>
      </c>
      <c r="H931" s="25" t="str">
        <f t="shared" si="1"/>
        <v/>
      </c>
      <c r="I931" s="30" t="str">
        <f>IF('Global Precios'!I933="","",'Global Precios'!I933)</f>
        <v/>
      </c>
      <c r="J931" s="18" t="str">
        <f>IF('Global Precios'!K933="","",'Global Precios'!K933)</f>
        <v/>
      </c>
      <c r="K931" s="30" t="str">
        <f>IF('Global Precios'!L933="","",'Global Precios'!L933)</f>
        <v/>
      </c>
      <c r="L931" s="18"/>
      <c r="M931" s="18"/>
      <c r="N931" s="18"/>
      <c r="O931" s="18"/>
      <c r="P931" s="18"/>
      <c r="Q931" s="18"/>
      <c r="R931" s="18" t="str">
        <f>IF('Global Precios'!F933="","",'Global Precios'!F933)</f>
        <v/>
      </c>
      <c r="S931" s="18"/>
      <c r="T931" s="18" t="str">
        <f>IF('Global Precios'!E933="","",'Global Precios'!E933)</f>
        <v/>
      </c>
      <c r="U931" s="18"/>
      <c r="V931" s="18" t="str">
        <f t="shared" si="2"/>
        <v/>
      </c>
      <c r="W931" s="18"/>
      <c r="X931" s="18"/>
      <c r="Y931" s="18"/>
      <c r="Z931" s="18"/>
      <c r="AA931" s="18"/>
      <c r="AB931" s="18" t="str">
        <f t="shared" si="3"/>
        <v/>
      </c>
      <c r="AC931" s="18" t="str">
        <f t="shared" si="4"/>
        <v/>
      </c>
      <c r="AD931" s="18" t="str">
        <f t="shared" si="5"/>
        <v/>
      </c>
      <c r="AE931" s="18" t="str">
        <f t="shared" si="6"/>
        <v/>
      </c>
    </row>
    <row r="932">
      <c r="A932" s="9" t="str">
        <f>IF(E932="","", IF('Global Precios'!B934="",0,'Global Precios'!B934))</f>
        <v/>
      </c>
      <c r="B932" s="14" t="str">
        <f>IF('Global Precios'!B934="","",'Global Precios'!B934)</f>
        <v/>
      </c>
      <c r="C932" s="18" t="str">
        <f>IF('Global Precios'!A934="","",'Global Precios'!A934)</f>
        <v/>
      </c>
      <c r="D932" s="18"/>
      <c r="E932" s="25" t="str">
        <f>IF('Global Precios'!D934="","",'Global Precios'!D934)</f>
        <v/>
      </c>
      <c r="F932" s="18"/>
      <c r="G932" s="25" t="str">
        <f t="shared" si="7"/>
        <v/>
      </c>
      <c r="H932" s="25" t="str">
        <f t="shared" si="1"/>
        <v/>
      </c>
      <c r="I932" s="30" t="str">
        <f>IF('Global Precios'!I934="","",'Global Precios'!I934)</f>
        <v/>
      </c>
      <c r="J932" s="18" t="str">
        <f>IF('Global Precios'!K934="","",'Global Precios'!K934)</f>
        <v/>
      </c>
      <c r="K932" s="30" t="str">
        <f>IF('Global Precios'!L934="","",'Global Precios'!L934)</f>
        <v/>
      </c>
      <c r="L932" s="18"/>
      <c r="M932" s="18"/>
      <c r="N932" s="18"/>
      <c r="O932" s="18"/>
      <c r="P932" s="18"/>
      <c r="Q932" s="18"/>
      <c r="R932" s="18" t="str">
        <f>IF('Global Precios'!F934="","",'Global Precios'!F934)</f>
        <v/>
      </c>
      <c r="S932" s="18"/>
      <c r="T932" s="18" t="str">
        <f>IF('Global Precios'!E934="","",'Global Precios'!E934)</f>
        <v/>
      </c>
      <c r="U932" s="18"/>
      <c r="V932" s="18" t="str">
        <f t="shared" si="2"/>
        <v/>
      </c>
      <c r="W932" s="18"/>
      <c r="X932" s="18"/>
      <c r="Y932" s="18"/>
      <c r="Z932" s="18"/>
      <c r="AA932" s="18"/>
      <c r="AB932" s="18" t="str">
        <f t="shared" si="3"/>
        <v/>
      </c>
      <c r="AC932" s="18" t="str">
        <f t="shared" si="4"/>
        <v/>
      </c>
      <c r="AD932" s="18" t="str">
        <f t="shared" si="5"/>
        <v/>
      </c>
      <c r="AE932" s="18" t="str">
        <f t="shared" si="6"/>
        <v/>
      </c>
    </row>
    <row r="933">
      <c r="A933" s="9" t="str">
        <f>IF(E933="","", IF('Global Precios'!B935="",0,'Global Precios'!B935))</f>
        <v/>
      </c>
      <c r="B933" s="14" t="str">
        <f>IF('Global Precios'!B935="","",'Global Precios'!B935)</f>
        <v/>
      </c>
      <c r="C933" s="18" t="str">
        <f>IF('Global Precios'!A935="","",'Global Precios'!A935)</f>
        <v/>
      </c>
      <c r="D933" s="18"/>
      <c r="E933" s="25" t="str">
        <f>IF('Global Precios'!D935="","",'Global Precios'!D935)</f>
        <v/>
      </c>
      <c r="F933" s="18"/>
      <c r="G933" s="25" t="str">
        <f t="shared" si="7"/>
        <v/>
      </c>
      <c r="H933" s="25" t="str">
        <f t="shared" si="1"/>
        <v/>
      </c>
      <c r="I933" s="30" t="str">
        <f>IF('Global Precios'!I935="","",'Global Precios'!I935)</f>
        <v/>
      </c>
      <c r="J933" s="18" t="str">
        <f>IF('Global Precios'!K935="","",'Global Precios'!K935)</f>
        <v/>
      </c>
      <c r="K933" s="30" t="str">
        <f>IF('Global Precios'!L935="","",'Global Precios'!L935)</f>
        <v/>
      </c>
      <c r="L933" s="18"/>
      <c r="M933" s="18"/>
      <c r="N933" s="18"/>
      <c r="O933" s="18"/>
      <c r="P933" s="18"/>
      <c r="Q933" s="18"/>
      <c r="R933" s="18" t="str">
        <f>IF('Global Precios'!F935="","",'Global Precios'!F935)</f>
        <v/>
      </c>
      <c r="S933" s="18"/>
      <c r="T933" s="18" t="str">
        <f>IF('Global Precios'!E935="","",'Global Precios'!E935)</f>
        <v/>
      </c>
      <c r="U933" s="18"/>
      <c r="V933" s="18" t="str">
        <f t="shared" si="2"/>
        <v/>
      </c>
      <c r="W933" s="18"/>
      <c r="X933" s="18"/>
      <c r="Y933" s="18"/>
      <c r="Z933" s="18"/>
      <c r="AA933" s="18"/>
      <c r="AB933" s="18" t="str">
        <f t="shared" si="3"/>
        <v/>
      </c>
      <c r="AC933" s="18" t="str">
        <f t="shared" si="4"/>
        <v/>
      </c>
      <c r="AD933" s="18" t="str">
        <f t="shared" si="5"/>
        <v/>
      </c>
      <c r="AE933" s="18" t="str">
        <f t="shared" si="6"/>
        <v/>
      </c>
    </row>
    <row r="934">
      <c r="A934" s="9" t="str">
        <f>IF(E934="","", IF('Global Precios'!B936="",0,'Global Precios'!B936))</f>
        <v/>
      </c>
      <c r="B934" s="14" t="str">
        <f>IF('Global Precios'!B936="","",'Global Precios'!B936)</f>
        <v/>
      </c>
      <c r="C934" s="18" t="str">
        <f>IF('Global Precios'!A936="","",'Global Precios'!A936)</f>
        <v/>
      </c>
      <c r="D934" s="18"/>
      <c r="E934" s="25" t="str">
        <f>IF('Global Precios'!D936="","",'Global Precios'!D936)</f>
        <v/>
      </c>
      <c r="F934" s="18"/>
      <c r="G934" s="25" t="str">
        <f t="shared" si="7"/>
        <v/>
      </c>
      <c r="H934" s="25" t="str">
        <f t="shared" si="1"/>
        <v/>
      </c>
      <c r="I934" s="30" t="str">
        <f>IF('Global Precios'!I936="","",'Global Precios'!I936)</f>
        <v/>
      </c>
      <c r="J934" s="18" t="str">
        <f>IF('Global Precios'!K936="","",'Global Precios'!K936)</f>
        <v/>
      </c>
      <c r="K934" s="30" t="str">
        <f>IF('Global Precios'!L936="","",'Global Precios'!L936)</f>
        <v/>
      </c>
      <c r="L934" s="18"/>
      <c r="M934" s="18"/>
      <c r="N934" s="18"/>
      <c r="O934" s="18"/>
      <c r="P934" s="18"/>
      <c r="Q934" s="18"/>
      <c r="R934" s="18" t="str">
        <f>IF('Global Precios'!F936="","",'Global Precios'!F936)</f>
        <v/>
      </c>
      <c r="S934" s="18"/>
      <c r="T934" s="18" t="str">
        <f>IF('Global Precios'!E936="","",'Global Precios'!E936)</f>
        <v/>
      </c>
      <c r="U934" s="18"/>
      <c r="V934" s="18" t="str">
        <f t="shared" si="2"/>
        <v/>
      </c>
      <c r="W934" s="18"/>
      <c r="X934" s="18"/>
      <c r="Y934" s="18"/>
      <c r="Z934" s="18"/>
      <c r="AA934" s="18"/>
      <c r="AB934" s="18" t="str">
        <f t="shared" si="3"/>
        <v/>
      </c>
      <c r="AC934" s="18" t="str">
        <f t="shared" si="4"/>
        <v/>
      </c>
      <c r="AD934" s="18" t="str">
        <f t="shared" si="5"/>
        <v/>
      </c>
      <c r="AE934" s="18" t="str">
        <f t="shared" si="6"/>
        <v/>
      </c>
    </row>
    <row r="935">
      <c r="A935" s="9" t="str">
        <f>IF(E935="","", IF('Global Precios'!B937="",0,'Global Precios'!B937))</f>
        <v/>
      </c>
      <c r="B935" s="14" t="str">
        <f>IF('Global Precios'!B937="","",'Global Precios'!B937)</f>
        <v/>
      </c>
      <c r="C935" s="18" t="str">
        <f>IF('Global Precios'!A937="","",'Global Precios'!A937)</f>
        <v/>
      </c>
      <c r="D935" s="18"/>
      <c r="E935" s="25" t="str">
        <f>IF('Global Precios'!D937="","",'Global Precios'!D937)</f>
        <v/>
      </c>
      <c r="F935" s="18"/>
      <c r="G935" s="25" t="str">
        <f t="shared" si="7"/>
        <v/>
      </c>
      <c r="H935" s="25" t="str">
        <f t="shared" si="1"/>
        <v/>
      </c>
      <c r="I935" s="30" t="str">
        <f>IF('Global Precios'!I937="","",'Global Precios'!I937)</f>
        <v/>
      </c>
      <c r="J935" s="18" t="str">
        <f>IF('Global Precios'!K937="","",'Global Precios'!K937)</f>
        <v/>
      </c>
      <c r="K935" s="30" t="str">
        <f>IF('Global Precios'!L937="","",'Global Precios'!L937)</f>
        <v/>
      </c>
      <c r="L935" s="18"/>
      <c r="M935" s="18"/>
      <c r="N935" s="18"/>
      <c r="O935" s="18"/>
      <c r="P935" s="18"/>
      <c r="Q935" s="18"/>
      <c r="R935" s="18" t="str">
        <f>IF('Global Precios'!F937="","",'Global Precios'!F937)</f>
        <v/>
      </c>
      <c r="S935" s="18"/>
      <c r="T935" s="18" t="str">
        <f>IF('Global Precios'!E937="","",'Global Precios'!E937)</f>
        <v/>
      </c>
      <c r="U935" s="18"/>
      <c r="V935" s="18" t="str">
        <f t="shared" si="2"/>
        <v/>
      </c>
      <c r="W935" s="18"/>
      <c r="X935" s="18"/>
      <c r="Y935" s="18"/>
      <c r="Z935" s="18"/>
      <c r="AA935" s="18"/>
      <c r="AB935" s="18" t="str">
        <f t="shared" si="3"/>
        <v/>
      </c>
      <c r="AC935" s="18" t="str">
        <f t="shared" si="4"/>
        <v/>
      </c>
      <c r="AD935" s="18" t="str">
        <f t="shared" si="5"/>
        <v/>
      </c>
      <c r="AE935" s="18" t="str">
        <f t="shared" si="6"/>
        <v/>
      </c>
    </row>
    <row r="936">
      <c r="A936" s="9" t="str">
        <f>IF(E936="","", IF('Global Precios'!B938="",0,'Global Precios'!B938))</f>
        <v/>
      </c>
      <c r="B936" s="14" t="str">
        <f>IF('Global Precios'!B938="","",'Global Precios'!B938)</f>
        <v/>
      </c>
      <c r="C936" s="18" t="str">
        <f>IF('Global Precios'!A938="","",'Global Precios'!A938)</f>
        <v/>
      </c>
      <c r="D936" s="18"/>
      <c r="E936" s="25" t="str">
        <f>IF('Global Precios'!D938="","",'Global Precios'!D938)</f>
        <v/>
      </c>
      <c r="F936" s="18"/>
      <c r="G936" s="25" t="str">
        <f t="shared" si="7"/>
        <v/>
      </c>
      <c r="H936" s="25" t="str">
        <f t="shared" si="1"/>
        <v/>
      </c>
      <c r="I936" s="30" t="str">
        <f>IF('Global Precios'!I938="","",'Global Precios'!I938)</f>
        <v/>
      </c>
      <c r="J936" s="18" t="str">
        <f>IF('Global Precios'!K938="","",'Global Precios'!K938)</f>
        <v/>
      </c>
      <c r="K936" s="30" t="str">
        <f>IF('Global Precios'!L938="","",'Global Precios'!L938)</f>
        <v/>
      </c>
      <c r="L936" s="18"/>
      <c r="M936" s="18"/>
      <c r="N936" s="18"/>
      <c r="O936" s="18"/>
      <c r="P936" s="18"/>
      <c r="Q936" s="18"/>
      <c r="R936" s="18" t="str">
        <f>IF('Global Precios'!F938="","",'Global Precios'!F938)</f>
        <v/>
      </c>
      <c r="S936" s="18"/>
      <c r="T936" s="18" t="str">
        <f>IF('Global Precios'!E938="","",'Global Precios'!E938)</f>
        <v/>
      </c>
      <c r="U936" s="18"/>
      <c r="V936" s="18" t="str">
        <f t="shared" si="2"/>
        <v/>
      </c>
      <c r="W936" s="18"/>
      <c r="X936" s="18"/>
      <c r="Y936" s="18"/>
      <c r="Z936" s="18"/>
      <c r="AA936" s="18"/>
      <c r="AB936" s="18" t="str">
        <f t="shared" si="3"/>
        <v/>
      </c>
      <c r="AC936" s="18" t="str">
        <f t="shared" si="4"/>
        <v/>
      </c>
      <c r="AD936" s="18" t="str">
        <f t="shared" si="5"/>
        <v/>
      </c>
      <c r="AE936" s="18" t="str">
        <f t="shared" si="6"/>
        <v/>
      </c>
    </row>
    <row r="937">
      <c r="A937" s="9" t="str">
        <f>IF(E937="","", IF('Global Precios'!B939="",0,'Global Precios'!B939))</f>
        <v/>
      </c>
      <c r="B937" s="14" t="str">
        <f>IF('Global Precios'!B939="","",'Global Precios'!B939)</f>
        <v/>
      </c>
      <c r="C937" s="18" t="str">
        <f>IF('Global Precios'!A939="","",'Global Precios'!A939)</f>
        <v/>
      </c>
      <c r="D937" s="18"/>
      <c r="E937" s="25" t="str">
        <f>IF('Global Precios'!D939="","",'Global Precios'!D939)</f>
        <v/>
      </c>
      <c r="F937" s="18"/>
      <c r="G937" s="25" t="str">
        <f t="shared" si="7"/>
        <v/>
      </c>
      <c r="H937" s="25" t="str">
        <f t="shared" si="1"/>
        <v/>
      </c>
      <c r="I937" s="30" t="str">
        <f>IF('Global Precios'!I939="","",'Global Precios'!I939)</f>
        <v/>
      </c>
      <c r="J937" s="18" t="str">
        <f>IF('Global Precios'!K939="","",'Global Precios'!K939)</f>
        <v/>
      </c>
      <c r="K937" s="30" t="str">
        <f>IF('Global Precios'!L939="","",'Global Precios'!L939)</f>
        <v/>
      </c>
      <c r="L937" s="18"/>
      <c r="M937" s="18"/>
      <c r="N937" s="18"/>
      <c r="O937" s="18"/>
      <c r="P937" s="18"/>
      <c r="Q937" s="18"/>
      <c r="R937" s="18" t="str">
        <f>IF('Global Precios'!F939="","",'Global Precios'!F939)</f>
        <v/>
      </c>
      <c r="S937" s="18"/>
      <c r="T937" s="18" t="str">
        <f>IF('Global Precios'!E939="","",'Global Precios'!E939)</f>
        <v/>
      </c>
      <c r="U937" s="18"/>
      <c r="V937" s="18" t="str">
        <f t="shared" si="2"/>
        <v/>
      </c>
      <c r="W937" s="18"/>
      <c r="X937" s="18"/>
      <c r="Y937" s="18"/>
      <c r="Z937" s="18"/>
      <c r="AA937" s="18"/>
      <c r="AB937" s="18" t="str">
        <f t="shared" si="3"/>
        <v/>
      </c>
      <c r="AC937" s="18" t="str">
        <f t="shared" si="4"/>
        <v/>
      </c>
      <c r="AD937" s="18" t="str">
        <f t="shared" si="5"/>
        <v/>
      </c>
      <c r="AE937" s="18" t="str">
        <f t="shared" si="6"/>
        <v/>
      </c>
    </row>
    <row r="938">
      <c r="A938" s="9" t="str">
        <f>IF(E938="","", IF('Global Precios'!B940="",0,'Global Precios'!B940))</f>
        <v/>
      </c>
      <c r="B938" s="14" t="str">
        <f>IF('Global Precios'!B940="","",'Global Precios'!B940)</f>
        <v/>
      </c>
      <c r="C938" s="18" t="str">
        <f>IF('Global Precios'!A940="","",'Global Precios'!A940)</f>
        <v/>
      </c>
      <c r="D938" s="18"/>
      <c r="E938" s="25" t="str">
        <f>IF('Global Precios'!D940="","",'Global Precios'!D940)</f>
        <v/>
      </c>
      <c r="F938" s="18"/>
      <c r="G938" s="25" t="str">
        <f t="shared" si="7"/>
        <v/>
      </c>
      <c r="H938" s="25" t="str">
        <f t="shared" si="1"/>
        <v/>
      </c>
      <c r="I938" s="30" t="str">
        <f>IF('Global Precios'!I940="","",'Global Precios'!I940)</f>
        <v/>
      </c>
      <c r="J938" s="18" t="str">
        <f>IF('Global Precios'!K940="","",'Global Precios'!K940)</f>
        <v/>
      </c>
      <c r="K938" s="30" t="str">
        <f>IF('Global Precios'!L940="","",'Global Precios'!L940)</f>
        <v/>
      </c>
      <c r="L938" s="18"/>
      <c r="M938" s="18"/>
      <c r="N938" s="18"/>
      <c r="O938" s="18"/>
      <c r="P938" s="18"/>
      <c r="Q938" s="18"/>
      <c r="R938" s="18" t="str">
        <f>IF('Global Precios'!F940="","",'Global Precios'!F940)</f>
        <v/>
      </c>
      <c r="S938" s="18"/>
      <c r="T938" s="18" t="str">
        <f>IF('Global Precios'!E940="","",'Global Precios'!E940)</f>
        <v/>
      </c>
      <c r="U938" s="18"/>
      <c r="V938" s="18" t="str">
        <f t="shared" si="2"/>
        <v/>
      </c>
      <c r="W938" s="18"/>
      <c r="X938" s="18"/>
      <c r="Y938" s="18"/>
      <c r="Z938" s="18"/>
      <c r="AA938" s="18"/>
      <c r="AB938" s="18" t="str">
        <f t="shared" si="3"/>
        <v/>
      </c>
      <c r="AC938" s="18" t="str">
        <f t="shared" si="4"/>
        <v/>
      </c>
      <c r="AD938" s="18" t="str">
        <f t="shared" si="5"/>
        <v/>
      </c>
      <c r="AE938" s="18" t="str">
        <f t="shared" si="6"/>
        <v/>
      </c>
    </row>
    <row r="939">
      <c r="A939" s="9" t="str">
        <f>IF(E939="","", IF('Global Precios'!B941="",0,'Global Precios'!B941))</f>
        <v/>
      </c>
      <c r="B939" s="14" t="str">
        <f>IF('Global Precios'!B941="","",'Global Precios'!B941)</f>
        <v/>
      </c>
      <c r="C939" s="18" t="str">
        <f>IF('Global Precios'!A941="","",'Global Precios'!A941)</f>
        <v/>
      </c>
      <c r="D939" s="18"/>
      <c r="E939" s="25" t="str">
        <f>IF('Global Precios'!D941="","",'Global Precios'!D941)</f>
        <v/>
      </c>
      <c r="F939" s="18"/>
      <c r="G939" s="25" t="str">
        <f t="shared" si="7"/>
        <v/>
      </c>
      <c r="H939" s="25" t="str">
        <f t="shared" si="1"/>
        <v/>
      </c>
      <c r="I939" s="30" t="str">
        <f>IF('Global Precios'!I941="","",'Global Precios'!I941)</f>
        <v/>
      </c>
      <c r="J939" s="18" t="str">
        <f>IF('Global Precios'!K941="","",'Global Precios'!K941)</f>
        <v/>
      </c>
      <c r="K939" s="30" t="str">
        <f>IF('Global Precios'!L941="","",'Global Precios'!L941)</f>
        <v/>
      </c>
      <c r="L939" s="18"/>
      <c r="M939" s="18"/>
      <c r="N939" s="18"/>
      <c r="O939" s="18"/>
      <c r="P939" s="18"/>
      <c r="Q939" s="18"/>
      <c r="R939" s="18" t="str">
        <f>IF('Global Precios'!F941="","",'Global Precios'!F941)</f>
        <v/>
      </c>
      <c r="S939" s="18"/>
      <c r="T939" s="18" t="str">
        <f>IF('Global Precios'!E941="","",'Global Precios'!E941)</f>
        <v/>
      </c>
      <c r="U939" s="18"/>
      <c r="V939" s="18" t="str">
        <f t="shared" si="2"/>
        <v/>
      </c>
      <c r="W939" s="18"/>
      <c r="X939" s="18"/>
      <c r="Y939" s="18"/>
      <c r="Z939" s="18"/>
      <c r="AA939" s="18"/>
      <c r="AB939" s="18" t="str">
        <f t="shared" si="3"/>
        <v/>
      </c>
      <c r="AC939" s="18" t="str">
        <f t="shared" si="4"/>
        <v/>
      </c>
      <c r="AD939" s="18" t="str">
        <f t="shared" si="5"/>
        <v/>
      </c>
      <c r="AE939" s="18" t="str">
        <f t="shared" si="6"/>
        <v/>
      </c>
    </row>
    <row r="940">
      <c r="A940" s="9" t="str">
        <f>IF(E940="","", IF('Global Precios'!B942="",0,'Global Precios'!B942))</f>
        <v/>
      </c>
      <c r="B940" s="14" t="str">
        <f>IF('Global Precios'!B942="","",'Global Precios'!B942)</f>
        <v/>
      </c>
      <c r="C940" s="18" t="str">
        <f>IF('Global Precios'!A942="","",'Global Precios'!A942)</f>
        <v/>
      </c>
      <c r="D940" s="18"/>
      <c r="E940" s="25" t="str">
        <f>IF('Global Precios'!D942="","",'Global Precios'!D942)</f>
        <v/>
      </c>
      <c r="F940" s="18"/>
      <c r="G940" s="25" t="str">
        <f t="shared" si="7"/>
        <v/>
      </c>
      <c r="H940" s="25" t="str">
        <f t="shared" si="1"/>
        <v/>
      </c>
      <c r="I940" s="30" t="str">
        <f>IF('Global Precios'!I942="","",'Global Precios'!I942)</f>
        <v/>
      </c>
      <c r="J940" s="18" t="str">
        <f>IF('Global Precios'!K942="","",'Global Precios'!K942)</f>
        <v/>
      </c>
      <c r="K940" s="30" t="str">
        <f>IF('Global Precios'!L942="","",'Global Precios'!L942)</f>
        <v/>
      </c>
      <c r="L940" s="18"/>
      <c r="M940" s="18"/>
      <c r="N940" s="18"/>
      <c r="O940" s="18"/>
      <c r="P940" s="18"/>
      <c r="Q940" s="18"/>
      <c r="R940" s="18" t="str">
        <f>IF('Global Precios'!F942="","",'Global Precios'!F942)</f>
        <v/>
      </c>
      <c r="S940" s="18"/>
      <c r="T940" s="18" t="str">
        <f>IF('Global Precios'!E942="","",'Global Precios'!E942)</f>
        <v/>
      </c>
      <c r="U940" s="18"/>
      <c r="V940" s="18" t="str">
        <f t="shared" si="2"/>
        <v/>
      </c>
      <c r="W940" s="18"/>
      <c r="X940" s="18"/>
      <c r="Y940" s="18"/>
      <c r="Z940" s="18"/>
      <c r="AA940" s="18"/>
      <c r="AB940" s="18" t="str">
        <f t="shared" si="3"/>
        <v/>
      </c>
      <c r="AC940" s="18" t="str">
        <f t="shared" si="4"/>
        <v/>
      </c>
      <c r="AD940" s="18" t="str">
        <f t="shared" si="5"/>
        <v/>
      </c>
      <c r="AE940" s="18" t="str">
        <f t="shared" si="6"/>
        <v/>
      </c>
    </row>
    <row r="941">
      <c r="A941" s="9" t="str">
        <f>IF(E941="","", IF('Global Precios'!B943="",0,'Global Precios'!B943))</f>
        <v/>
      </c>
      <c r="B941" s="14" t="str">
        <f>IF('Global Precios'!B943="","",'Global Precios'!B943)</f>
        <v/>
      </c>
      <c r="C941" s="18" t="str">
        <f>IF('Global Precios'!A943="","",'Global Precios'!A943)</f>
        <v/>
      </c>
      <c r="D941" s="18"/>
      <c r="E941" s="25" t="str">
        <f>IF('Global Precios'!D943="","",'Global Precios'!D943)</f>
        <v/>
      </c>
      <c r="F941" s="18"/>
      <c r="G941" s="25" t="str">
        <f t="shared" si="7"/>
        <v/>
      </c>
      <c r="H941" s="25" t="str">
        <f t="shared" si="1"/>
        <v/>
      </c>
      <c r="I941" s="30" t="str">
        <f>IF('Global Precios'!I943="","",'Global Precios'!I943)</f>
        <v/>
      </c>
      <c r="J941" s="18" t="str">
        <f>IF('Global Precios'!K943="","",'Global Precios'!K943)</f>
        <v/>
      </c>
      <c r="K941" s="30" t="str">
        <f>IF('Global Precios'!L943="","",'Global Precios'!L943)</f>
        <v/>
      </c>
      <c r="L941" s="18"/>
      <c r="M941" s="18"/>
      <c r="N941" s="18"/>
      <c r="O941" s="18"/>
      <c r="P941" s="18"/>
      <c r="Q941" s="18"/>
      <c r="R941" s="18" t="str">
        <f>IF('Global Precios'!F943="","",'Global Precios'!F943)</f>
        <v/>
      </c>
      <c r="S941" s="18"/>
      <c r="T941" s="18" t="str">
        <f>IF('Global Precios'!E943="","",'Global Precios'!E943)</f>
        <v/>
      </c>
      <c r="U941" s="18"/>
      <c r="V941" s="18" t="str">
        <f t="shared" si="2"/>
        <v/>
      </c>
      <c r="W941" s="18"/>
      <c r="X941" s="18"/>
      <c r="Y941" s="18"/>
      <c r="Z941" s="18"/>
      <c r="AA941" s="18"/>
      <c r="AB941" s="18" t="str">
        <f t="shared" si="3"/>
        <v/>
      </c>
      <c r="AC941" s="18" t="str">
        <f t="shared" si="4"/>
        <v/>
      </c>
      <c r="AD941" s="18" t="str">
        <f t="shared" si="5"/>
        <v/>
      </c>
      <c r="AE941" s="18" t="str">
        <f t="shared" si="6"/>
        <v/>
      </c>
    </row>
    <row r="942">
      <c r="A942" s="9" t="str">
        <f>IF(E942="","", IF('Global Precios'!B944="",0,'Global Precios'!B944))</f>
        <v/>
      </c>
      <c r="B942" s="14" t="str">
        <f>IF('Global Precios'!B944="","",'Global Precios'!B944)</f>
        <v/>
      </c>
      <c r="C942" s="18" t="str">
        <f>IF('Global Precios'!A944="","",'Global Precios'!A944)</f>
        <v/>
      </c>
      <c r="D942" s="18"/>
      <c r="E942" s="25" t="str">
        <f>IF('Global Precios'!D944="","",'Global Precios'!D944)</f>
        <v/>
      </c>
      <c r="F942" s="18"/>
      <c r="G942" s="25" t="str">
        <f t="shared" si="7"/>
        <v/>
      </c>
      <c r="H942" s="25" t="str">
        <f t="shared" si="1"/>
        <v/>
      </c>
      <c r="I942" s="30" t="str">
        <f>IF('Global Precios'!I944="","",'Global Precios'!I944)</f>
        <v/>
      </c>
      <c r="J942" s="18" t="str">
        <f>IF('Global Precios'!K944="","",'Global Precios'!K944)</f>
        <v/>
      </c>
      <c r="K942" s="30" t="str">
        <f>IF('Global Precios'!L944="","",'Global Precios'!L944)</f>
        <v/>
      </c>
      <c r="L942" s="18"/>
      <c r="M942" s="18"/>
      <c r="N942" s="18"/>
      <c r="O942" s="18"/>
      <c r="P942" s="18"/>
      <c r="Q942" s="18"/>
      <c r="R942" s="18" t="str">
        <f>IF('Global Precios'!F944="","",'Global Precios'!F944)</f>
        <v/>
      </c>
      <c r="S942" s="18"/>
      <c r="T942" s="18" t="str">
        <f>IF('Global Precios'!E944="","",'Global Precios'!E944)</f>
        <v/>
      </c>
      <c r="U942" s="18"/>
      <c r="V942" s="18" t="str">
        <f t="shared" si="2"/>
        <v/>
      </c>
      <c r="W942" s="18"/>
      <c r="X942" s="18"/>
      <c r="Y942" s="18"/>
      <c r="Z942" s="18"/>
      <c r="AA942" s="18"/>
      <c r="AB942" s="18" t="str">
        <f t="shared" si="3"/>
        <v/>
      </c>
      <c r="AC942" s="18" t="str">
        <f t="shared" si="4"/>
        <v/>
      </c>
      <c r="AD942" s="18" t="str">
        <f t="shared" si="5"/>
        <v/>
      </c>
      <c r="AE942" s="18" t="str">
        <f t="shared" si="6"/>
        <v/>
      </c>
    </row>
    <row r="943">
      <c r="A943" s="9" t="str">
        <f>IF(E943="","", IF('Global Precios'!B945="",0,'Global Precios'!B945))</f>
        <v/>
      </c>
      <c r="B943" s="14" t="str">
        <f>IF('Global Precios'!B945="","",'Global Precios'!B945)</f>
        <v/>
      </c>
      <c r="C943" s="18" t="str">
        <f>IF('Global Precios'!A945="","",'Global Precios'!A945)</f>
        <v/>
      </c>
      <c r="D943" s="18"/>
      <c r="E943" s="25" t="str">
        <f>IF('Global Precios'!D945="","",'Global Precios'!D945)</f>
        <v/>
      </c>
      <c r="F943" s="18"/>
      <c r="G943" s="25" t="str">
        <f t="shared" si="7"/>
        <v/>
      </c>
      <c r="H943" s="25" t="str">
        <f t="shared" si="1"/>
        <v/>
      </c>
      <c r="I943" s="30" t="str">
        <f>IF('Global Precios'!I945="","",'Global Precios'!I945)</f>
        <v/>
      </c>
      <c r="J943" s="18" t="str">
        <f>IF('Global Precios'!K945="","",'Global Precios'!K945)</f>
        <v/>
      </c>
      <c r="K943" s="30" t="str">
        <f>IF('Global Precios'!L945="","",'Global Precios'!L945)</f>
        <v/>
      </c>
      <c r="L943" s="18"/>
      <c r="M943" s="18"/>
      <c r="N943" s="18"/>
      <c r="O943" s="18"/>
      <c r="P943" s="18"/>
      <c r="Q943" s="18"/>
      <c r="R943" s="18" t="str">
        <f>IF('Global Precios'!F945="","",'Global Precios'!F945)</f>
        <v/>
      </c>
      <c r="S943" s="18"/>
      <c r="T943" s="18" t="str">
        <f>IF('Global Precios'!E945="","",'Global Precios'!E945)</f>
        <v/>
      </c>
      <c r="U943" s="18"/>
      <c r="V943" s="18" t="str">
        <f t="shared" si="2"/>
        <v/>
      </c>
      <c r="W943" s="18"/>
      <c r="X943" s="18"/>
      <c r="Y943" s="18"/>
      <c r="Z943" s="18"/>
      <c r="AA943" s="18"/>
      <c r="AB943" s="18" t="str">
        <f t="shared" si="3"/>
        <v/>
      </c>
      <c r="AC943" s="18" t="str">
        <f t="shared" si="4"/>
        <v/>
      </c>
      <c r="AD943" s="18" t="str">
        <f t="shared" si="5"/>
        <v/>
      </c>
      <c r="AE943" s="18" t="str">
        <f t="shared" si="6"/>
        <v/>
      </c>
    </row>
    <row r="944">
      <c r="A944" s="9" t="str">
        <f>IF(E944="","", IF('Global Precios'!B946="",0,'Global Precios'!B946))</f>
        <v/>
      </c>
      <c r="B944" s="14" t="str">
        <f>IF('Global Precios'!B946="","",'Global Precios'!B946)</f>
        <v/>
      </c>
      <c r="C944" s="18" t="str">
        <f>IF('Global Precios'!A946="","",'Global Precios'!A946)</f>
        <v/>
      </c>
      <c r="D944" s="18"/>
      <c r="E944" s="25" t="str">
        <f>IF('Global Precios'!D946="","",'Global Precios'!D946)</f>
        <v/>
      </c>
      <c r="F944" s="18"/>
      <c r="G944" s="25" t="str">
        <f t="shared" si="7"/>
        <v/>
      </c>
      <c r="H944" s="25" t="str">
        <f t="shared" si="1"/>
        <v/>
      </c>
      <c r="I944" s="30" t="str">
        <f>IF('Global Precios'!I946="","",'Global Precios'!I946)</f>
        <v/>
      </c>
      <c r="J944" s="18" t="str">
        <f>IF('Global Precios'!K946="","",'Global Precios'!K946)</f>
        <v/>
      </c>
      <c r="K944" s="30" t="str">
        <f>IF('Global Precios'!L946="","",'Global Precios'!L946)</f>
        <v/>
      </c>
      <c r="L944" s="18"/>
      <c r="M944" s="18"/>
      <c r="N944" s="18"/>
      <c r="O944" s="18"/>
      <c r="P944" s="18"/>
      <c r="Q944" s="18"/>
      <c r="R944" s="18" t="str">
        <f>IF('Global Precios'!F946="","",'Global Precios'!F946)</f>
        <v/>
      </c>
      <c r="S944" s="18"/>
      <c r="T944" s="18" t="str">
        <f>IF('Global Precios'!E946="","",'Global Precios'!E946)</f>
        <v/>
      </c>
      <c r="U944" s="18"/>
      <c r="V944" s="18" t="str">
        <f t="shared" si="2"/>
        <v/>
      </c>
      <c r="W944" s="18"/>
      <c r="X944" s="18"/>
      <c r="Y944" s="18"/>
      <c r="Z944" s="18"/>
      <c r="AA944" s="18"/>
      <c r="AB944" s="18" t="str">
        <f t="shared" si="3"/>
        <v/>
      </c>
      <c r="AC944" s="18" t="str">
        <f t="shared" si="4"/>
        <v/>
      </c>
      <c r="AD944" s="18" t="str">
        <f t="shared" si="5"/>
        <v/>
      </c>
      <c r="AE944" s="18" t="str">
        <f t="shared" si="6"/>
        <v/>
      </c>
    </row>
    <row r="945">
      <c r="A945" s="9" t="str">
        <f>IF(E945="","", IF('Global Precios'!B947="",0,'Global Precios'!B947))</f>
        <v/>
      </c>
      <c r="B945" s="14" t="str">
        <f>IF('Global Precios'!B947="","",'Global Precios'!B947)</f>
        <v/>
      </c>
      <c r="C945" s="18" t="str">
        <f>IF('Global Precios'!A947="","",'Global Precios'!A947)</f>
        <v/>
      </c>
      <c r="D945" s="18"/>
      <c r="E945" s="25" t="str">
        <f>IF('Global Precios'!D947="","",'Global Precios'!D947)</f>
        <v/>
      </c>
      <c r="F945" s="18"/>
      <c r="G945" s="25" t="str">
        <f t="shared" si="7"/>
        <v/>
      </c>
      <c r="H945" s="25" t="str">
        <f t="shared" si="1"/>
        <v/>
      </c>
      <c r="I945" s="30" t="str">
        <f>IF('Global Precios'!I947="","",'Global Precios'!I947)</f>
        <v/>
      </c>
      <c r="J945" s="18" t="str">
        <f>IF('Global Precios'!K947="","",'Global Precios'!K947)</f>
        <v/>
      </c>
      <c r="K945" s="30" t="str">
        <f>IF('Global Precios'!L947="","",'Global Precios'!L947)</f>
        <v/>
      </c>
      <c r="L945" s="18"/>
      <c r="M945" s="18"/>
      <c r="N945" s="18"/>
      <c r="O945" s="18"/>
      <c r="P945" s="18"/>
      <c r="Q945" s="18"/>
      <c r="R945" s="18" t="str">
        <f>IF('Global Precios'!F947="","",'Global Precios'!F947)</f>
        <v/>
      </c>
      <c r="S945" s="18"/>
      <c r="T945" s="18" t="str">
        <f>IF('Global Precios'!E947="","",'Global Precios'!E947)</f>
        <v/>
      </c>
      <c r="U945" s="18"/>
      <c r="V945" s="18" t="str">
        <f t="shared" si="2"/>
        <v/>
      </c>
      <c r="W945" s="18"/>
      <c r="X945" s="18"/>
      <c r="Y945" s="18"/>
      <c r="Z945" s="18"/>
      <c r="AA945" s="18"/>
      <c r="AB945" s="18" t="str">
        <f t="shared" si="3"/>
        <v/>
      </c>
      <c r="AC945" s="18" t="str">
        <f t="shared" si="4"/>
        <v/>
      </c>
      <c r="AD945" s="18" t="str">
        <f t="shared" si="5"/>
        <v/>
      </c>
      <c r="AE945" s="18" t="str">
        <f t="shared" si="6"/>
        <v/>
      </c>
    </row>
    <row r="946">
      <c r="A946" s="9" t="str">
        <f>IF(E946="","", IF('Global Precios'!B948="",0,'Global Precios'!B948))</f>
        <v/>
      </c>
      <c r="B946" s="14" t="str">
        <f>IF('Global Precios'!B948="","",'Global Precios'!B948)</f>
        <v/>
      </c>
      <c r="C946" s="18" t="str">
        <f>IF('Global Precios'!A948="","",'Global Precios'!A948)</f>
        <v/>
      </c>
      <c r="D946" s="18"/>
      <c r="E946" s="25" t="str">
        <f>IF('Global Precios'!D948="","",'Global Precios'!D948)</f>
        <v/>
      </c>
      <c r="F946" s="18"/>
      <c r="G946" s="25" t="str">
        <f t="shared" si="7"/>
        <v/>
      </c>
      <c r="H946" s="25" t="str">
        <f t="shared" si="1"/>
        <v/>
      </c>
      <c r="I946" s="30" t="str">
        <f>IF('Global Precios'!I948="","",'Global Precios'!I948)</f>
        <v/>
      </c>
      <c r="J946" s="18" t="str">
        <f>IF('Global Precios'!K948="","",'Global Precios'!K948)</f>
        <v/>
      </c>
      <c r="K946" s="30" t="str">
        <f>IF('Global Precios'!L948="","",'Global Precios'!L948)</f>
        <v/>
      </c>
      <c r="L946" s="18"/>
      <c r="M946" s="18"/>
      <c r="N946" s="18"/>
      <c r="O946" s="18"/>
      <c r="P946" s="18"/>
      <c r="Q946" s="18"/>
      <c r="R946" s="18" t="str">
        <f>IF('Global Precios'!F948="","",'Global Precios'!F948)</f>
        <v/>
      </c>
      <c r="S946" s="18"/>
      <c r="T946" s="18" t="str">
        <f>IF('Global Precios'!E948="","",'Global Precios'!E948)</f>
        <v/>
      </c>
      <c r="U946" s="18"/>
      <c r="V946" s="18" t="str">
        <f t="shared" si="2"/>
        <v/>
      </c>
      <c r="W946" s="18"/>
      <c r="X946" s="18"/>
      <c r="Y946" s="18"/>
      <c r="Z946" s="18"/>
      <c r="AA946" s="18"/>
      <c r="AB946" s="18" t="str">
        <f t="shared" si="3"/>
        <v/>
      </c>
      <c r="AC946" s="18" t="str">
        <f t="shared" si="4"/>
        <v/>
      </c>
      <c r="AD946" s="18" t="str">
        <f t="shared" si="5"/>
        <v/>
      </c>
      <c r="AE946" s="18" t="str">
        <f t="shared" si="6"/>
        <v/>
      </c>
    </row>
    <row r="947">
      <c r="A947" s="9" t="str">
        <f>IF(E947="","", IF('Global Precios'!B949="",0,'Global Precios'!B949))</f>
        <v/>
      </c>
      <c r="B947" s="14" t="str">
        <f>IF('Global Precios'!B949="","",'Global Precios'!B949)</f>
        <v/>
      </c>
      <c r="C947" s="18" t="str">
        <f>IF('Global Precios'!A949="","",'Global Precios'!A949)</f>
        <v/>
      </c>
      <c r="D947" s="18"/>
      <c r="E947" s="25" t="str">
        <f>IF('Global Precios'!D949="","",'Global Precios'!D949)</f>
        <v/>
      </c>
      <c r="F947" s="18"/>
      <c r="G947" s="25" t="str">
        <f t="shared" si="7"/>
        <v/>
      </c>
      <c r="H947" s="25" t="str">
        <f t="shared" si="1"/>
        <v/>
      </c>
      <c r="I947" s="30" t="str">
        <f>IF('Global Precios'!I949="","",'Global Precios'!I949)</f>
        <v/>
      </c>
      <c r="J947" s="18" t="str">
        <f>IF('Global Precios'!K949="","",'Global Precios'!K949)</f>
        <v/>
      </c>
      <c r="K947" s="30" t="str">
        <f>IF('Global Precios'!L949="","",'Global Precios'!L949)</f>
        <v/>
      </c>
      <c r="L947" s="18"/>
      <c r="M947" s="18"/>
      <c r="N947" s="18"/>
      <c r="O947" s="18"/>
      <c r="P947" s="18"/>
      <c r="Q947" s="18"/>
      <c r="R947" s="18" t="str">
        <f>IF('Global Precios'!F949="","",'Global Precios'!F949)</f>
        <v/>
      </c>
      <c r="S947" s="18"/>
      <c r="T947" s="18" t="str">
        <f>IF('Global Precios'!E949="","",'Global Precios'!E949)</f>
        <v/>
      </c>
      <c r="U947" s="18"/>
      <c r="V947" s="18" t="str">
        <f t="shared" si="2"/>
        <v/>
      </c>
      <c r="W947" s="18"/>
      <c r="X947" s="18"/>
      <c r="Y947" s="18"/>
      <c r="Z947" s="18"/>
      <c r="AA947" s="18"/>
      <c r="AB947" s="18" t="str">
        <f t="shared" si="3"/>
        <v/>
      </c>
      <c r="AC947" s="18" t="str">
        <f t="shared" si="4"/>
        <v/>
      </c>
      <c r="AD947" s="18" t="str">
        <f t="shared" si="5"/>
        <v/>
      </c>
      <c r="AE947" s="18" t="str">
        <f t="shared" si="6"/>
        <v/>
      </c>
    </row>
    <row r="948">
      <c r="A948" s="9" t="str">
        <f>IF(E948="","", IF('Global Precios'!B950="",0,'Global Precios'!B950))</f>
        <v/>
      </c>
      <c r="B948" s="14" t="str">
        <f>IF('Global Precios'!B950="","",'Global Precios'!B950)</f>
        <v/>
      </c>
      <c r="C948" s="18" t="str">
        <f>IF('Global Precios'!A950="","",'Global Precios'!A950)</f>
        <v/>
      </c>
      <c r="D948" s="18"/>
      <c r="E948" s="25" t="str">
        <f>IF('Global Precios'!D950="","",'Global Precios'!D950)</f>
        <v/>
      </c>
      <c r="F948" s="18"/>
      <c r="G948" s="25" t="str">
        <f t="shared" si="7"/>
        <v/>
      </c>
      <c r="H948" s="25" t="str">
        <f t="shared" si="1"/>
        <v/>
      </c>
      <c r="I948" s="30" t="str">
        <f>IF('Global Precios'!I950="","",'Global Precios'!I950)</f>
        <v/>
      </c>
      <c r="J948" s="18" t="str">
        <f>IF('Global Precios'!K950="","",'Global Precios'!K950)</f>
        <v/>
      </c>
      <c r="K948" s="30" t="str">
        <f>IF('Global Precios'!L950="","",'Global Precios'!L950)</f>
        <v/>
      </c>
      <c r="L948" s="18"/>
      <c r="M948" s="18"/>
      <c r="N948" s="18"/>
      <c r="O948" s="18"/>
      <c r="P948" s="18"/>
      <c r="Q948" s="18"/>
      <c r="R948" s="18" t="str">
        <f>IF('Global Precios'!F950="","",'Global Precios'!F950)</f>
        <v/>
      </c>
      <c r="S948" s="18"/>
      <c r="T948" s="18" t="str">
        <f>IF('Global Precios'!E950="","",'Global Precios'!E950)</f>
        <v/>
      </c>
      <c r="U948" s="18"/>
      <c r="V948" s="18" t="str">
        <f t="shared" si="2"/>
        <v/>
      </c>
      <c r="W948" s="18"/>
      <c r="X948" s="18"/>
      <c r="Y948" s="18"/>
      <c r="Z948" s="18"/>
      <c r="AA948" s="18"/>
      <c r="AB948" s="18" t="str">
        <f t="shared" si="3"/>
        <v/>
      </c>
      <c r="AC948" s="18" t="str">
        <f t="shared" si="4"/>
        <v/>
      </c>
      <c r="AD948" s="18" t="str">
        <f t="shared" si="5"/>
        <v/>
      </c>
      <c r="AE948" s="18" t="str">
        <f t="shared" si="6"/>
        <v/>
      </c>
    </row>
    <row r="949">
      <c r="A949" s="9" t="str">
        <f>IF(E949="","", IF('Global Precios'!B951="",0,'Global Precios'!B951))</f>
        <v/>
      </c>
      <c r="B949" s="14" t="str">
        <f>IF('Global Precios'!B951="","",'Global Precios'!B951)</f>
        <v/>
      </c>
      <c r="C949" s="18" t="str">
        <f>IF('Global Precios'!A951="","",'Global Precios'!A951)</f>
        <v/>
      </c>
      <c r="D949" s="18"/>
      <c r="E949" s="25" t="str">
        <f>IF('Global Precios'!D951="","",'Global Precios'!D951)</f>
        <v/>
      </c>
      <c r="F949" s="18"/>
      <c r="G949" s="25" t="str">
        <f t="shared" si="7"/>
        <v/>
      </c>
      <c r="H949" s="25" t="str">
        <f t="shared" si="1"/>
        <v/>
      </c>
      <c r="I949" s="30" t="str">
        <f>IF('Global Precios'!I951="","",'Global Precios'!I951)</f>
        <v/>
      </c>
      <c r="J949" s="18" t="str">
        <f>IF('Global Precios'!K951="","",'Global Precios'!K951)</f>
        <v/>
      </c>
      <c r="K949" s="30" t="str">
        <f>IF('Global Precios'!L951="","",'Global Precios'!L951)</f>
        <v/>
      </c>
      <c r="L949" s="18"/>
      <c r="M949" s="18"/>
      <c r="N949" s="18"/>
      <c r="O949" s="18"/>
      <c r="P949" s="18"/>
      <c r="Q949" s="18"/>
      <c r="R949" s="18" t="str">
        <f>IF('Global Precios'!F951="","",'Global Precios'!F951)</f>
        <v/>
      </c>
      <c r="S949" s="18"/>
      <c r="T949" s="18" t="str">
        <f>IF('Global Precios'!E951="","",'Global Precios'!E951)</f>
        <v/>
      </c>
      <c r="U949" s="18"/>
      <c r="V949" s="18" t="str">
        <f t="shared" si="2"/>
        <v/>
      </c>
      <c r="W949" s="18"/>
      <c r="X949" s="18"/>
      <c r="Y949" s="18"/>
      <c r="Z949" s="18"/>
      <c r="AA949" s="18"/>
      <c r="AB949" s="18" t="str">
        <f t="shared" si="3"/>
        <v/>
      </c>
      <c r="AC949" s="18" t="str">
        <f t="shared" si="4"/>
        <v/>
      </c>
      <c r="AD949" s="18" t="str">
        <f t="shared" si="5"/>
        <v/>
      </c>
      <c r="AE949" s="18" t="str">
        <f t="shared" si="6"/>
        <v/>
      </c>
    </row>
    <row r="950">
      <c r="A950" s="9" t="str">
        <f>IF(E950="","", IF('Global Precios'!B952="",0,'Global Precios'!B952))</f>
        <v/>
      </c>
      <c r="B950" s="14" t="str">
        <f>IF('Global Precios'!B952="","",'Global Precios'!B952)</f>
        <v/>
      </c>
      <c r="C950" s="18" t="str">
        <f>IF('Global Precios'!A952="","",'Global Precios'!A952)</f>
        <v/>
      </c>
      <c r="D950" s="18"/>
      <c r="E950" s="25" t="str">
        <f>IF('Global Precios'!D952="","",'Global Precios'!D952)</f>
        <v/>
      </c>
      <c r="F950" s="18"/>
      <c r="G950" s="25" t="str">
        <f t="shared" si="7"/>
        <v/>
      </c>
      <c r="H950" s="25" t="str">
        <f t="shared" si="1"/>
        <v/>
      </c>
      <c r="I950" s="30" t="str">
        <f>IF('Global Precios'!I952="","",'Global Precios'!I952)</f>
        <v/>
      </c>
      <c r="J950" s="18" t="str">
        <f>IF('Global Precios'!K952="","",'Global Precios'!K952)</f>
        <v/>
      </c>
      <c r="K950" s="30" t="str">
        <f>IF('Global Precios'!L952="","",'Global Precios'!L952)</f>
        <v/>
      </c>
      <c r="L950" s="18"/>
      <c r="M950" s="18"/>
      <c r="N950" s="18"/>
      <c r="O950" s="18"/>
      <c r="P950" s="18"/>
      <c r="Q950" s="18"/>
      <c r="R950" s="18" t="str">
        <f>IF('Global Precios'!F952="","",'Global Precios'!F952)</f>
        <v/>
      </c>
      <c r="S950" s="18"/>
      <c r="T950" s="18" t="str">
        <f>IF('Global Precios'!E952="","",'Global Precios'!E952)</f>
        <v/>
      </c>
      <c r="U950" s="18"/>
      <c r="V950" s="18" t="str">
        <f t="shared" si="2"/>
        <v/>
      </c>
      <c r="W950" s="18"/>
      <c r="X950" s="18"/>
      <c r="Y950" s="18"/>
      <c r="Z950" s="18"/>
      <c r="AA950" s="18"/>
      <c r="AB950" s="18" t="str">
        <f t="shared" si="3"/>
        <v/>
      </c>
      <c r="AC950" s="18" t="str">
        <f t="shared" si="4"/>
        <v/>
      </c>
      <c r="AD950" s="18" t="str">
        <f t="shared" si="5"/>
        <v/>
      </c>
      <c r="AE950" s="18" t="str">
        <f t="shared" si="6"/>
        <v/>
      </c>
    </row>
    <row r="951">
      <c r="A951" s="9" t="str">
        <f>IF(E951="","", IF('Global Precios'!B953="",0,'Global Precios'!B953))</f>
        <v/>
      </c>
      <c r="B951" s="14" t="str">
        <f>IF('Global Precios'!B953="","",'Global Precios'!B953)</f>
        <v/>
      </c>
      <c r="C951" s="18" t="str">
        <f>IF('Global Precios'!A953="","",'Global Precios'!A953)</f>
        <v/>
      </c>
      <c r="D951" s="18"/>
      <c r="E951" s="25" t="str">
        <f>IF('Global Precios'!D953="","",'Global Precios'!D953)</f>
        <v/>
      </c>
      <c r="F951" s="18"/>
      <c r="G951" s="25" t="str">
        <f t="shared" si="7"/>
        <v/>
      </c>
      <c r="H951" s="25" t="str">
        <f t="shared" si="1"/>
        <v/>
      </c>
      <c r="I951" s="30" t="str">
        <f>IF('Global Precios'!I953="","",'Global Precios'!I953)</f>
        <v/>
      </c>
      <c r="J951" s="18" t="str">
        <f>IF('Global Precios'!K953="","",'Global Precios'!K953)</f>
        <v/>
      </c>
      <c r="K951" s="30" t="str">
        <f>IF('Global Precios'!L953="","",'Global Precios'!L953)</f>
        <v/>
      </c>
      <c r="L951" s="18"/>
      <c r="M951" s="18"/>
      <c r="N951" s="18"/>
      <c r="O951" s="18"/>
      <c r="P951" s="18"/>
      <c r="Q951" s="18"/>
      <c r="R951" s="18" t="str">
        <f>IF('Global Precios'!F953="","",'Global Precios'!F953)</f>
        <v/>
      </c>
      <c r="S951" s="18"/>
      <c r="T951" s="18" t="str">
        <f>IF('Global Precios'!E953="","",'Global Precios'!E953)</f>
        <v/>
      </c>
      <c r="U951" s="18"/>
      <c r="V951" s="18" t="str">
        <f t="shared" si="2"/>
        <v/>
      </c>
      <c r="W951" s="18"/>
      <c r="X951" s="18"/>
      <c r="Y951" s="18"/>
      <c r="Z951" s="18"/>
      <c r="AA951" s="18"/>
      <c r="AB951" s="18" t="str">
        <f t="shared" si="3"/>
        <v/>
      </c>
      <c r="AC951" s="18" t="str">
        <f t="shared" si="4"/>
        <v/>
      </c>
      <c r="AD951" s="18" t="str">
        <f t="shared" si="5"/>
        <v/>
      </c>
      <c r="AE951" s="18" t="str">
        <f t="shared" si="6"/>
        <v/>
      </c>
    </row>
    <row r="952">
      <c r="A952" s="9" t="str">
        <f>IF(E952="","", IF('Global Precios'!B954="",0,'Global Precios'!B954))</f>
        <v/>
      </c>
      <c r="B952" s="14" t="str">
        <f>IF('Global Precios'!B954="","",'Global Precios'!B954)</f>
        <v/>
      </c>
      <c r="C952" s="18" t="str">
        <f>IF('Global Precios'!A954="","",'Global Precios'!A954)</f>
        <v/>
      </c>
      <c r="D952" s="18"/>
      <c r="E952" s="25" t="str">
        <f>IF('Global Precios'!D954="","",'Global Precios'!D954)</f>
        <v/>
      </c>
      <c r="F952" s="18"/>
      <c r="G952" s="25" t="str">
        <f t="shared" si="7"/>
        <v/>
      </c>
      <c r="H952" s="25" t="str">
        <f t="shared" si="1"/>
        <v/>
      </c>
      <c r="I952" s="30" t="str">
        <f>IF('Global Precios'!I954="","",'Global Precios'!I954)</f>
        <v/>
      </c>
      <c r="J952" s="18" t="str">
        <f>IF('Global Precios'!K954="","",'Global Precios'!K954)</f>
        <v/>
      </c>
      <c r="K952" s="30" t="str">
        <f>IF('Global Precios'!L954="","",'Global Precios'!L954)</f>
        <v/>
      </c>
      <c r="L952" s="18"/>
      <c r="M952" s="18"/>
      <c r="N952" s="18"/>
      <c r="O952" s="18"/>
      <c r="P952" s="18"/>
      <c r="Q952" s="18"/>
      <c r="R952" s="18" t="str">
        <f>IF('Global Precios'!F954="","",'Global Precios'!F954)</f>
        <v/>
      </c>
      <c r="S952" s="18"/>
      <c r="T952" s="18" t="str">
        <f>IF('Global Precios'!E954="","",'Global Precios'!E954)</f>
        <v/>
      </c>
      <c r="U952" s="18"/>
      <c r="V952" s="18" t="str">
        <f t="shared" si="2"/>
        <v/>
      </c>
      <c r="W952" s="18"/>
      <c r="X952" s="18"/>
      <c r="Y952" s="18"/>
      <c r="Z952" s="18"/>
      <c r="AA952" s="18"/>
      <c r="AB952" s="18" t="str">
        <f t="shared" si="3"/>
        <v/>
      </c>
      <c r="AC952" s="18" t="str">
        <f t="shared" si="4"/>
        <v/>
      </c>
      <c r="AD952" s="18" t="str">
        <f t="shared" si="5"/>
        <v/>
      </c>
      <c r="AE952" s="18" t="str">
        <f t="shared" si="6"/>
        <v/>
      </c>
    </row>
    <row r="953">
      <c r="A953" s="9" t="str">
        <f>IF(E953="","", IF('Global Precios'!B955="",0,'Global Precios'!B955))</f>
        <v/>
      </c>
      <c r="B953" s="14" t="str">
        <f>IF('Global Precios'!B955="","",'Global Precios'!B955)</f>
        <v/>
      </c>
      <c r="C953" s="18" t="str">
        <f>IF('Global Precios'!A955="","",'Global Precios'!A955)</f>
        <v/>
      </c>
      <c r="D953" s="18"/>
      <c r="E953" s="25" t="str">
        <f>IF('Global Precios'!D955="","",'Global Precios'!D955)</f>
        <v/>
      </c>
      <c r="F953" s="18"/>
      <c r="G953" s="25" t="str">
        <f t="shared" si="7"/>
        <v/>
      </c>
      <c r="H953" s="25" t="str">
        <f t="shared" si="1"/>
        <v/>
      </c>
      <c r="I953" s="30" t="str">
        <f>IF('Global Precios'!I955="","",'Global Precios'!I955)</f>
        <v/>
      </c>
      <c r="J953" s="18" t="str">
        <f>IF('Global Precios'!K955="","",'Global Precios'!K955)</f>
        <v/>
      </c>
      <c r="K953" s="30" t="str">
        <f>IF('Global Precios'!L955="","",'Global Precios'!L955)</f>
        <v/>
      </c>
      <c r="L953" s="18"/>
      <c r="M953" s="18"/>
      <c r="N953" s="18"/>
      <c r="O953" s="18"/>
      <c r="P953" s="18"/>
      <c r="Q953" s="18"/>
      <c r="R953" s="18" t="str">
        <f>IF('Global Precios'!F955="","",'Global Precios'!F955)</f>
        <v/>
      </c>
      <c r="S953" s="18"/>
      <c r="T953" s="18" t="str">
        <f>IF('Global Precios'!E955="","",'Global Precios'!E955)</f>
        <v/>
      </c>
      <c r="U953" s="18"/>
      <c r="V953" s="18" t="str">
        <f t="shared" si="2"/>
        <v/>
      </c>
      <c r="W953" s="18"/>
      <c r="X953" s="18"/>
      <c r="Y953" s="18"/>
      <c r="Z953" s="18"/>
      <c r="AA953" s="18"/>
      <c r="AB953" s="18" t="str">
        <f t="shared" si="3"/>
        <v/>
      </c>
      <c r="AC953" s="18" t="str">
        <f t="shared" si="4"/>
        <v/>
      </c>
      <c r="AD953" s="18" t="str">
        <f t="shared" si="5"/>
        <v/>
      </c>
      <c r="AE953" s="18" t="str">
        <f t="shared" si="6"/>
        <v/>
      </c>
    </row>
    <row r="954">
      <c r="A954" s="9" t="str">
        <f>IF(E954="","", IF('Global Precios'!B956="",0,'Global Precios'!B956))</f>
        <v/>
      </c>
      <c r="B954" s="14" t="str">
        <f>IF('Global Precios'!B956="","",'Global Precios'!B956)</f>
        <v/>
      </c>
      <c r="C954" s="18" t="str">
        <f>IF('Global Precios'!A956="","",'Global Precios'!A956)</f>
        <v/>
      </c>
      <c r="D954" s="18"/>
      <c r="E954" s="25" t="str">
        <f>IF('Global Precios'!D956="","",'Global Precios'!D956)</f>
        <v/>
      </c>
      <c r="F954" s="18"/>
      <c r="G954" s="25" t="str">
        <f t="shared" si="7"/>
        <v/>
      </c>
      <c r="H954" s="25" t="str">
        <f t="shared" si="1"/>
        <v/>
      </c>
      <c r="I954" s="30" t="str">
        <f>IF('Global Precios'!I956="","",'Global Precios'!I956)</f>
        <v/>
      </c>
      <c r="J954" s="18" t="str">
        <f>IF('Global Precios'!K956="","",'Global Precios'!K956)</f>
        <v/>
      </c>
      <c r="K954" s="30" t="str">
        <f>IF('Global Precios'!L956="","",'Global Precios'!L956)</f>
        <v/>
      </c>
      <c r="L954" s="18"/>
      <c r="M954" s="18"/>
      <c r="N954" s="18"/>
      <c r="O954" s="18"/>
      <c r="P954" s="18"/>
      <c r="Q954" s="18"/>
      <c r="R954" s="18" t="str">
        <f>IF('Global Precios'!F956="","",'Global Precios'!F956)</f>
        <v/>
      </c>
      <c r="S954" s="18"/>
      <c r="T954" s="18" t="str">
        <f>IF('Global Precios'!E956="","",'Global Precios'!E956)</f>
        <v/>
      </c>
      <c r="U954" s="18"/>
      <c r="V954" s="18" t="str">
        <f t="shared" si="2"/>
        <v/>
      </c>
      <c r="W954" s="18"/>
      <c r="X954" s="18"/>
      <c r="Y954" s="18"/>
      <c r="Z954" s="18"/>
      <c r="AA954" s="18"/>
      <c r="AB954" s="18" t="str">
        <f t="shared" si="3"/>
        <v/>
      </c>
      <c r="AC954" s="18" t="str">
        <f t="shared" si="4"/>
        <v/>
      </c>
      <c r="AD954" s="18" t="str">
        <f t="shared" si="5"/>
        <v/>
      </c>
      <c r="AE954" s="18" t="str">
        <f t="shared" si="6"/>
        <v/>
      </c>
    </row>
    <row r="955">
      <c r="A955" s="9" t="str">
        <f>IF(E955="","", IF('Global Precios'!B957="",0,'Global Precios'!B957))</f>
        <v/>
      </c>
      <c r="B955" s="14" t="str">
        <f>IF('Global Precios'!B957="","",'Global Precios'!B957)</f>
        <v/>
      </c>
      <c r="C955" s="18" t="str">
        <f>IF('Global Precios'!A957="","",'Global Precios'!A957)</f>
        <v/>
      </c>
      <c r="D955" s="18"/>
      <c r="E955" s="25" t="str">
        <f>IF('Global Precios'!D957="","",'Global Precios'!D957)</f>
        <v/>
      </c>
      <c r="F955" s="18"/>
      <c r="G955" s="25" t="str">
        <f t="shared" si="7"/>
        <v/>
      </c>
      <c r="H955" s="25" t="str">
        <f t="shared" si="1"/>
        <v/>
      </c>
      <c r="I955" s="30" t="str">
        <f>IF('Global Precios'!I957="","",'Global Precios'!I957)</f>
        <v/>
      </c>
      <c r="J955" s="18" t="str">
        <f>IF('Global Precios'!K957="","",'Global Precios'!K957)</f>
        <v/>
      </c>
      <c r="K955" s="30" t="str">
        <f>IF('Global Precios'!L957="","",'Global Precios'!L957)</f>
        <v/>
      </c>
      <c r="L955" s="18"/>
      <c r="M955" s="18"/>
      <c r="N955" s="18"/>
      <c r="O955" s="18"/>
      <c r="P955" s="18"/>
      <c r="Q955" s="18"/>
      <c r="R955" s="18" t="str">
        <f>IF('Global Precios'!F957="","",'Global Precios'!F957)</f>
        <v/>
      </c>
      <c r="S955" s="18"/>
      <c r="T955" s="18" t="str">
        <f>IF('Global Precios'!E957="","",'Global Precios'!E957)</f>
        <v/>
      </c>
      <c r="U955" s="18"/>
      <c r="V955" s="18" t="str">
        <f t="shared" si="2"/>
        <v/>
      </c>
      <c r="W955" s="18"/>
      <c r="X955" s="18"/>
      <c r="Y955" s="18"/>
      <c r="Z955" s="18"/>
      <c r="AA955" s="18"/>
      <c r="AB955" s="18" t="str">
        <f t="shared" si="3"/>
        <v/>
      </c>
      <c r="AC955" s="18" t="str">
        <f t="shared" si="4"/>
        <v/>
      </c>
      <c r="AD955" s="18" t="str">
        <f t="shared" si="5"/>
        <v/>
      </c>
      <c r="AE955" s="18" t="str">
        <f t="shared" si="6"/>
        <v/>
      </c>
    </row>
    <row r="956">
      <c r="A956" s="9" t="str">
        <f>IF(E956="","", IF('Global Precios'!B958="",0,'Global Precios'!B958))</f>
        <v/>
      </c>
      <c r="B956" s="14" t="str">
        <f>IF('Global Precios'!B958="","",'Global Precios'!B958)</f>
        <v/>
      </c>
      <c r="C956" s="18" t="str">
        <f>IF('Global Precios'!A958="","",'Global Precios'!A958)</f>
        <v/>
      </c>
      <c r="D956" s="18"/>
      <c r="E956" s="25" t="str">
        <f>IF('Global Precios'!D958="","",'Global Precios'!D958)</f>
        <v/>
      </c>
      <c r="F956" s="18"/>
      <c r="G956" s="25" t="str">
        <f t="shared" si="7"/>
        <v/>
      </c>
      <c r="H956" s="25" t="str">
        <f t="shared" si="1"/>
        <v/>
      </c>
      <c r="I956" s="30" t="str">
        <f>IF('Global Precios'!I958="","",'Global Precios'!I958)</f>
        <v/>
      </c>
      <c r="J956" s="18" t="str">
        <f>IF('Global Precios'!K958="","",'Global Precios'!K958)</f>
        <v/>
      </c>
      <c r="K956" s="30" t="str">
        <f>IF('Global Precios'!L958="","",'Global Precios'!L958)</f>
        <v/>
      </c>
      <c r="L956" s="18"/>
      <c r="M956" s="18"/>
      <c r="N956" s="18"/>
      <c r="O956" s="18"/>
      <c r="P956" s="18"/>
      <c r="Q956" s="18"/>
      <c r="R956" s="18" t="str">
        <f>IF('Global Precios'!F958="","",'Global Precios'!F958)</f>
        <v/>
      </c>
      <c r="S956" s="18"/>
      <c r="T956" s="18" t="str">
        <f>IF('Global Precios'!E958="","",'Global Precios'!E958)</f>
        <v/>
      </c>
      <c r="U956" s="18"/>
      <c r="V956" s="18" t="str">
        <f t="shared" si="2"/>
        <v/>
      </c>
      <c r="W956" s="18"/>
      <c r="X956" s="18"/>
      <c r="Y956" s="18"/>
      <c r="Z956" s="18"/>
      <c r="AA956" s="18"/>
      <c r="AB956" s="18" t="str">
        <f t="shared" si="3"/>
        <v/>
      </c>
      <c r="AC956" s="18" t="str">
        <f t="shared" si="4"/>
        <v/>
      </c>
      <c r="AD956" s="18" t="str">
        <f t="shared" si="5"/>
        <v/>
      </c>
      <c r="AE956" s="18" t="str">
        <f t="shared" si="6"/>
        <v/>
      </c>
    </row>
    <row r="957">
      <c r="A957" s="9" t="str">
        <f>IF(E957="","", IF('Global Precios'!B959="",0,'Global Precios'!B959))</f>
        <v/>
      </c>
      <c r="B957" s="14" t="str">
        <f>IF('Global Precios'!B959="","",'Global Precios'!B959)</f>
        <v/>
      </c>
      <c r="C957" s="18" t="str">
        <f>IF('Global Precios'!A959="","",'Global Precios'!A959)</f>
        <v/>
      </c>
      <c r="D957" s="18"/>
      <c r="E957" s="25" t="str">
        <f>IF('Global Precios'!D959="","",'Global Precios'!D959)</f>
        <v/>
      </c>
      <c r="F957" s="18"/>
      <c r="G957" s="25" t="str">
        <f t="shared" si="7"/>
        <v/>
      </c>
      <c r="H957" s="25" t="str">
        <f t="shared" si="1"/>
        <v/>
      </c>
      <c r="I957" s="30" t="str">
        <f>IF('Global Precios'!I959="","",'Global Precios'!I959)</f>
        <v/>
      </c>
      <c r="J957" s="18" t="str">
        <f>IF('Global Precios'!K959="","",'Global Precios'!K959)</f>
        <v/>
      </c>
      <c r="K957" s="30" t="str">
        <f>IF('Global Precios'!L959="","",'Global Precios'!L959)</f>
        <v/>
      </c>
      <c r="L957" s="18"/>
      <c r="M957" s="18"/>
      <c r="N957" s="18"/>
      <c r="O957" s="18"/>
      <c r="P957" s="18"/>
      <c r="Q957" s="18"/>
      <c r="R957" s="18" t="str">
        <f>IF('Global Precios'!F959="","",'Global Precios'!F959)</f>
        <v/>
      </c>
      <c r="S957" s="18"/>
      <c r="T957" s="18" t="str">
        <f>IF('Global Precios'!E959="","",'Global Precios'!E959)</f>
        <v/>
      </c>
      <c r="U957" s="18"/>
      <c r="V957" s="18" t="str">
        <f t="shared" si="2"/>
        <v/>
      </c>
      <c r="W957" s="18"/>
      <c r="X957" s="18"/>
      <c r="Y957" s="18"/>
      <c r="Z957" s="18"/>
      <c r="AA957" s="18"/>
      <c r="AB957" s="18" t="str">
        <f t="shared" si="3"/>
        <v/>
      </c>
      <c r="AC957" s="18" t="str">
        <f t="shared" si="4"/>
        <v/>
      </c>
      <c r="AD957" s="18" t="str">
        <f t="shared" si="5"/>
        <v/>
      </c>
      <c r="AE957" s="18" t="str">
        <f t="shared" si="6"/>
        <v/>
      </c>
    </row>
    <row r="958">
      <c r="A958" s="9" t="str">
        <f>IF(E958="","", IF('Global Precios'!B960="",0,'Global Precios'!B960))</f>
        <v/>
      </c>
      <c r="B958" s="14" t="str">
        <f>IF('Global Precios'!B960="","",'Global Precios'!B960)</f>
        <v/>
      </c>
      <c r="C958" s="18" t="str">
        <f>IF('Global Precios'!A960="","",'Global Precios'!A960)</f>
        <v/>
      </c>
      <c r="D958" s="18"/>
      <c r="E958" s="25" t="str">
        <f>IF('Global Precios'!D960="","",'Global Precios'!D960)</f>
        <v/>
      </c>
      <c r="F958" s="18"/>
      <c r="G958" s="25" t="str">
        <f t="shared" si="7"/>
        <v/>
      </c>
      <c r="H958" s="25" t="str">
        <f t="shared" si="1"/>
        <v/>
      </c>
      <c r="I958" s="30" t="str">
        <f>IF('Global Precios'!I960="","",'Global Precios'!I960)</f>
        <v/>
      </c>
      <c r="J958" s="18" t="str">
        <f>IF('Global Precios'!K960="","",'Global Precios'!K960)</f>
        <v/>
      </c>
      <c r="K958" s="30" t="str">
        <f>IF('Global Precios'!L960="","",'Global Precios'!L960)</f>
        <v/>
      </c>
      <c r="L958" s="18"/>
      <c r="M958" s="18"/>
      <c r="N958" s="18"/>
      <c r="O958" s="18"/>
      <c r="P958" s="18"/>
      <c r="Q958" s="18"/>
      <c r="R958" s="18" t="str">
        <f>IF('Global Precios'!F960="","",'Global Precios'!F960)</f>
        <v/>
      </c>
      <c r="S958" s="18"/>
      <c r="T958" s="18" t="str">
        <f>IF('Global Precios'!E960="","",'Global Precios'!E960)</f>
        <v/>
      </c>
      <c r="U958" s="18"/>
      <c r="V958" s="18" t="str">
        <f t="shared" si="2"/>
        <v/>
      </c>
      <c r="W958" s="18"/>
      <c r="X958" s="18"/>
      <c r="Y958" s="18"/>
      <c r="Z958" s="18"/>
      <c r="AA958" s="18"/>
      <c r="AB958" s="18" t="str">
        <f t="shared" si="3"/>
        <v/>
      </c>
      <c r="AC958" s="18" t="str">
        <f t="shared" si="4"/>
        <v/>
      </c>
      <c r="AD958" s="18" t="str">
        <f t="shared" si="5"/>
        <v/>
      </c>
      <c r="AE958" s="18" t="str">
        <f t="shared" si="6"/>
        <v/>
      </c>
    </row>
    <row r="959">
      <c r="A959" s="9" t="str">
        <f>IF(E959="","", IF('Global Precios'!B961="",0,'Global Precios'!B961))</f>
        <v/>
      </c>
      <c r="B959" s="14" t="str">
        <f>IF('Global Precios'!B961="","",'Global Precios'!B961)</f>
        <v/>
      </c>
      <c r="C959" s="18" t="str">
        <f>IF('Global Precios'!A961="","",'Global Precios'!A961)</f>
        <v/>
      </c>
      <c r="D959" s="18"/>
      <c r="E959" s="25" t="str">
        <f>IF('Global Precios'!D961="","",'Global Precios'!D961)</f>
        <v/>
      </c>
      <c r="F959" s="18"/>
      <c r="G959" s="25" t="str">
        <f t="shared" si="7"/>
        <v/>
      </c>
      <c r="H959" s="25" t="str">
        <f t="shared" si="1"/>
        <v/>
      </c>
      <c r="I959" s="30" t="str">
        <f>IF('Global Precios'!I961="","",'Global Precios'!I961)</f>
        <v/>
      </c>
      <c r="J959" s="18" t="str">
        <f>IF('Global Precios'!K961="","",'Global Precios'!K961)</f>
        <v/>
      </c>
      <c r="K959" s="30" t="str">
        <f>IF('Global Precios'!L961="","",'Global Precios'!L961)</f>
        <v/>
      </c>
      <c r="L959" s="18"/>
      <c r="M959" s="18"/>
      <c r="N959" s="18"/>
      <c r="O959" s="18"/>
      <c r="P959" s="18"/>
      <c r="Q959" s="18"/>
      <c r="R959" s="18" t="str">
        <f>IF('Global Precios'!F961="","",'Global Precios'!F961)</f>
        <v/>
      </c>
      <c r="S959" s="18"/>
      <c r="T959" s="18" t="str">
        <f>IF('Global Precios'!E961="","",'Global Precios'!E961)</f>
        <v/>
      </c>
      <c r="U959" s="18"/>
      <c r="V959" s="18" t="str">
        <f t="shared" si="2"/>
        <v/>
      </c>
      <c r="W959" s="18"/>
      <c r="X959" s="18"/>
      <c r="Y959" s="18"/>
      <c r="Z959" s="18"/>
      <c r="AA959" s="18"/>
      <c r="AB959" s="18" t="str">
        <f t="shared" si="3"/>
        <v/>
      </c>
      <c r="AC959" s="18" t="str">
        <f t="shared" si="4"/>
        <v/>
      </c>
      <c r="AD959" s="18" t="str">
        <f t="shared" si="5"/>
        <v/>
      </c>
      <c r="AE959" s="18" t="str">
        <f t="shared" si="6"/>
        <v/>
      </c>
    </row>
    <row r="960">
      <c r="A960" s="9" t="str">
        <f>IF(E960="","", IF('Global Precios'!B962="",0,'Global Precios'!B962))</f>
        <v/>
      </c>
      <c r="B960" s="14" t="str">
        <f>IF('Global Precios'!B962="","",'Global Precios'!B962)</f>
        <v/>
      </c>
      <c r="C960" s="18" t="str">
        <f>IF('Global Precios'!A962="","",'Global Precios'!A962)</f>
        <v/>
      </c>
      <c r="D960" s="18"/>
      <c r="E960" s="25" t="str">
        <f>IF('Global Precios'!D962="","",'Global Precios'!D962)</f>
        <v/>
      </c>
      <c r="F960" s="18"/>
      <c r="G960" s="25" t="str">
        <f t="shared" si="7"/>
        <v/>
      </c>
      <c r="H960" s="25" t="str">
        <f t="shared" si="1"/>
        <v/>
      </c>
      <c r="I960" s="30" t="str">
        <f>IF('Global Precios'!I962="","",'Global Precios'!I962)</f>
        <v/>
      </c>
      <c r="J960" s="18" t="str">
        <f>IF('Global Precios'!K962="","",'Global Precios'!K962)</f>
        <v/>
      </c>
      <c r="K960" s="30" t="str">
        <f>IF('Global Precios'!L962="","",'Global Precios'!L962)</f>
        <v/>
      </c>
      <c r="L960" s="18"/>
      <c r="M960" s="18"/>
      <c r="N960" s="18"/>
      <c r="O960" s="18"/>
      <c r="P960" s="18"/>
      <c r="Q960" s="18"/>
      <c r="R960" s="18" t="str">
        <f>IF('Global Precios'!F962="","",'Global Precios'!F962)</f>
        <v/>
      </c>
      <c r="S960" s="18"/>
      <c r="T960" s="18" t="str">
        <f>IF('Global Precios'!E962="","",'Global Precios'!E962)</f>
        <v/>
      </c>
      <c r="U960" s="18"/>
      <c r="V960" s="18" t="str">
        <f t="shared" si="2"/>
        <v/>
      </c>
      <c r="W960" s="18"/>
      <c r="X960" s="18"/>
      <c r="Y960" s="18"/>
      <c r="Z960" s="18"/>
      <c r="AA960" s="18"/>
      <c r="AB960" s="18" t="str">
        <f t="shared" si="3"/>
        <v/>
      </c>
      <c r="AC960" s="18" t="str">
        <f t="shared" si="4"/>
        <v/>
      </c>
      <c r="AD960" s="18" t="str">
        <f t="shared" si="5"/>
        <v/>
      </c>
      <c r="AE960" s="18" t="str">
        <f t="shared" si="6"/>
        <v/>
      </c>
    </row>
    <row r="961">
      <c r="A961" s="9" t="str">
        <f>IF(E961="","", IF('Global Precios'!B963="",0,'Global Precios'!B963))</f>
        <v/>
      </c>
      <c r="B961" s="14" t="str">
        <f>IF('Global Precios'!B963="","",'Global Precios'!B963)</f>
        <v/>
      </c>
      <c r="C961" s="18" t="str">
        <f>IF('Global Precios'!A963="","",'Global Precios'!A963)</f>
        <v/>
      </c>
      <c r="D961" s="18"/>
      <c r="E961" s="25" t="str">
        <f>IF('Global Precios'!D963="","",'Global Precios'!D963)</f>
        <v/>
      </c>
      <c r="F961" s="18"/>
      <c r="G961" s="25" t="str">
        <f t="shared" si="7"/>
        <v/>
      </c>
      <c r="H961" s="25" t="str">
        <f t="shared" si="1"/>
        <v/>
      </c>
      <c r="I961" s="30" t="str">
        <f>IF('Global Precios'!I963="","",'Global Precios'!I963)</f>
        <v/>
      </c>
      <c r="J961" s="18" t="str">
        <f>IF('Global Precios'!K963="","",'Global Precios'!K963)</f>
        <v/>
      </c>
      <c r="K961" s="30" t="str">
        <f>IF('Global Precios'!L963="","",'Global Precios'!L963)</f>
        <v/>
      </c>
      <c r="L961" s="18"/>
      <c r="M961" s="18"/>
      <c r="N961" s="18"/>
      <c r="O961" s="18"/>
      <c r="P961" s="18"/>
      <c r="Q961" s="18"/>
      <c r="R961" s="18" t="str">
        <f>IF('Global Precios'!F963="","",'Global Precios'!F963)</f>
        <v/>
      </c>
      <c r="S961" s="18"/>
      <c r="T961" s="18" t="str">
        <f>IF('Global Precios'!E963="","",'Global Precios'!E963)</f>
        <v/>
      </c>
      <c r="U961" s="18"/>
      <c r="V961" s="18" t="str">
        <f t="shared" si="2"/>
        <v/>
      </c>
      <c r="W961" s="18"/>
      <c r="X961" s="18"/>
      <c r="Y961" s="18"/>
      <c r="Z961" s="18"/>
      <c r="AA961" s="18"/>
      <c r="AB961" s="18" t="str">
        <f t="shared" si="3"/>
        <v/>
      </c>
      <c r="AC961" s="18" t="str">
        <f t="shared" si="4"/>
        <v/>
      </c>
      <c r="AD961" s="18" t="str">
        <f t="shared" si="5"/>
        <v/>
      </c>
      <c r="AE961" s="18" t="str">
        <f t="shared" si="6"/>
        <v/>
      </c>
    </row>
    <row r="962">
      <c r="A962" s="9" t="str">
        <f>IF(E962="","", IF('Global Precios'!B964="",0,'Global Precios'!B964))</f>
        <v/>
      </c>
      <c r="B962" s="14" t="str">
        <f>IF('Global Precios'!B964="","",'Global Precios'!B964)</f>
        <v/>
      </c>
      <c r="C962" s="18" t="str">
        <f>IF('Global Precios'!A964="","",'Global Precios'!A964)</f>
        <v/>
      </c>
      <c r="D962" s="18"/>
      <c r="E962" s="25" t="str">
        <f>IF('Global Precios'!D964="","",'Global Precios'!D964)</f>
        <v/>
      </c>
      <c r="F962" s="18"/>
      <c r="G962" s="25" t="str">
        <f t="shared" si="7"/>
        <v/>
      </c>
      <c r="H962" s="25" t="str">
        <f t="shared" si="1"/>
        <v/>
      </c>
      <c r="I962" s="30" t="str">
        <f>IF('Global Precios'!I964="","",'Global Precios'!I964)</f>
        <v/>
      </c>
      <c r="J962" s="18" t="str">
        <f>IF('Global Precios'!K964="","",'Global Precios'!K964)</f>
        <v/>
      </c>
      <c r="K962" s="30" t="str">
        <f>IF('Global Precios'!L964="","",'Global Precios'!L964)</f>
        <v/>
      </c>
      <c r="L962" s="18"/>
      <c r="M962" s="18"/>
      <c r="N962" s="18"/>
      <c r="O962" s="18"/>
      <c r="P962" s="18"/>
      <c r="Q962" s="18"/>
      <c r="R962" s="18" t="str">
        <f>IF('Global Precios'!F964="","",'Global Precios'!F964)</f>
        <v/>
      </c>
      <c r="S962" s="18"/>
      <c r="T962" s="18" t="str">
        <f>IF('Global Precios'!E964="","",'Global Precios'!E964)</f>
        <v/>
      </c>
      <c r="U962" s="18"/>
      <c r="V962" s="18" t="str">
        <f t="shared" si="2"/>
        <v/>
      </c>
      <c r="W962" s="18"/>
      <c r="X962" s="18"/>
      <c r="Y962" s="18"/>
      <c r="Z962" s="18"/>
      <c r="AA962" s="18"/>
      <c r="AB962" s="18" t="str">
        <f t="shared" si="3"/>
        <v/>
      </c>
      <c r="AC962" s="18" t="str">
        <f t="shared" si="4"/>
        <v/>
      </c>
      <c r="AD962" s="18" t="str">
        <f t="shared" si="5"/>
        <v/>
      </c>
      <c r="AE962" s="18" t="str">
        <f t="shared" si="6"/>
        <v/>
      </c>
    </row>
    <row r="963">
      <c r="A963" s="9" t="str">
        <f>IF(E963="","", IF('Global Precios'!B965="",0,'Global Precios'!B965))</f>
        <v/>
      </c>
      <c r="B963" s="14" t="str">
        <f>IF('Global Precios'!B965="","",'Global Precios'!B965)</f>
        <v/>
      </c>
      <c r="C963" s="18" t="str">
        <f>IF('Global Precios'!A965="","",'Global Precios'!A965)</f>
        <v/>
      </c>
      <c r="D963" s="18"/>
      <c r="E963" s="25" t="str">
        <f>IF('Global Precios'!D965="","",'Global Precios'!D965)</f>
        <v/>
      </c>
      <c r="F963" s="18"/>
      <c r="G963" s="25" t="str">
        <f t="shared" si="7"/>
        <v/>
      </c>
      <c r="H963" s="25" t="str">
        <f t="shared" si="1"/>
        <v/>
      </c>
      <c r="I963" s="30" t="str">
        <f>IF('Global Precios'!I965="","",'Global Precios'!I965)</f>
        <v/>
      </c>
      <c r="J963" s="18" t="str">
        <f>IF('Global Precios'!K965="","",'Global Precios'!K965)</f>
        <v/>
      </c>
      <c r="K963" s="30" t="str">
        <f>IF('Global Precios'!L965="","",'Global Precios'!L965)</f>
        <v/>
      </c>
      <c r="L963" s="18"/>
      <c r="M963" s="18"/>
      <c r="N963" s="18"/>
      <c r="O963" s="18"/>
      <c r="P963" s="18"/>
      <c r="Q963" s="18"/>
      <c r="R963" s="18" t="str">
        <f>IF('Global Precios'!F965="","",'Global Precios'!F965)</f>
        <v/>
      </c>
      <c r="S963" s="18"/>
      <c r="T963" s="18" t="str">
        <f>IF('Global Precios'!E965="","",'Global Precios'!E965)</f>
        <v/>
      </c>
      <c r="U963" s="18"/>
      <c r="V963" s="18" t="str">
        <f t="shared" si="2"/>
        <v/>
      </c>
      <c r="W963" s="18"/>
      <c r="X963" s="18"/>
      <c r="Y963" s="18"/>
      <c r="Z963" s="18"/>
      <c r="AA963" s="18"/>
      <c r="AB963" s="18" t="str">
        <f t="shared" si="3"/>
        <v/>
      </c>
      <c r="AC963" s="18" t="str">
        <f t="shared" si="4"/>
        <v/>
      </c>
      <c r="AD963" s="18" t="str">
        <f t="shared" si="5"/>
        <v/>
      </c>
      <c r="AE963" s="18" t="str">
        <f t="shared" si="6"/>
        <v/>
      </c>
    </row>
    <row r="964">
      <c r="A964" s="9" t="str">
        <f>IF(E964="","", IF('Global Precios'!B966="",0,'Global Precios'!B966))</f>
        <v/>
      </c>
      <c r="B964" s="14" t="str">
        <f>IF('Global Precios'!B966="","",'Global Precios'!B966)</f>
        <v/>
      </c>
      <c r="C964" s="18" t="str">
        <f>IF('Global Precios'!A966="","",'Global Precios'!A966)</f>
        <v/>
      </c>
      <c r="D964" s="18"/>
      <c r="E964" s="25" t="str">
        <f>IF('Global Precios'!D966="","",'Global Precios'!D966)</f>
        <v/>
      </c>
      <c r="F964" s="18"/>
      <c r="G964" s="25" t="str">
        <f t="shared" si="7"/>
        <v/>
      </c>
      <c r="H964" s="25" t="str">
        <f t="shared" si="1"/>
        <v/>
      </c>
      <c r="I964" s="30" t="str">
        <f>IF('Global Precios'!I966="","",'Global Precios'!I966)</f>
        <v/>
      </c>
      <c r="J964" s="18" t="str">
        <f>IF('Global Precios'!K966="","",'Global Precios'!K966)</f>
        <v/>
      </c>
      <c r="K964" s="30" t="str">
        <f>IF('Global Precios'!L966="","",'Global Precios'!L966)</f>
        <v/>
      </c>
      <c r="L964" s="18"/>
      <c r="M964" s="18"/>
      <c r="N964" s="18"/>
      <c r="O964" s="18"/>
      <c r="P964" s="18"/>
      <c r="Q964" s="18"/>
      <c r="R964" s="18" t="str">
        <f>IF('Global Precios'!F966="","",'Global Precios'!F966)</f>
        <v/>
      </c>
      <c r="S964" s="18"/>
      <c r="T964" s="18" t="str">
        <f>IF('Global Precios'!E966="","",'Global Precios'!E966)</f>
        <v/>
      </c>
      <c r="U964" s="18"/>
      <c r="V964" s="18" t="str">
        <f t="shared" si="2"/>
        <v/>
      </c>
      <c r="W964" s="18"/>
      <c r="X964" s="18"/>
      <c r="Y964" s="18"/>
      <c r="Z964" s="18"/>
      <c r="AA964" s="18"/>
      <c r="AB964" s="18" t="str">
        <f t="shared" si="3"/>
        <v/>
      </c>
      <c r="AC964" s="18" t="str">
        <f t="shared" si="4"/>
        <v/>
      </c>
      <c r="AD964" s="18" t="str">
        <f t="shared" si="5"/>
        <v/>
      </c>
      <c r="AE964" s="18" t="str">
        <f t="shared" si="6"/>
        <v/>
      </c>
    </row>
    <row r="965">
      <c r="A965" s="9" t="str">
        <f>IF(E965="","", IF('Global Precios'!B967="",0,'Global Precios'!B967))</f>
        <v/>
      </c>
      <c r="B965" s="14" t="str">
        <f>IF('Global Precios'!B967="","",'Global Precios'!B967)</f>
        <v/>
      </c>
      <c r="C965" s="18" t="str">
        <f>IF('Global Precios'!A967="","",'Global Precios'!A967)</f>
        <v/>
      </c>
      <c r="D965" s="18"/>
      <c r="E965" s="25" t="str">
        <f>IF('Global Precios'!D967="","",'Global Precios'!D967)</f>
        <v/>
      </c>
      <c r="F965" s="18"/>
      <c r="G965" s="25" t="str">
        <f t="shared" si="7"/>
        <v/>
      </c>
      <c r="H965" s="25" t="str">
        <f t="shared" si="1"/>
        <v/>
      </c>
      <c r="I965" s="30" t="str">
        <f>IF('Global Precios'!I967="","",'Global Precios'!I967)</f>
        <v/>
      </c>
      <c r="J965" s="18" t="str">
        <f>IF('Global Precios'!K967="","",'Global Precios'!K967)</f>
        <v/>
      </c>
      <c r="K965" s="30" t="str">
        <f>IF('Global Precios'!L967="","",'Global Precios'!L967)</f>
        <v/>
      </c>
      <c r="L965" s="18"/>
      <c r="M965" s="18"/>
      <c r="N965" s="18"/>
      <c r="O965" s="18"/>
      <c r="P965" s="18"/>
      <c r="Q965" s="18"/>
      <c r="R965" s="18" t="str">
        <f>IF('Global Precios'!F967="","",'Global Precios'!F967)</f>
        <v/>
      </c>
      <c r="S965" s="18"/>
      <c r="T965" s="18" t="str">
        <f>IF('Global Precios'!E967="","",'Global Precios'!E967)</f>
        <v/>
      </c>
      <c r="U965" s="18"/>
      <c r="V965" s="18" t="str">
        <f t="shared" si="2"/>
        <v/>
      </c>
      <c r="W965" s="18"/>
      <c r="X965" s="18"/>
      <c r="Y965" s="18"/>
      <c r="Z965" s="18"/>
      <c r="AA965" s="18"/>
      <c r="AB965" s="18" t="str">
        <f t="shared" si="3"/>
        <v/>
      </c>
      <c r="AC965" s="18" t="str">
        <f t="shared" si="4"/>
        <v/>
      </c>
      <c r="AD965" s="18" t="str">
        <f t="shared" si="5"/>
        <v/>
      </c>
      <c r="AE965" s="18" t="str">
        <f t="shared" si="6"/>
        <v/>
      </c>
    </row>
    <row r="966">
      <c r="A966" s="9" t="str">
        <f>IF(E966="","", IF('Global Precios'!B968="",0,'Global Precios'!B968))</f>
        <v/>
      </c>
      <c r="B966" s="14" t="str">
        <f>IF('Global Precios'!B968="","",'Global Precios'!B968)</f>
        <v/>
      </c>
      <c r="C966" s="18" t="str">
        <f>IF('Global Precios'!A968="","",'Global Precios'!A968)</f>
        <v/>
      </c>
      <c r="D966" s="18"/>
      <c r="E966" s="25" t="str">
        <f>IF('Global Precios'!D968="","",'Global Precios'!D968)</f>
        <v/>
      </c>
      <c r="F966" s="18"/>
      <c r="G966" s="25" t="str">
        <f t="shared" si="7"/>
        <v/>
      </c>
      <c r="H966" s="25" t="str">
        <f t="shared" si="1"/>
        <v/>
      </c>
      <c r="I966" s="30" t="str">
        <f>IF('Global Precios'!I968="","",'Global Precios'!I968)</f>
        <v/>
      </c>
      <c r="J966" s="18" t="str">
        <f>IF('Global Precios'!K968="","",'Global Precios'!K968)</f>
        <v/>
      </c>
      <c r="K966" s="30" t="str">
        <f>IF('Global Precios'!L968="","",'Global Precios'!L968)</f>
        <v/>
      </c>
      <c r="L966" s="18"/>
      <c r="M966" s="18"/>
      <c r="N966" s="18"/>
      <c r="O966" s="18"/>
      <c r="P966" s="18"/>
      <c r="Q966" s="18"/>
      <c r="R966" s="18" t="str">
        <f>IF('Global Precios'!F968="","",'Global Precios'!F968)</f>
        <v/>
      </c>
      <c r="S966" s="18"/>
      <c r="T966" s="18" t="str">
        <f>IF('Global Precios'!E968="","",'Global Precios'!E968)</f>
        <v/>
      </c>
      <c r="U966" s="18"/>
      <c r="V966" s="18" t="str">
        <f t="shared" si="2"/>
        <v/>
      </c>
      <c r="W966" s="18"/>
      <c r="X966" s="18"/>
      <c r="Y966" s="18"/>
      <c r="Z966" s="18"/>
      <c r="AA966" s="18"/>
      <c r="AB966" s="18" t="str">
        <f t="shared" si="3"/>
        <v/>
      </c>
      <c r="AC966" s="18" t="str">
        <f t="shared" si="4"/>
        <v/>
      </c>
      <c r="AD966" s="18" t="str">
        <f t="shared" si="5"/>
        <v/>
      </c>
      <c r="AE966" s="18" t="str">
        <f t="shared" si="6"/>
        <v/>
      </c>
    </row>
    <row r="967">
      <c r="A967" s="9" t="str">
        <f>IF(E967="","", IF('Global Precios'!B969="",0,'Global Precios'!B969))</f>
        <v/>
      </c>
      <c r="B967" s="14" t="str">
        <f>IF('Global Precios'!B969="","",'Global Precios'!B969)</f>
        <v/>
      </c>
      <c r="C967" s="18" t="str">
        <f>IF('Global Precios'!A969="","",'Global Precios'!A969)</f>
        <v/>
      </c>
      <c r="D967" s="18"/>
      <c r="E967" s="25" t="str">
        <f>IF('Global Precios'!D969="","",'Global Precios'!D969)</f>
        <v/>
      </c>
      <c r="F967" s="18"/>
      <c r="G967" s="25" t="str">
        <f t="shared" si="7"/>
        <v/>
      </c>
      <c r="H967" s="25" t="str">
        <f t="shared" si="1"/>
        <v/>
      </c>
      <c r="I967" s="30" t="str">
        <f>IF('Global Precios'!I969="","",'Global Precios'!I969)</f>
        <v/>
      </c>
      <c r="J967" s="18" t="str">
        <f>IF('Global Precios'!K969="","",'Global Precios'!K969)</f>
        <v/>
      </c>
      <c r="K967" s="30" t="str">
        <f>IF('Global Precios'!L969="","",'Global Precios'!L969)</f>
        <v/>
      </c>
      <c r="L967" s="18"/>
      <c r="M967" s="18"/>
      <c r="N967" s="18"/>
      <c r="O967" s="18"/>
      <c r="P967" s="18"/>
      <c r="Q967" s="18"/>
      <c r="R967" s="18" t="str">
        <f>IF('Global Precios'!F969="","",'Global Precios'!F969)</f>
        <v/>
      </c>
      <c r="S967" s="18"/>
      <c r="T967" s="18" t="str">
        <f>IF('Global Precios'!E969="","",'Global Precios'!E969)</f>
        <v/>
      </c>
      <c r="U967" s="18"/>
      <c r="V967" s="18" t="str">
        <f t="shared" si="2"/>
        <v/>
      </c>
      <c r="W967" s="18"/>
      <c r="X967" s="18"/>
      <c r="Y967" s="18"/>
      <c r="Z967" s="18"/>
      <c r="AA967" s="18"/>
      <c r="AB967" s="18" t="str">
        <f t="shared" si="3"/>
        <v/>
      </c>
      <c r="AC967" s="18" t="str">
        <f t="shared" si="4"/>
        <v/>
      </c>
      <c r="AD967" s="18" t="str">
        <f t="shared" si="5"/>
        <v/>
      </c>
      <c r="AE967" s="18" t="str">
        <f t="shared" si="6"/>
        <v/>
      </c>
    </row>
    <row r="968">
      <c r="A968" s="9" t="str">
        <f>IF(E968="","", IF('Global Precios'!B970="",0,'Global Precios'!B970))</f>
        <v/>
      </c>
      <c r="B968" s="14" t="str">
        <f>IF('Global Precios'!B970="","",'Global Precios'!B970)</f>
        <v/>
      </c>
      <c r="C968" s="18" t="str">
        <f>IF('Global Precios'!A970="","",'Global Precios'!A970)</f>
        <v/>
      </c>
      <c r="D968" s="18"/>
      <c r="E968" s="25" t="str">
        <f>IF('Global Precios'!D970="","",'Global Precios'!D970)</f>
        <v/>
      </c>
      <c r="F968" s="18"/>
      <c r="G968" s="25" t="str">
        <f t="shared" si="7"/>
        <v/>
      </c>
      <c r="H968" s="25" t="str">
        <f t="shared" si="1"/>
        <v/>
      </c>
      <c r="I968" s="30" t="str">
        <f>IF('Global Precios'!I970="","",'Global Precios'!I970)</f>
        <v/>
      </c>
      <c r="J968" s="18" t="str">
        <f>IF('Global Precios'!K970="","",'Global Precios'!K970)</f>
        <v/>
      </c>
      <c r="K968" s="30" t="str">
        <f>IF('Global Precios'!L970="","",'Global Precios'!L970)</f>
        <v/>
      </c>
      <c r="L968" s="18"/>
      <c r="M968" s="18"/>
      <c r="N968" s="18"/>
      <c r="O968" s="18"/>
      <c r="P968" s="18"/>
      <c r="Q968" s="18"/>
      <c r="R968" s="18" t="str">
        <f>IF('Global Precios'!F970="","",'Global Precios'!F970)</f>
        <v/>
      </c>
      <c r="S968" s="18"/>
      <c r="T968" s="18" t="str">
        <f>IF('Global Precios'!E970="","",'Global Precios'!E970)</f>
        <v/>
      </c>
      <c r="U968" s="18"/>
      <c r="V968" s="18" t="str">
        <f t="shared" si="2"/>
        <v/>
      </c>
      <c r="W968" s="18"/>
      <c r="X968" s="18"/>
      <c r="Y968" s="18"/>
      <c r="Z968" s="18"/>
      <c r="AA968" s="18"/>
      <c r="AB968" s="18" t="str">
        <f t="shared" si="3"/>
        <v/>
      </c>
      <c r="AC968" s="18" t="str">
        <f t="shared" si="4"/>
        <v/>
      </c>
      <c r="AD968" s="18" t="str">
        <f t="shared" si="5"/>
        <v/>
      </c>
      <c r="AE968" s="18" t="str">
        <f t="shared" si="6"/>
        <v/>
      </c>
    </row>
    <row r="969">
      <c r="A969" s="9" t="str">
        <f>IF(E969="","", IF('Global Precios'!B971="",0,'Global Precios'!B971))</f>
        <v/>
      </c>
      <c r="B969" s="14" t="str">
        <f>IF('Global Precios'!B971="","",'Global Precios'!B971)</f>
        <v/>
      </c>
      <c r="C969" s="18" t="str">
        <f>IF('Global Precios'!A971="","",'Global Precios'!A971)</f>
        <v/>
      </c>
      <c r="D969" s="18"/>
      <c r="E969" s="25" t="str">
        <f>IF('Global Precios'!D971="","",'Global Precios'!D971)</f>
        <v/>
      </c>
      <c r="F969" s="18"/>
      <c r="G969" s="25" t="str">
        <f t="shared" si="7"/>
        <v/>
      </c>
      <c r="H969" s="25" t="str">
        <f t="shared" si="1"/>
        <v/>
      </c>
      <c r="I969" s="30" t="str">
        <f>IF('Global Precios'!I971="","",'Global Precios'!I971)</f>
        <v/>
      </c>
      <c r="J969" s="18" t="str">
        <f>IF('Global Precios'!K971="","",'Global Precios'!K971)</f>
        <v/>
      </c>
      <c r="K969" s="30" t="str">
        <f>IF('Global Precios'!L971="","",'Global Precios'!L971)</f>
        <v/>
      </c>
      <c r="L969" s="18"/>
      <c r="M969" s="18"/>
      <c r="N969" s="18"/>
      <c r="O969" s="18"/>
      <c r="P969" s="18"/>
      <c r="Q969" s="18"/>
      <c r="R969" s="18" t="str">
        <f>IF('Global Precios'!F971="","",'Global Precios'!F971)</f>
        <v/>
      </c>
      <c r="S969" s="18"/>
      <c r="T969" s="18" t="str">
        <f>IF('Global Precios'!E971="","",'Global Precios'!E971)</f>
        <v/>
      </c>
      <c r="U969" s="18"/>
      <c r="V969" s="18" t="str">
        <f t="shared" si="2"/>
        <v/>
      </c>
      <c r="W969" s="18"/>
      <c r="X969" s="18"/>
      <c r="Y969" s="18"/>
      <c r="Z969" s="18"/>
      <c r="AA969" s="18"/>
      <c r="AB969" s="18" t="str">
        <f t="shared" si="3"/>
        <v/>
      </c>
      <c r="AC969" s="18" t="str">
        <f t="shared" si="4"/>
        <v/>
      </c>
      <c r="AD969" s="18" t="str">
        <f t="shared" si="5"/>
        <v/>
      </c>
      <c r="AE969" s="18" t="str">
        <f t="shared" si="6"/>
        <v/>
      </c>
    </row>
    <row r="970">
      <c r="A970" s="9" t="str">
        <f>IF(E970="","", IF('Global Precios'!B972="",0,'Global Precios'!B972))</f>
        <v/>
      </c>
      <c r="B970" s="14" t="str">
        <f>IF('Global Precios'!B972="","",'Global Precios'!B972)</f>
        <v/>
      </c>
      <c r="C970" s="18" t="str">
        <f>IF('Global Precios'!A972="","",'Global Precios'!A972)</f>
        <v/>
      </c>
      <c r="D970" s="18"/>
      <c r="E970" s="25" t="str">
        <f>IF('Global Precios'!D972="","",'Global Precios'!D972)</f>
        <v/>
      </c>
      <c r="F970" s="18"/>
      <c r="G970" s="25" t="str">
        <f t="shared" si="7"/>
        <v/>
      </c>
      <c r="H970" s="25" t="str">
        <f t="shared" si="1"/>
        <v/>
      </c>
      <c r="I970" s="30" t="str">
        <f>IF('Global Precios'!I972="","",'Global Precios'!I972)</f>
        <v/>
      </c>
      <c r="J970" s="18" t="str">
        <f>IF('Global Precios'!K972="","",'Global Precios'!K972)</f>
        <v/>
      </c>
      <c r="K970" s="30" t="str">
        <f>IF('Global Precios'!L972="","",'Global Precios'!L972)</f>
        <v/>
      </c>
      <c r="L970" s="18"/>
      <c r="M970" s="18"/>
      <c r="N970" s="18"/>
      <c r="O970" s="18"/>
      <c r="P970" s="18"/>
      <c r="Q970" s="18"/>
      <c r="R970" s="18" t="str">
        <f>IF('Global Precios'!F972="","",'Global Precios'!F972)</f>
        <v/>
      </c>
      <c r="S970" s="18"/>
      <c r="T970" s="18" t="str">
        <f>IF('Global Precios'!E972="","",'Global Precios'!E972)</f>
        <v/>
      </c>
      <c r="U970" s="18"/>
      <c r="V970" s="18" t="str">
        <f t="shared" si="2"/>
        <v/>
      </c>
      <c r="W970" s="18"/>
      <c r="X970" s="18"/>
      <c r="Y970" s="18"/>
      <c r="Z970" s="18"/>
      <c r="AA970" s="18"/>
      <c r="AB970" s="18" t="str">
        <f t="shared" si="3"/>
        <v/>
      </c>
      <c r="AC970" s="18" t="str">
        <f t="shared" si="4"/>
        <v/>
      </c>
      <c r="AD970" s="18" t="str">
        <f t="shared" si="5"/>
        <v/>
      </c>
      <c r="AE970" s="18" t="str">
        <f t="shared" si="6"/>
        <v/>
      </c>
    </row>
    <row r="971">
      <c r="A971" s="9" t="str">
        <f>IF(E971="","", IF('Global Precios'!B973="",0,'Global Precios'!B973))</f>
        <v/>
      </c>
      <c r="B971" s="14" t="str">
        <f>IF('Global Precios'!B973="","",'Global Precios'!B973)</f>
        <v/>
      </c>
      <c r="C971" s="18" t="str">
        <f>IF('Global Precios'!A973="","",'Global Precios'!A973)</f>
        <v/>
      </c>
      <c r="D971" s="18"/>
      <c r="E971" s="25" t="str">
        <f>IF('Global Precios'!D973="","",'Global Precios'!D973)</f>
        <v/>
      </c>
      <c r="F971" s="18"/>
      <c r="G971" s="25" t="str">
        <f t="shared" si="7"/>
        <v/>
      </c>
      <c r="H971" s="25" t="str">
        <f t="shared" si="1"/>
        <v/>
      </c>
      <c r="I971" s="30" t="str">
        <f>IF('Global Precios'!I973="","",'Global Precios'!I973)</f>
        <v/>
      </c>
      <c r="J971" s="18" t="str">
        <f>IF('Global Precios'!K973="","",'Global Precios'!K973)</f>
        <v/>
      </c>
      <c r="K971" s="30" t="str">
        <f>IF('Global Precios'!L973="","",'Global Precios'!L973)</f>
        <v/>
      </c>
      <c r="L971" s="18"/>
      <c r="M971" s="18"/>
      <c r="N971" s="18"/>
      <c r="O971" s="18"/>
      <c r="P971" s="18"/>
      <c r="Q971" s="18"/>
      <c r="R971" s="18" t="str">
        <f>IF('Global Precios'!F973="","",'Global Precios'!F973)</f>
        <v/>
      </c>
      <c r="S971" s="18"/>
      <c r="T971" s="18" t="str">
        <f>IF('Global Precios'!E973="","",'Global Precios'!E973)</f>
        <v/>
      </c>
      <c r="U971" s="18"/>
      <c r="V971" s="18" t="str">
        <f t="shared" si="2"/>
        <v/>
      </c>
      <c r="W971" s="18"/>
      <c r="X971" s="18"/>
      <c r="Y971" s="18"/>
      <c r="Z971" s="18"/>
      <c r="AA971" s="18"/>
      <c r="AB971" s="18" t="str">
        <f t="shared" si="3"/>
        <v/>
      </c>
      <c r="AC971" s="18" t="str">
        <f t="shared" si="4"/>
        <v/>
      </c>
      <c r="AD971" s="18" t="str">
        <f t="shared" si="5"/>
        <v/>
      </c>
      <c r="AE971" s="18" t="str">
        <f t="shared" si="6"/>
        <v/>
      </c>
    </row>
    <row r="972">
      <c r="A972" s="9" t="str">
        <f>IF(E972="","", IF('Global Precios'!B974="",0,'Global Precios'!B974))</f>
        <v/>
      </c>
      <c r="B972" s="14" t="str">
        <f>IF('Global Precios'!B974="","",'Global Precios'!B974)</f>
        <v/>
      </c>
      <c r="C972" s="18" t="str">
        <f>IF('Global Precios'!A974="","",'Global Precios'!A974)</f>
        <v/>
      </c>
      <c r="D972" s="18"/>
      <c r="E972" s="25" t="str">
        <f>IF('Global Precios'!D974="","",'Global Precios'!D974)</f>
        <v/>
      </c>
      <c r="F972" s="18"/>
      <c r="G972" s="25" t="str">
        <f t="shared" si="7"/>
        <v/>
      </c>
      <c r="H972" s="25" t="str">
        <f t="shared" si="1"/>
        <v/>
      </c>
      <c r="I972" s="30" t="str">
        <f>IF('Global Precios'!I974="","",'Global Precios'!I974)</f>
        <v/>
      </c>
      <c r="J972" s="18" t="str">
        <f>IF('Global Precios'!K974="","",'Global Precios'!K974)</f>
        <v/>
      </c>
      <c r="K972" s="30" t="str">
        <f>IF('Global Precios'!L974="","",'Global Precios'!L974)</f>
        <v/>
      </c>
      <c r="L972" s="18"/>
      <c r="M972" s="18"/>
      <c r="N972" s="18"/>
      <c r="O972" s="18"/>
      <c r="P972" s="18"/>
      <c r="Q972" s="18"/>
      <c r="R972" s="18" t="str">
        <f>IF('Global Precios'!F974="","",'Global Precios'!F974)</f>
        <v/>
      </c>
      <c r="S972" s="18"/>
      <c r="T972" s="18" t="str">
        <f>IF('Global Precios'!E974="","",'Global Precios'!E974)</f>
        <v/>
      </c>
      <c r="U972" s="18"/>
      <c r="V972" s="18" t="str">
        <f t="shared" si="2"/>
        <v/>
      </c>
      <c r="W972" s="18"/>
      <c r="X972" s="18"/>
      <c r="Y972" s="18"/>
      <c r="Z972" s="18"/>
      <c r="AA972" s="18"/>
      <c r="AB972" s="18" t="str">
        <f t="shared" si="3"/>
        <v/>
      </c>
      <c r="AC972" s="18" t="str">
        <f t="shared" si="4"/>
        <v/>
      </c>
      <c r="AD972" s="18" t="str">
        <f t="shared" si="5"/>
        <v/>
      </c>
      <c r="AE972" s="18" t="str">
        <f t="shared" si="6"/>
        <v/>
      </c>
    </row>
    <row r="973">
      <c r="A973" s="9" t="str">
        <f>IF(E973="","", IF('Global Precios'!B975="",0,'Global Precios'!B975))</f>
        <v/>
      </c>
      <c r="B973" s="14" t="str">
        <f>IF('Global Precios'!B975="","",'Global Precios'!B975)</f>
        <v/>
      </c>
      <c r="C973" s="18" t="str">
        <f>IF('Global Precios'!A975="","",'Global Precios'!A975)</f>
        <v/>
      </c>
      <c r="D973" s="18"/>
      <c r="E973" s="25" t="str">
        <f>IF('Global Precios'!D975="","",'Global Precios'!D975)</f>
        <v/>
      </c>
      <c r="F973" s="18"/>
      <c r="G973" s="25" t="str">
        <f t="shared" si="7"/>
        <v/>
      </c>
      <c r="H973" s="25" t="str">
        <f t="shared" si="1"/>
        <v/>
      </c>
      <c r="I973" s="30" t="str">
        <f>IF('Global Precios'!I975="","",'Global Precios'!I975)</f>
        <v/>
      </c>
      <c r="J973" s="18" t="str">
        <f>IF('Global Precios'!K975="","",'Global Precios'!K975)</f>
        <v/>
      </c>
      <c r="K973" s="30" t="str">
        <f>IF('Global Precios'!L975="","",'Global Precios'!L975)</f>
        <v/>
      </c>
      <c r="L973" s="18"/>
      <c r="M973" s="18"/>
      <c r="N973" s="18"/>
      <c r="O973" s="18"/>
      <c r="P973" s="18"/>
      <c r="Q973" s="18"/>
      <c r="R973" s="18" t="str">
        <f>IF('Global Precios'!F975="","",'Global Precios'!F975)</f>
        <v/>
      </c>
      <c r="S973" s="18"/>
      <c r="T973" s="18" t="str">
        <f>IF('Global Precios'!E975="","",'Global Precios'!E975)</f>
        <v/>
      </c>
      <c r="U973" s="18"/>
      <c r="V973" s="18" t="str">
        <f t="shared" si="2"/>
        <v/>
      </c>
      <c r="W973" s="18"/>
      <c r="X973" s="18"/>
      <c r="Y973" s="18"/>
      <c r="Z973" s="18"/>
      <c r="AA973" s="18"/>
      <c r="AB973" s="18" t="str">
        <f t="shared" si="3"/>
        <v/>
      </c>
      <c r="AC973" s="18" t="str">
        <f t="shared" si="4"/>
        <v/>
      </c>
      <c r="AD973" s="18" t="str">
        <f t="shared" si="5"/>
        <v/>
      </c>
      <c r="AE973" s="18" t="str">
        <f t="shared" si="6"/>
        <v/>
      </c>
    </row>
    <row r="974">
      <c r="A974" s="9" t="str">
        <f>IF(E974="","", IF('Global Precios'!B976="",0,'Global Precios'!B976))</f>
        <v/>
      </c>
      <c r="B974" s="14" t="str">
        <f>IF('Global Precios'!B976="","",'Global Precios'!B976)</f>
        <v/>
      </c>
      <c r="C974" s="18" t="str">
        <f>IF('Global Precios'!A976="","",'Global Precios'!A976)</f>
        <v/>
      </c>
      <c r="D974" s="18"/>
      <c r="E974" s="25" t="str">
        <f>IF('Global Precios'!D976="","",'Global Precios'!D976)</f>
        <v/>
      </c>
      <c r="F974" s="18"/>
      <c r="G974" s="25" t="str">
        <f t="shared" si="7"/>
        <v/>
      </c>
      <c r="H974" s="25" t="str">
        <f t="shared" si="1"/>
        <v/>
      </c>
      <c r="I974" s="30" t="str">
        <f>IF('Global Precios'!I976="","",'Global Precios'!I976)</f>
        <v/>
      </c>
      <c r="J974" s="18" t="str">
        <f>IF('Global Precios'!K976="","",'Global Precios'!K976)</f>
        <v/>
      </c>
      <c r="K974" s="30" t="str">
        <f>IF('Global Precios'!L976="","",'Global Precios'!L976)</f>
        <v/>
      </c>
      <c r="L974" s="18"/>
      <c r="M974" s="18"/>
      <c r="N974" s="18"/>
      <c r="O974" s="18"/>
      <c r="P974" s="18"/>
      <c r="Q974" s="18"/>
      <c r="R974" s="18" t="str">
        <f>IF('Global Precios'!F976="","",'Global Precios'!F976)</f>
        <v/>
      </c>
      <c r="S974" s="18"/>
      <c r="T974" s="18" t="str">
        <f>IF('Global Precios'!E976="","",'Global Precios'!E976)</f>
        <v/>
      </c>
      <c r="U974" s="18"/>
      <c r="V974" s="18" t="str">
        <f t="shared" si="2"/>
        <v/>
      </c>
      <c r="W974" s="18"/>
      <c r="X974" s="18"/>
      <c r="Y974" s="18"/>
      <c r="Z974" s="18"/>
      <c r="AA974" s="18"/>
      <c r="AB974" s="18" t="str">
        <f t="shared" si="3"/>
        <v/>
      </c>
      <c r="AC974" s="18" t="str">
        <f t="shared" si="4"/>
        <v/>
      </c>
      <c r="AD974" s="18" t="str">
        <f t="shared" si="5"/>
        <v/>
      </c>
      <c r="AE974" s="18" t="str">
        <f t="shared" si="6"/>
        <v/>
      </c>
    </row>
    <row r="975">
      <c r="A975" s="9" t="str">
        <f>IF(E975="","", IF('Global Precios'!B977="",0,'Global Precios'!B977))</f>
        <v/>
      </c>
      <c r="B975" s="14" t="str">
        <f>IF('Global Precios'!B977="","",'Global Precios'!B977)</f>
        <v/>
      </c>
      <c r="C975" s="18" t="str">
        <f>IF('Global Precios'!A977="","",'Global Precios'!A977)</f>
        <v/>
      </c>
      <c r="D975" s="18"/>
      <c r="E975" s="25" t="str">
        <f>IF('Global Precios'!D977="","",'Global Precios'!D977)</f>
        <v/>
      </c>
      <c r="F975" s="18"/>
      <c r="G975" s="25" t="str">
        <f t="shared" si="7"/>
        <v/>
      </c>
      <c r="H975" s="25" t="str">
        <f t="shared" si="1"/>
        <v/>
      </c>
      <c r="I975" s="30" t="str">
        <f>IF('Global Precios'!I977="","",'Global Precios'!I977)</f>
        <v/>
      </c>
      <c r="J975" s="18" t="str">
        <f>IF('Global Precios'!K977="","",'Global Precios'!K977)</f>
        <v/>
      </c>
      <c r="K975" s="30" t="str">
        <f>IF('Global Precios'!L977="","",'Global Precios'!L977)</f>
        <v/>
      </c>
      <c r="L975" s="18"/>
      <c r="M975" s="18"/>
      <c r="N975" s="18"/>
      <c r="O975" s="18"/>
      <c r="P975" s="18"/>
      <c r="Q975" s="18"/>
      <c r="R975" s="18" t="str">
        <f>IF('Global Precios'!F977="","",'Global Precios'!F977)</f>
        <v/>
      </c>
      <c r="S975" s="18"/>
      <c r="T975" s="18" t="str">
        <f>IF('Global Precios'!E977="","",'Global Precios'!E977)</f>
        <v/>
      </c>
      <c r="U975" s="18"/>
      <c r="V975" s="18" t="str">
        <f t="shared" si="2"/>
        <v/>
      </c>
      <c r="W975" s="18"/>
      <c r="X975" s="18"/>
      <c r="Y975" s="18"/>
      <c r="Z975" s="18"/>
      <c r="AA975" s="18"/>
      <c r="AB975" s="18" t="str">
        <f t="shared" si="3"/>
        <v/>
      </c>
      <c r="AC975" s="18" t="str">
        <f t="shared" si="4"/>
        <v/>
      </c>
      <c r="AD975" s="18" t="str">
        <f t="shared" si="5"/>
        <v/>
      </c>
      <c r="AE975" s="18" t="str">
        <f t="shared" si="6"/>
        <v/>
      </c>
    </row>
    <row r="976">
      <c r="A976" s="9" t="str">
        <f>IF(E976="","", IF('Global Precios'!B978="",0,'Global Precios'!B978))</f>
        <v/>
      </c>
      <c r="B976" s="14" t="str">
        <f>IF('Global Precios'!B978="","",'Global Precios'!B978)</f>
        <v/>
      </c>
      <c r="C976" s="18" t="str">
        <f>IF('Global Precios'!A978="","",'Global Precios'!A978)</f>
        <v/>
      </c>
      <c r="D976" s="18"/>
      <c r="E976" s="25" t="str">
        <f>IF('Global Precios'!D978="","",'Global Precios'!D978)</f>
        <v/>
      </c>
      <c r="F976" s="18"/>
      <c r="G976" s="25" t="str">
        <f t="shared" si="7"/>
        <v/>
      </c>
      <c r="H976" s="25" t="str">
        <f t="shared" si="1"/>
        <v/>
      </c>
      <c r="I976" s="30" t="str">
        <f>IF('Global Precios'!I978="","",'Global Precios'!I978)</f>
        <v/>
      </c>
      <c r="J976" s="18" t="str">
        <f>IF('Global Precios'!K978="","",'Global Precios'!K978)</f>
        <v/>
      </c>
      <c r="K976" s="30" t="str">
        <f>IF('Global Precios'!L978="","",'Global Precios'!L978)</f>
        <v/>
      </c>
      <c r="L976" s="18"/>
      <c r="M976" s="18"/>
      <c r="N976" s="18"/>
      <c r="O976" s="18"/>
      <c r="P976" s="18"/>
      <c r="Q976" s="18"/>
      <c r="R976" s="18" t="str">
        <f>IF('Global Precios'!F978="","",'Global Precios'!F978)</f>
        <v/>
      </c>
      <c r="S976" s="18"/>
      <c r="T976" s="18" t="str">
        <f>IF('Global Precios'!E978="","",'Global Precios'!E978)</f>
        <v/>
      </c>
      <c r="U976" s="18"/>
      <c r="V976" s="18" t="str">
        <f t="shared" si="2"/>
        <v/>
      </c>
      <c r="W976" s="18"/>
      <c r="X976" s="18"/>
      <c r="Y976" s="18"/>
      <c r="Z976" s="18"/>
      <c r="AA976" s="18"/>
      <c r="AB976" s="18" t="str">
        <f t="shared" si="3"/>
        <v/>
      </c>
      <c r="AC976" s="18" t="str">
        <f t="shared" si="4"/>
        <v/>
      </c>
      <c r="AD976" s="18" t="str">
        <f t="shared" si="5"/>
        <v/>
      </c>
      <c r="AE976" s="18" t="str">
        <f t="shared" si="6"/>
        <v/>
      </c>
    </row>
    <row r="977">
      <c r="A977" s="9" t="str">
        <f>IF(E977="","", IF('Global Precios'!B979="",0,'Global Precios'!B979))</f>
        <v/>
      </c>
      <c r="B977" s="14" t="str">
        <f>IF('Global Precios'!B979="","",'Global Precios'!B979)</f>
        <v/>
      </c>
      <c r="C977" s="18" t="str">
        <f>IF('Global Precios'!A979="","",'Global Precios'!A979)</f>
        <v/>
      </c>
      <c r="D977" s="18"/>
      <c r="E977" s="25" t="str">
        <f>IF('Global Precios'!D979="","",'Global Precios'!D979)</f>
        <v/>
      </c>
      <c r="F977" s="18"/>
      <c r="G977" s="25" t="str">
        <f t="shared" si="7"/>
        <v/>
      </c>
      <c r="H977" s="25" t="str">
        <f t="shared" si="1"/>
        <v/>
      </c>
      <c r="I977" s="30" t="str">
        <f>IF('Global Precios'!I979="","",'Global Precios'!I979)</f>
        <v/>
      </c>
      <c r="J977" s="18" t="str">
        <f>IF('Global Precios'!K979="","",'Global Precios'!K979)</f>
        <v/>
      </c>
      <c r="K977" s="30" t="str">
        <f>IF('Global Precios'!L979="","",'Global Precios'!L979)</f>
        <v/>
      </c>
      <c r="L977" s="18"/>
      <c r="M977" s="18"/>
      <c r="N977" s="18"/>
      <c r="O977" s="18"/>
      <c r="P977" s="18"/>
      <c r="Q977" s="18"/>
      <c r="R977" s="18" t="str">
        <f>IF('Global Precios'!F979="","",'Global Precios'!F979)</f>
        <v/>
      </c>
      <c r="S977" s="18"/>
      <c r="T977" s="18" t="str">
        <f>IF('Global Precios'!E979="","",'Global Precios'!E979)</f>
        <v/>
      </c>
      <c r="U977" s="18"/>
      <c r="V977" s="18" t="str">
        <f t="shared" si="2"/>
        <v/>
      </c>
      <c r="W977" s="18"/>
      <c r="X977" s="18"/>
      <c r="Y977" s="18"/>
      <c r="Z977" s="18"/>
      <c r="AA977" s="18"/>
      <c r="AB977" s="18" t="str">
        <f t="shared" si="3"/>
        <v/>
      </c>
      <c r="AC977" s="18" t="str">
        <f t="shared" si="4"/>
        <v/>
      </c>
      <c r="AD977" s="18" t="str">
        <f t="shared" si="5"/>
        <v/>
      </c>
      <c r="AE977" s="18" t="str">
        <f t="shared" si="6"/>
        <v/>
      </c>
    </row>
    <row r="978">
      <c r="A978" s="9" t="str">
        <f>IF(E978="","", IF('Global Precios'!B980="",0,'Global Precios'!B980))</f>
        <v/>
      </c>
      <c r="B978" s="14" t="str">
        <f>IF('Global Precios'!B980="","",'Global Precios'!B980)</f>
        <v/>
      </c>
      <c r="C978" s="18" t="str">
        <f>IF('Global Precios'!A980="","",'Global Precios'!A980)</f>
        <v/>
      </c>
      <c r="D978" s="18"/>
      <c r="E978" s="25" t="str">
        <f>IF('Global Precios'!D980="","",'Global Precios'!D980)</f>
        <v/>
      </c>
      <c r="F978" s="18"/>
      <c r="G978" s="25" t="str">
        <f t="shared" si="7"/>
        <v/>
      </c>
      <c r="H978" s="25" t="str">
        <f t="shared" si="1"/>
        <v/>
      </c>
      <c r="I978" s="30" t="str">
        <f>IF('Global Precios'!I980="","",'Global Precios'!I980)</f>
        <v/>
      </c>
      <c r="J978" s="18" t="str">
        <f>IF('Global Precios'!K980="","",'Global Precios'!K980)</f>
        <v/>
      </c>
      <c r="K978" s="30" t="str">
        <f>IF('Global Precios'!L980="","",'Global Precios'!L980)</f>
        <v/>
      </c>
      <c r="L978" s="18"/>
      <c r="M978" s="18"/>
      <c r="N978" s="18"/>
      <c r="O978" s="18"/>
      <c r="P978" s="18"/>
      <c r="Q978" s="18"/>
      <c r="R978" s="18" t="str">
        <f>IF('Global Precios'!F980="","",'Global Precios'!F980)</f>
        <v/>
      </c>
      <c r="S978" s="18"/>
      <c r="T978" s="18" t="str">
        <f>IF('Global Precios'!E980="","",'Global Precios'!E980)</f>
        <v/>
      </c>
      <c r="U978" s="18"/>
      <c r="V978" s="18" t="str">
        <f t="shared" si="2"/>
        <v/>
      </c>
      <c r="W978" s="18"/>
      <c r="X978" s="18"/>
      <c r="Y978" s="18"/>
      <c r="Z978" s="18"/>
      <c r="AA978" s="18"/>
      <c r="AB978" s="18" t="str">
        <f t="shared" si="3"/>
        <v/>
      </c>
      <c r="AC978" s="18" t="str">
        <f t="shared" si="4"/>
        <v/>
      </c>
      <c r="AD978" s="18" t="str">
        <f t="shared" si="5"/>
        <v/>
      </c>
      <c r="AE978" s="18" t="str">
        <f t="shared" si="6"/>
        <v/>
      </c>
    </row>
    <row r="979">
      <c r="A979" s="9" t="str">
        <f>IF(E979="","", IF('Global Precios'!B981="",0,'Global Precios'!B981))</f>
        <v/>
      </c>
      <c r="B979" s="14" t="str">
        <f>IF('Global Precios'!B981="","",'Global Precios'!B981)</f>
        <v/>
      </c>
      <c r="C979" s="18" t="str">
        <f>IF('Global Precios'!A981="","",'Global Precios'!A981)</f>
        <v/>
      </c>
      <c r="D979" s="18"/>
      <c r="E979" s="25" t="str">
        <f>IF('Global Precios'!D981="","",'Global Precios'!D981)</f>
        <v/>
      </c>
      <c r="F979" s="18"/>
      <c r="G979" s="25" t="str">
        <f t="shared" si="7"/>
        <v/>
      </c>
      <c r="H979" s="25" t="str">
        <f t="shared" si="1"/>
        <v/>
      </c>
      <c r="I979" s="30" t="str">
        <f>IF('Global Precios'!I981="","",'Global Precios'!I981)</f>
        <v/>
      </c>
      <c r="J979" s="18" t="str">
        <f>IF('Global Precios'!K981="","",'Global Precios'!K981)</f>
        <v/>
      </c>
      <c r="K979" s="30" t="str">
        <f>IF('Global Precios'!L981="","",'Global Precios'!L981)</f>
        <v/>
      </c>
      <c r="L979" s="18"/>
      <c r="M979" s="18"/>
      <c r="N979" s="18"/>
      <c r="O979" s="18"/>
      <c r="P979" s="18"/>
      <c r="Q979" s="18"/>
      <c r="R979" s="18" t="str">
        <f>IF('Global Precios'!F981="","",'Global Precios'!F981)</f>
        <v/>
      </c>
      <c r="S979" s="18"/>
      <c r="T979" s="18" t="str">
        <f>IF('Global Precios'!E981="","",'Global Precios'!E981)</f>
        <v/>
      </c>
      <c r="U979" s="18"/>
      <c r="V979" s="18" t="str">
        <f t="shared" si="2"/>
        <v/>
      </c>
      <c r="W979" s="18"/>
      <c r="X979" s="18"/>
      <c r="Y979" s="18"/>
      <c r="Z979" s="18"/>
      <c r="AA979" s="18"/>
      <c r="AB979" s="18" t="str">
        <f t="shared" si="3"/>
        <v/>
      </c>
      <c r="AC979" s="18" t="str">
        <f t="shared" si="4"/>
        <v/>
      </c>
      <c r="AD979" s="18" t="str">
        <f t="shared" si="5"/>
        <v/>
      </c>
      <c r="AE979" s="18" t="str">
        <f t="shared" si="6"/>
        <v/>
      </c>
    </row>
    <row r="980">
      <c r="A980" s="9" t="str">
        <f>IF(E980="","", IF('Global Precios'!B982="",0,'Global Precios'!B982))</f>
        <v/>
      </c>
      <c r="B980" s="14" t="str">
        <f>IF('Global Precios'!B982="","",'Global Precios'!B982)</f>
        <v/>
      </c>
      <c r="C980" s="18" t="str">
        <f>IF('Global Precios'!A982="","",'Global Precios'!A982)</f>
        <v/>
      </c>
      <c r="D980" s="18"/>
      <c r="E980" s="25" t="str">
        <f>IF('Global Precios'!D982="","",'Global Precios'!D982)</f>
        <v/>
      </c>
      <c r="F980" s="18"/>
      <c r="G980" s="25" t="str">
        <f t="shared" si="7"/>
        <v/>
      </c>
      <c r="H980" s="25" t="str">
        <f t="shared" si="1"/>
        <v/>
      </c>
      <c r="I980" s="30" t="str">
        <f>IF('Global Precios'!I982="","",'Global Precios'!I982)</f>
        <v/>
      </c>
      <c r="J980" s="18" t="str">
        <f>IF('Global Precios'!K982="","",'Global Precios'!K982)</f>
        <v/>
      </c>
      <c r="K980" s="30" t="str">
        <f>IF('Global Precios'!L982="","",'Global Precios'!L982)</f>
        <v/>
      </c>
      <c r="L980" s="18"/>
      <c r="M980" s="18"/>
      <c r="N980" s="18"/>
      <c r="O980" s="18"/>
      <c r="P980" s="18"/>
      <c r="Q980" s="18"/>
      <c r="R980" s="18" t="str">
        <f>IF('Global Precios'!F982="","",'Global Precios'!F982)</f>
        <v/>
      </c>
      <c r="S980" s="18"/>
      <c r="T980" s="18" t="str">
        <f>IF('Global Precios'!E982="","",'Global Precios'!E982)</f>
        <v/>
      </c>
      <c r="U980" s="18"/>
      <c r="V980" s="18" t="str">
        <f t="shared" si="2"/>
        <v/>
      </c>
      <c r="W980" s="18"/>
      <c r="X980" s="18"/>
      <c r="Y980" s="18"/>
      <c r="Z980" s="18"/>
      <c r="AA980" s="18"/>
      <c r="AB980" s="18" t="str">
        <f t="shared" si="3"/>
        <v/>
      </c>
      <c r="AC980" s="18" t="str">
        <f t="shared" si="4"/>
        <v/>
      </c>
      <c r="AD980" s="18" t="str">
        <f t="shared" si="5"/>
        <v/>
      </c>
      <c r="AE980" s="18" t="str">
        <f t="shared" si="6"/>
        <v/>
      </c>
    </row>
    <row r="981">
      <c r="A981" s="9" t="str">
        <f>IF(E981="","", IF('Global Precios'!B983="",0,'Global Precios'!B983))</f>
        <v/>
      </c>
      <c r="B981" s="14" t="str">
        <f>IF('Global Precios'!B983="","",'Global Precios'!B983)</f>
        <v/>
      </c>
      <c r="C981" s="18" t="str">
        <f>IF('Global Precios'!A983="","",'Global Precios'!A983)</f>
        <v/>
      </c>
      <c r="D981" s="18"/>
      <c r="E981" s="25" t="str">
        <f>IF('Global Precios'!D983="","",'Global Precios'!D983)</f>
        <v/>
      </c>
      <c r="F981" s="18"/>
      <c r="G981" s="25" t="str">
        <f t="shared" si="7"/>
        <v/>
      </c>
      <c r="H981" s="25" t="str">
        <f t="shared" si="1"/>
        <v/>
      </c>
      <c r="I981" s="30" t="str">
        <f>IF('Global Precios'!I983="","",'Global Precios'!I983)</f>
        <v/>
      </c>
      <c r="J981" s="18" t="str">
        <f>IF('Global Precios'!K983="","",'Global Precios'!K983)</f>
        <v/>
      </c>
      <c r="K981" s="30" t="str">
        <f>IF('Global Precios'!L983="","",'Global Precios'!L983)</f>
        <v/>
      </c>
      <c r="L981" s="18"/>
      <c r="M981" s="18"/>
      <c r="N981" s="18"/>
      <c r="O981" s="18"/>
      <c r="P981" s="18"/>
      <c r="Q981" s="18"/>
      <c r="R981" s="18" t="str">
        <f>IF('Global Precios'!F983="","",'Global Precios'!F983)</f>
        <v/>
      </c>
      <c r="S981" s="18"/>
      <c r="T981" s="18" t="str">
        <f>IF('Global Precios'!E983="","",'Global Precios'!E983)</f>
        <v/>
      </c>
      <c r="U981" s="18"/>
      <c r="V981" s="18" t="str">
        <f t="shared" si="2"/>
        <v/>
      </c>
      <c r="W981" s="18"/>
      <c r="X981" s="18"/>
      <c r="Y981" s="18"/>
      <c r="Z981" s="18"/>
      <c r="AA981" s="18"/>
      <c r="AB981" s="18" t="str">
        <f t="shared" si="3"/>
        <v/>
      </c>
      <c r="AC981" s="18" t="str">
        <f t="shared" si="4"/>
        <v/>
      </c>
      <c r="AD981" s="18" t="str">
        <f t="shared" si="5"/>
        <v/>
      </c>
      <c r="AE981" s="18" t="str">
        <f t="shared" si="6"/>
        <v/>
      </c>
    </row>
    <row r="982">
      <c r="A982" s="9" t="str">
        <f>IF(E982="","", IF('Global Precios'!B984="",0,'Global Precios'!B984))</f>
        <v/>
      </c>
      <c r="B982" s="14" t="str">
        <f>IF('Global Precios'!B984="","",'Global Precios'!B984)</f>
        <v/>
      </c>
      <c r="C982" s="18" t="str">
        <f>IF('Global Precios'!A984="","",'Global Precios'!A984)</f>
        <v/>
      </c>
      <c r="D982" s="18"/>
      <c r="E982" s="25" t="str">
        <f>IF('Global Precios'!D984="","",'Global Precios'!D984)</f>
        <v/>
      </c>
      <c r="F982" s="18"/>
      <c r="G982" s="25" t="str">
        <f t="shared" si="7"/>
        <v/>
      </c>
      <c r="H982" s="25" t="str">
        <f t="shared" si="1"/>
        <v/>
      </c>
      <c r="I982" s="30" t="str">
        <f>IF('Global Precios'!I984="","",'Global Precios'!I984)</f>
        <v/>
      </c>
      <c r="J982" s="18" t="str">
        <f>IF('Global Precios'!K984="","",'Global Precios'!K984)</f>
        <v/>
      </c>
      <c r="K982" s="30" t="str">
        <f>IF('Global Precios'!L984="","",'Global Precios'!L984)</f>
        <v/>
      </c>
      <c r="L982" s="18"/>
      <c r="M982" s="18"/>
      <c r="N982" s="18"/>
      <c r="O982" s="18"/>
      <c r="P982" s="18"/>
      <c r="Q982" s="18"/>
      <c r="R982" s="18" t="str">
        <f>IF('Global Precios'!F984="","",'Global Precios'!F984)</f>
        <v/>
      </c>
      <c r="S982" s="18"/>
      <c r="T982" s="18" t="str">
        <f>IF('Global Precios'!E984="","",'Global Precios'!E984)</f>
        <v/>
      </c>
      <c r="U982" s="18"/>
      <c r="V982" s="18" t="str">
        <f t="shared" si="2"/>
        <v/>
      </c>
      <c r="W982" s="18"/>
      <c r="X982" s="18"/>
      <c r="Y982" s="18"/>
      <c r="Z982" s="18"/>
      <c r="AA982" s="18"/>
      <c r="AB982" s="18" t="str">
        <f t="shared" si="3"/>
        <v/>
      </c>
      <c r="AC982" s="18" t="str">
        <f t="shared" si="4"/>
        <v/>
      </c>
      <c r="AD982" s="18" t="str">
        <f t="shared" si="5"/>
        <v/>
      </c>
      <c r="AE982" s="18" t="str">
        <f t="shared" si="6"/>
        <v/>
      </c>
    </row>
    <row r="983">
      <c r="A983" s="9" t="str">
        <f>IF(E983="","", IF('Global Precios'!B985="",0,'Global Precios'!B985))</f>
        <v/>
      </c>
      <c r="B983" s="14" t="str">
        <f>IF('Global Precios'!B985="","",'Global Precios'!B985)</f>
        <v/>
      </c>
      <c r="C983" s="18" t="str">
        <f>IF('Global Precios'!A985="","",'Global Precios'!A985)</f>
        <v/>
      </c>
      <c r="D983" s="18"/>
      <c r="E983" s="25" t="str">
        <f>IF('Global Precios'!D985="","",'Global Precios'!D985)</f>
        <v/>
      </c>
      <c r="F983" s="18"/>
      <c r="G983" s="25" t="str">
        <f t="shared" si="7"/>
        <v/>
      </c>
      <c r="H983" s="25" t="str">
        <f t="shared" si="1"/>
        <v/>
      </c>
      <c r="I983" s="30" t="str">
        <f>IF('Global Precios'!I985="","",'Global Precios'!I985)</f>
        <v/>
      </c>
      <c r="J983" s="18" t="str">
        <f>IF('Global Precios'!K985="","",'Global Precios'!K985)</f>
        <v/>
      </c>
      <c r="K983" s="30" t="str">
        <f>IF('Global Precios'!L985="","",'Global Precios'!L985)</f>
        <v/>
      </c>
      <c r="L983" s="18"/>
      <c r="M983" s="18"/>
      <c r="N983" s="18"/>
      <c r="O983" s="18"/>
      <c r="P983" s="18"/>
      <c r="Q983" s="18"/>
      <c r="R983" s="18" t="str">
        <f>IF('Global Precios'!F985="","",'Global Precios'!F985)</f>
        <v/>
      </c>
      <c r="S983" s="18"/>
      <c r="T983" s="18" t="str">
        <f>IF('Global Precios'!E985="","",'Global Precios'!E985)</f>
        <v/>
      </c>
      <c r="U983" s="18"/>
      <c r="V983" s="18" t="str">
        <f t="shared" si="2"/>
        <v/>
      </c>
      <c r="W983" s="18"/>
      <c r="X983" s="18"/>
      <c r="Y983" s="18"/>
      <c r="Z983" s="18"/>
      <c r="AA983" s="18"/>
      <c r="AB983" s="18" t="str">
        <f t="shared" si="3"/>
        <v/>
      </c>
      <c r="AC983" s="18" t="str">
        <f t="shared" si="4"/>
        <v/>
      </c>
      <c r="AD983" s="18" t="str">
        <f t="shared" si="5"/>
        <v/>
      </c>
      <c r="AE983" s="18" t="str">
        <f t="shared" si="6"/>
        <v/>
      </c>
    </row>
    <row r="984">
      <c r="A984" s="9" t="str">
        <f>IF(E984="","", IF('Global Precios'!B986="",0,'Global Precios'!B986))</f>
        <v/>
      </c>
      <c r="B984" s="14" t="str">
        <f>IF('Global Precios'!B986="","",'Global Precios'!B986)</f>
        <v/>
      </c>
      <c r="C984" s="18" t="str">
        <f>IF('Global Precios'!A986="","",'Global Precios'!A986)</f>
        <v/>
      </c>
      <c r="D984" s="18"/>
      <c r="E984" s="25" t="str">
        <f>IF('Global Precios'!D986="","",'Global Precios'!D986)</f>
        <v/>
      </c>
      <c r="F984" s="18"/>
      <c r="G984" s="25" t="str">
        <f t="shared" si="7"/>
        <v/>
      </c>
      <c r="H984" s="25" t="str">
        <f t="shared" si="1"/>
        <v/>
      </c>
      <c r="I984" s="30" t="str">
        <f>IF('Global Precios'!I986="","",'Global Precios'!I986)</f>
        <v/>
      </c>
      <c r="J984" s="18" t="str">
        <f>IF('Global Precios'!K986="","",'Global Precios'!K986)</f>
        <v/>
      </c>
      <c r="K984" s="30" t="str">
        <f>IF('Global Precios'!L986="","",'Global Precios'!L986)</f>
        <v/>
      </c>
      <c r="L984" s="18"/>
      <c r="M984" s="18"/>
      <c r="N984" s="18"/>
      <c r="O984" s="18"/>
      <c r="P984" s="18"/>
      <c r="Q984" s="18"/>
      <c r="R984" s="18" t="str">
        <f>IF('Global Precios'!F986="","",'Global Precios'!F986)</f>
        <v/>
      </c>
      <c r="S984" s="18"/>
      <c r="T984" s="18" t="str">
        <f>IF('Global Precios'!E986="","",'Global Precios'!E986)</f>
        <v/>
      </c>
      <c r="U984" s="18"/>
      <c r="V984" s="18" t="str">
        <f t="shared" si="2"/>
        <v/>
      </c>
      <c r="W984" s="18"/>
      <c r="X984" s="18"/>
      <c r="Y984" s="18"/>
      <c r="Z984" s="18"/>
      <c r="AA984" s="18"/>
      <c r="AB984" s="18" t="str">
        <f t="shared" si="3"/>
        <v/>
      </c>
      <c r="AC984" s="18" t="str">
        <f t="shared" si="4"/>
        <v/>
      </c>
      <c r="AD984" s="18" t="str">
        <f t="shared" si="5"/>
        <v/>
      </c>
      <c r="AE984" s="18" t="str">
        <f t="shared" si="6"/>
        <v/>
      </c>
    </row>
    <row r="985">
      <c r="A985" s="9" t="str">
        <f>IF(E985="","", IF('Global Precios'!B987="",0,'Global Precios'!B987))</f>
        <v/>
      </c>
      <c r="B985" s="14" t="str">
        <f>IF('Global Precios'!B987="","",'Global Precios'!B987)</f>
        <v/>
      </c>
      <c r="C985" s="18" t="str">
        <f>IF('Global Precios'!A987="","",'Global Precios'!A987)</f>
        <v/>
      </c>
      <c r="D985" s="18"/>
      <c r="E985" s="25" t="str">
        <f>IF('Global Precios'!D987="","",'Global Precios'!D987)</f>
        <v/>
      </c>
      <c r="F985" s="18"/>
      <c r="G985" s="25" t="str">
        <f t="shared" si="7"/>
        <v/>
      </c>
      <c r="H985" s="25" t="str">
        <f t="shared" si="1"/>
        <v/>
      </c>
      <c r="I985" s="30" t="str">
        <f>IF('Global Precios'!I987="","",'Global Precios'!I987)</f>
        <v/>
      </c>
      <c r="J985" s="18" t="str">
        <f>IF('Global Precios'!K987="","",'Global Precios'!K987)</f>
        <v/>
      </c>
      <c r="K985" s="30" t="str">
        <f>IF('Global Precios'!L987="","",'Global Precios'!L987)</f>
        <v/>
      </c>
      <c r="L985" s="18"/>
      <c r="M985" s="18"/>
      <c r="N985" s="18"/>
      <c r="O985" s="18"/>
      <c r="P985" s="18"/>
      <c r="Q985" s="18"/>
      <c r="R985" s="18" t="str">
        <f>IF('Global Precios'!F987="","",'Global Precios'!F987)</f>
        <v/>
      </c>
      <c r="S985" s="18"/>
      <c r="T985" s="18" t="str">
        <f>IF('Global Precios'!E987="","",'Global Precios'!E987)</f>
        <v/>
      </c>
      <c r="U985" s="18"/>
      <c r="V985" s="18" t="str">
        <f t="shared" si="2"/>
        <v/>
      </c>
      <c r="W985" s="18"/>
      <c r="X985" s="18"/>
      <c r="Y985" s="18"/>
      <c r="Z985" s="18"/>
      <c r="AA985" s="18"/>
      <c r="AB985" s="18" t="str">
        <f t="shared" si="3"/>
        <v/>
      </c>
      <c r="AC985" s="18" t="str">
        <f t="shared" si="4"/>
        <v/>
      </c>
      <c r="AD985" s="18" t="str">
        <f t="shared" si="5"/>
        <v/>
      </c>
      <c r="AE985" s="18" t="str">
        <f t="shared" si="6"/>
        <v/>
      </c>
    </row>
    <row r="986">
      <c r="A986" s="9" t="str">
        <f>IF(E986="","", IF('Global Precios'!B988="",0,'Global Precios'!B988))</f>
        <v/>
      </c>
      <c r="B986" s="14" t="str">
        <f>IF('Global Precios'!B988="","",'Global Precios'!B988)</f>
        <v/>
      </c>
      <c r="C986" s="18" t="str">
        <f>IF('Global Precios'!A988="","",'Global Precios'!A988)</f>
        <v/>
      </c>
      <c r="D986" s="18"/>
      <c r="E986" s="25" t="str">
        <f>IF('Global Precios'!D988="","",'Global Precios'!D988)</f>
        <v/>
      </c>
      <c r="F986" s="18"/>
      <c r="G986" s="25" t="str">
        <f t="shared" si="7"/>
        <v/>
      </c>
      <c r="H986" s="25" t="str">
        <f t="shared" si="1"/>
        <v/>
      </c>
      <c r="I986" s="30" t="str">
        <f>IF('Global Precios'!I988="","",'Global Precios'!I988)</f>
        <v/>
      </c>
      <c r="J986" s="18" t="str">
        <f>IF('Global Precios'!K988="","",'Global Precios'!K988)</f>
        <v/>
      </c>
      <c r="K986" s="30" t="str">
        <f>IF('Global Precios'!L988="","",'Global Precios'!L988)</f>
        <v/>
      </c>
      <c r="L986" s="18"/>
      <c r="M986" s="18"/>
      <c r="N986" s="18"/>
      <c r="O986" s="18"/>
      <c r="P986" s="18"/>
      <c r="Q986" s="18"/>
      <c r="R986" s="18" t="str">
        <f>IF('Global Precios'!F988="","",'Global Precios'!F988)</f>
        <v/>
      </c>
      <c r="S986" s="18"/>
      <c r="T986" s="18" t="str">
        <f>IF('Global Precios'!E988="","",'Global Precios'!E988)</f>
        <v/>
      </c>
      <c r="U986" s="18"/>
      <c r="V986" s="18" t="str">
        <f t="shared" si="2"/>
        <v/>
      </c>
      <c r="W986" s="18"/>
      <c r="X986" s="18"/>
      <c r="Y986" s="18"/>
      <c r="Z986" s="18"/>
      <c r="AA986" s="18"/>
      <c r="AB986" s="18" t="str">
        <f t="shared" si="3"/>
        <v/>
      </c>
      <c r="AC986" s="18" t="str">
        <f t="shared" si="4"/>
        <v/>
      </c>
      <c r="AD986" s="18" t="str">
        <f t="shared" si="5"/>
        <v/>
      </c>
      <c r="AE986" s="18" t="str">
        <f t="shared" si="6"/>
        <v/>
      </c>
    </row>
    <row r="987">
      <c r="A987" s="9" t="str">
        <f>IF(E987="","", IF('Global Precios'!B989="",0,'Global Precios'!B989))</f>
        <v/>
      </c>
      <c r="B987" s="14" t="str">
        <f>IF('Global Precios'!B989="","",'Global Precios'!B989)</f>
        <v/>
      </c>
      <c r="C987" s="18" t="str">
        <f>IF('Global Precios'!A989="","",'Global Precios'!A989)</f>
        <v/>
      </c>
      <c r="D987" s="18"/>
      <c r="E987" s="25" t="str">
        <f>IF('Global Precios'!D989="","",'Global Precios'!D989)</f>
        <v/>
      </c>
      <c r="F987" s="18"/>
      <c r="G987" s="25" t="str">
        <f t="shared" si="7"/>
        <v/>
      </c>
      <c r="H987" s="25" t="str">
        <f t="shared" si="1"/>
        <v/>
      </c>
      <c r="I987" s="30" t="str">
        <f>IF('Global Precios'!I989="","",'Global Precios'!I989)</f>
        <v/>
      </c>
      <c r="J987" s="18" t="str">
        <f>IF('Global Precios'!K989="","",'Global Precios'!K989)</f>
        <v/>
      </c>
      <c r="K987" s="30" t="str">
        <f>IF('Global Precios'!L989="","",'Global Precios'!L989)</f>
        <v/>
      </c>
      <c r="L987" s="18"/>
      <c r="M987" s="18"/>
      <c r="N987" s="18"/>
      <c r="O987" s="18"/>
      <c r="P987" s="18"/>
      <c r="Q987" s="18"/>
      <c r="R987" s="18" t="str">
        <f>IF('Global Precios'!F989="","",'Global Precios'!F989)</f>
        <v/>
      </c>
      <c r="S987" s="18"/>
      <c r="T987" s="18" t="str">
        <f>IF('Global Precios'!E989="","",'Global Precios'!E989)</f>
        <v/>
      </c>
      <c r="U987" s="18"/>
      <c r="V987" s="18" t="str">
        <f t="shared" si="2"/>
        <v/>
      </c>
      <c r="W987" s="18"/>
      <c r="X987" s="18"/>
      <c r="Y987" s="18"/>
      <c r="Z987" s="18"/>
      <c r="AA987" s="18"/>
      <c r="AB987" s="18" t="str">
        <f t="shared" si="3"/>
        <v/>
      </c>
      <c r="AC987" s="18" t="str">
        <f t="shared" si="4"/>
        <v/>
      </c>
      <c r="AD987" s="18" t="str">
        <f t="shared" si="5"/>
        <v/>
      </c>
      <c r="AE987" s="18" t="str">
        <f t="shared" si="6"/>
        <v/>
      </c>
    </row>
    <row r="988">
      <c r="A988" s="9" t="str">
        <f>IF(E988="","", IF('Global Precios'!B990="",0,'Global Precios'!B990))</f>
        <v/>
      </c>
      <c r="B988" s="14" t="str">
        <f>IF('Global Precios'!B990="","",'Global Precios'!B990)</f>
        <v/>
      </c>
      <c r="C988" s="18" t="str">
        <f>IF('Global Precios'!A990="","",'Global Precios'!A990)</f>
        <v/>
      </c>
      <c r="D988" s="18"/>
      <c r="E988" s="25" t="str">
        <f>IF('Global Precios'!D990="","",'Global Precios'!D990)</f>
        <v/>
      </c>
      <c r="F988" s="18"/>
      <c r="G988" s="25" t="str">
        <f t="shared" si="7"/>
        <v/>
      </c>
      <c r="H988" s="25" t="str">
        <f t="shared" si="1"/>
        <v/>
      </c>
      <c r="I988" s="30" t="str">
        <f>IF('Global Precios'!I990="","",'Global Precios'!I990)</f>
        <v/>
      </c>
      <c r="J988" s="18" t="str">
        <f>IF('Global Precios'!K990="","",'Global Precios'!K990)</f>
        <v/>
      </c>
      <c r="K988" s="30" t="str">
        <f>IF('Global Precios'!L990="","",'Global Precios'!L990)</f>
        <v/>
      </c>
      <c r="L988" s="18"/>
      <c r="M988" s="18"/>
      <c r="N988" s="18"/>
      <c r="O988" s="18"/>
      <c r="P988" s="18"/>
      <c r="Q988" s="18"/>
      <c r="R988" s="18" t="str">
        <f>IF('Global Precios'!F990="","",'Global Precios'!F990)</f>
        <v/>
      </c>
      <c r="S988" s="18"/>
      <c r="T988" s="18" t="str">
        <f>IF('Global Precios'!E990="","",'Global Precios'!E990)</f>
        <v/>
      </c>
      <c r="U988" s="18"/>
      <c r="V988" s="18" t="str">
        <f t="shared" si="2"/>
        <v/>
      </c>
      <c r="W988" s="18"/>
      <c r="X988" s="18"/>
      <c r="Y988" s="18"/>
      <c r="Z988" s="18"/>
      <c r="AA988" s="18"/>
      <c r="AB988" s="18" t="str">
        <f t="shared" si="3"/>
        <v/>
      </c>
      <c r="AC988" s="18" t="str">
        <f t="shared" si="4"/>
        <v/>
      </c>
      <c r="AD988" s="18" t="str">
        <f t="shared" si="5"/>
        <v/>
      </c>
      <c r="AE988" s="18" t="str">
        <f t="shared" si="6"/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</cols>
  <sheetData>
    <row r="1">
      <c r="A1" s="1" t="s">
        <v>1</v>
      </c>
      <c r="B1" s="3" t="s">
        <v>2</v>
      </c>
    </row>
    <row r="2">
      <c r="A2" s="5" t="s">
        <v>5</v>
      </c>
      <c r="B2" s="11">
        <v>29077.0</v>
      </c>
    </row>
    <row r="3">
      <c r="A3" s="12" t="s">
        <v>14</v>
      </c>
      <c r="B3" s="11">
        <v>126834.0</v>
      </c>
    </row>
    <row r="4">
      <c r="A4" s="5" t="s">
        <v>19</v>
      </c>
      <c r="B4" s="11">
        <v>286188.0</v>
      </c>
    </row>
    <row r="5">
      <c r="A5" s="5" t="s">
        <v>20</v>
      </c>
      <c r="B5" s="11">
        <v>28433.0</v>
      </c>
    </row>
    <row r="6">
      <c r="A6" s="5" t="s">
        <v>23</v>
      </c>
      <c r="B6" s="11">
        <v>125314.0</v>
      </c>
    </row>
    <row r="7">
      <c r="A7" s="12" t="s">
        <v>25</v>
      </c>
      <c r="B7" s="11">
        <v>294028.0</v>
      </c>
    </row>
    <row r="8">
      <c r="A8" s="5" t="s">
        <v>27</v>
      </c>
      <c r="B8" s="11">
        <v>114799.0</v>
      </c>
    </row>
    <row r="9">
      <c r="A9" s="5" t="s">
        <v>29</v>
      </c>
      <c r="B9" s="11">
        <v>538239.0</v>
      </c>
    </row>
    <row r="10">
      <c r="A10" s="12" t="s">
        <v>32</v>
      </c>
      <c r="B10" s="11">
        <v>47358.0</v>
      </c>
    </row>
    <row r="11">
      <c r="A11" s="5" t="s">
        <v>33</v>
      </c>
      <c r="B11" s="11">
        <v>20048.0</v>
      </c>
    </row>
    <row r="12">
      <c r="A12" s="5" t="s">
        <v>35</v>
      </c>
      <c r="B12" s="11">
        <v>36556.0</v>
      </c>
    </row>
    <row r="13">
      <c r="A13" s="5" t="s">
        <v>38</v>
      </c>
      <c r="B13" s="11">
        <v>27573.0</v>
      </c>
    </row>
    <row r="14">
      <c r="A14" s="5" t="s">
        <v>39</v>
      </c>
      <c r="B14" s="11">
        <v>19269.0</v>
      </c>
    </row>
    <row r="15">
      <c r="A15" s="5" t="s">
        <v>41</v>
      </c>
      <c r="B15" s="11">
        <v>80295.0</v>
      </c>
    </row>
    <row r="16">
      <c r="A16" s="5" t="s">
        <v>43</v>
      </c>
      <c r="B16" s="11">
        <v>34427.0</v>
      </c>
    </row>
    <row r="17">
      <c r="A17" s="5" t="s">
        <v>45</v>
      </c>
      <c r="B17" s="11">
        <v>29342.0</v>
      </c>
    </row>
    <row r="18">
      <c r="A18" s="5" t="s">
        <v>48</v>
      </c>
      <c r="B18" s="11">
        <v>22470.0</v>
      </c>
    </row>
    <row r="19">
      <c r="A19" s="5" t="s">
        <v>50</v>
      </c>
      <c r="B19" s="11">
        <v>23901.0</v>
      </c>
    </row>
    <row r="20">
      <c r="A20" s="5" t="s">
        <v>52</v>
      </c>
      <c r="B20" s="11">
        <v>69952.0</v>
      </c>
    </row>
    <row r="21">
      <c r="A21" s="5" t="s">
        <v>53</v>
      </c>
      <c r="B21" s="11">
        <v>21152.0</v>
      </c>
    </row>
    <row r="22">
      <c r="A22" s="5" t="s">
        <v>55</v>
      </c>
      <c r="B22" s="11">
        <v>16382.0</v>
      </c>
    </row>
    <row r="23">
      <c r="A23" s="12" t="s">
        <v>56</v>
      </c>
      <c r="B23" s="11">
        <v>29520.0</v>
      </c>
    </row>
    <row r="24">
      <c r="A24" s="5" t="s">
        <v>59</v>
      </c>
      <c r="B24" s="11">
        <v>139607.0</v>
      </c>
    </row>
    <row r="25">
      <c r="A25" s="12" t="s">
        <v>60</v>
      </c>
      <c r="B25" s="11">
        <v>101002.0</v>
      </c>
    </row>
    <row r="26">
      <c r="A26" s="5" t="s">
        <v>62</v>
      </c>
      <c r="B26" s="11">
        <v>3606.0</v>
      </c>
    </row>
    <row r="27">
      <c r="A27" s="5" t="s">
        <v>63</v>
      </c>
      <c r="B27" s="11">
        <v>44385.0</v>
      </c>
    </row>
    <row r="28">
      <c r="A28" s="5" t="s">
        <v>65</v>
      </c>
      <c r="B28" s="11">
        <v>15476.0</v>
      </c>
    </row>
    <row r="29">
      <c r="A29" s="5" t="s">
        <v>67</v>
      </c>
      <c r="B29" s="11">
        <v>2723.0</v>
      </c>
    </row>
    <row r="30">
      <c r="A30" s="5" t="s">
        <v>69</v>
      </c>
      <c r="B30" s="11">
        <v>6701.0</v>
      </c>
    </row>
    <row r="31">
      <c r="A31" s="5" t="s">
        <v>71</v>
      </c>
      <c r="B31" s="11">
        <v>12702.0</v>
      </c>
    </row>
    <row r="32">
      <c r="A32" s="5" t="s">
        <v>72</v>
      </c>
      <c r="B32" s="11">
        <v>22138.0</v>
      </c>
    </row>
    <row r="33">
      <c r="A33" s="5" t="s">
        <v>73</v>
      </c>
      <c r="B33" s="11">
        <v>62232.0</v>
      </c>
    </row>
    <row r="34">
      <c r="A34" s="5" t="s">
        <v>74</v>
      </c>
      <c r="B34" s="11">
        <v>10182.0</v>
      </c>
    </row>
    <row r="35">
      <c r="A35" s="5" t="s">
        <v>75</v>
      </c>
      <c r="B35" s="11">
        <v>12602.0</v>
      </c>
    </row>
    <row r="36">
      <c r="A36" s="5" t="s">
        <v>76</v>
      </c>
      <c r="B36" s="11">
        <v>14545.0</v>
      </c>
    </row>
    <row r="37">
      <c r="A37" s="5" t="s">
        <v>77</v>
      </c>
      <c r="B37" s="11">
        <v>9980.0</v>
      </c>
    </row>
    <row r="38">
      <c r="A38" s="5" t="s">
        <v>79</v>
      </c>
      <c r="B38" s="11">
        <v>13324.0</v>
      </c>
    </row>
    <row r="39">
      <c r="A39" s="5" t="s">
        <v>81</v>
      </c>
      <c r="B39" s="11">
        <v>38236.0</v>
      </c>
    </row>
    <row r="40">
      <c r="A40" s="5" t="s">
        <v>83</v>
      </c>
      <c r="B40" s="11">
        <v>28173.0</v>
      </c>
    </row>
    <row r="41">
      <c r="A41" s="12" t="s">
        <v>84</v>
      </c>
      <c r="B41" s="11">
        <v>29661.0</v>
      </c>
    </row>
    <row r="42">
      <c r="A42" s="5" t="s">
        <v>86</v>
      </c>
      <c r="B42" s="11">
        <v>11468.0</v>
      </c>
    </row>
    <row r="43">
      <c r="A43" s="12" t="s">
        <v>88</v>
      </c>
      <c r="B43" s="11">
        <v>49123.0</v>
      </c>
    </row>
    <row r="44">
      <c r="A44" s="5" t="s">
        <v>90</v>
      </c>
      <c r="B44" s="11">
        <v>8480.0</v>
      </c>
    </row>
    <row r="45">
      <c r="A45" s="5" t="s">
        <v>91</v>
      </c>
      <c r="B45" s="11">
        <v>19407.0</v>
      </c>
    </row>
    <row r="46">
      <c r="A46" s="5" t="s">
        <v>92</v>
      </c>
      <c r="B46" s="11">
        <v>16981.0</v>
      </c>
    </row>
    <row r="47">
      <c r="A47" s="5" t="s">
        <v>93</v>
      </c>
      <c r="B47" s="11">
        <v>19546.0</v>
      </c>
    </row>
    <row r="48">
      <c r="A48" s="12" t="s">
        <v>94</v>
      </c>
      <c r="B48" s="11">
        <v>18295.0</v>
      </c>
    </row>
    <row r="49">
      <c r="A49" s="5" t="s">
        <v>95</v>
      </c>
      <c r="B49" s="11">
        <v>45447.0</v>
      </c>
    </row>
    <row r="50">
      <c r="A50" s="5" t="s">
        <v>97</v>
      </c>
      <c r="B50" s="11">
        <v>10605.0</v>
      </c>
    </row>
    <row r="51">
      <c r="A51" s="5" t="s">
        <v>98</v>
      </c>
      <c r="B51" s="11">
        <v>8164.0</v>
      </c>
    </row>
    <row r="52">
      <c r="A52" s="5" t="s">
        <v>99</v>
      </c>
      <c r="B52" s="11">
        <v>12242.0</v>
      </c>
    </row>
    <row r="53">
      <c r="A53" s="5" t="s">
        <v>101</v>
      </c>
      <c r="B53" s="11">
        <v>9861.0</v>
      </c>
    </row>
    <row r="54">
      <c r="A54" s="5" t="s">
        <v>102</v>
      </c>
      <c r="B54" s="11">
        <v>27639.0</v>
      </c>
    </row>
    <row r="55">
      <c r="A55" s="5" t="s">
        <v>103</v>
      </c>
      <c r="B55" s="11">
        <v>9320.0</v>
      </c>
    </row>
    <row r="56">
      <c r="A56" s="12" t="s">
        <v>104</v>
      </c>
      <c r="B56" s="11">
        <v>19746.0</v>
      </c>
    </row>
    <row r="57">
      <c r="A57" s="5" t="s">
        <v>106</v>
      </c>
      <c r="B57" s="11">
        <v>11597.0</v>
      </c>
    </row>
    <row r="58">
      <c r="A58" s="5" t="s">
        <v>107</v>
      </c>
      <c r="B58" s="11">
        <v>7535.0</v>
      </c>
    </row>
    <row r="59">
      <c r="A59" s="5" t="s">
        <v>109</v>
      </c>
      <c r="B59" s="11">
        <v>18919.0</v>
      </c>
    </row>
    <row r="60">
      <c r="A60" s="5" t="s">
        <v>111</v>
      </c>
      <c r="B60" s="11">
        <v>23996.0</v>
      </c>
    </row>
    <row r="61">
      <c r="A61" s="5" t="s">
        <v>113</v>
      </c>
      <c r="B61" s="11">
        <v>22738.0</v>
      </c>
    </row>
    <row r="62">
      <c r="A62" s="5" t="s">
        <v>114</v>
      </c>
      <c r="B62" s="11">
        <v>17273.0</v>
      </c>
    </row>
    <row r="63">
      <c r="A63" s="5" t="s">
        <v>116</v>
      </c>
      <c r="B63" s="11">
        <v>22542.0</v>
      </c>
    </row>
    <row r="64">
      <c r="A64" s="5" t="s">
        <v>118</v>
      </c>
      <c r="B64" s="11">
        <v>18710.0</v>
      </c>
    </row>
    <row r="65">
      <c r="A65" s="12" t="s">
        <v>119</v>
      </c>
      <c r="B65" s="11">
        <v>26914.0</v>
      </c>
    </row>
    <row r="66">
      <c r="A66" s="5" t="s">
        <v>120</v>
      </c>
      <c r="B66" s="11">
        <v>5697.0</v>
      </c>
    </row>
    <row r="67">
      <c r="A67" s="12" t="s">
        <v>122</v>
      </c>
      <c r="B67" s="11">
        <v>33419.0</v>
      </c>
    </row>
    <row r="68">
      <c r="A68" s="5" t="s">
        <v>123</v>
      </c>
      <c r="B68" s="11">
        <v>17125.0</v>
      </c>
    </row>
    <row r="69">
      <c r="A69" s="5" t="s">
        <v>125</v>
      </c>
      <c r="B69" s="11">
        <v>163340.0</v>
      </c>
    </row>
    <row r="70">
      <c r="A70" s="5" t="s">
        <v>126</v>
      </c>
      <c r="B70" s="11">
        <v>8787.0</v>
      </c>
    </row>
    <row r="71">
      <c r="A71" s="5" t="s">
        <v>127</v>
      </c>
      <c r="B71" s="11">
        <v>297640.0</v>
      </c>
    </row>
    <row r="72">
      <c r="A72" s="5" t="s">
        <v>129</v>
      </c>
      <c r="B72" s="11">
        <v>13703.0</v>
      </c>
    </row>
    <row r="73">
      <c r="A73" s="5" t="s">
        <v>130</v>
      </c>
      <c r="B73" s="11">
        <v>239090.0</v>
      </c>
    </row>
    <row r="74">
      <c r="A74" s="5" t="s">
        <v>131</v>
      </c>
      <c r="B74" s="11">
        <v>38389.0</v>
      </c>
    </row>
    <row r="75">
      <c r="A75" s="5" t="s">
        <v>133</v>
      </c>
      <c r="B75" s="11">
        <v>30544.0</v>
      </c>
    </row>
    <row r="76">
      <c r="A76" s="5" t="s">
        <v>134</v>
      </c>
      <c r="B76" s="11">
        <v>21182.0</v>
      </c>
    </row>
    <row r="77">
      <c r="A77" s="5" t="s">
        <v>135</v>
      </c>
      <c r="B77" s="11">
        <v>23309.0</v>
      </c>
    </row>
    <row r="78">
      <c r="A78" s="5" t="s">
        <v>137</v>
      </c>
      <c r="B78" s="11">
        <v>22433.0</v>
      </c>
    </row>
    <row r="79">
      <c r="A79" s="5" t="s">
        <v>138</v>
      </c>
      <c r="B79" s="11">
        <v>16543.0</v>
      </c>
    </row>
    <row r="80">
      <c r="A80" s="12" t="s">
        <v>140</v>
      </c>
      <c r="B80" s="11">
        <v>11094.0</v>
      </c>
    </row>
    <row r="81">
      <c r="A81" s="5" t="s">
        <v>141</v>
      </c>
      <c r="B81" s="11">
        <v>57095.0</v>
      </c>
    </row>
    <row r="82">
      <c r="A82" s="5" t="s">
        <v>143</v>
      </c>
      <c r="B82" s="11">
        <v>15014.0</v>
      </c>
    </row>
    <row r="83">
      <c r="A83" s="5" t="s">
        <v>144</v>
      </c>
      <c r="B83" s="11">
        <v>41254.0</v>
      </c>
    </row>
    <row r="84">
      <c r="A84" s="5" t="s">
        <v>146</v>
      </c>
      <c r="B84" s="11">
        <v>21789.0</v>
      </c>
    </row>
    <row r="85">
      <c r="A85" s="5" t="s">
        <v>147</v>
      </c>
      <c r="B85" s="11">
        <v>7127.0</v>
      </c>
    </row>
    <row r="86">
      <c r="A86" s="5" t="s">
        <v>148</v>
      </c>
      <c r="B86" s="11">
        <v>21578.0</v>
      </c>
    </row>
    <row r="87">
      <c r="A87" s="5" t="s">
        <v>150</v>
      </c>
      <c r="B87" s="11">
        <v>97750.0</v>
      </c>
    </row>
    <row r="88">
      <c r="A88" s="12" t="s">
        <v>151</v>
      </c>
      <c r="B88" s="11">
        <v>27537.0</v>
      </c>
    </row>
    <row r="89">
      <c r="A89" s="5" t="s">
        <v>153</v>
      </c>
      <c r="B89" s="11">
        <v>8851.0</v>
      </c>
    </row>
    <row r="90">
      <c r="A90" s="5" t="s">
        <v>154</v>
      </c>
      <c r="B90" s="11">
        <v>12919.0</v>
      </c>
    </row>
    <row r="91">
      <c r="A91" s="5" t="s">
        <v>155</v>
      </c>
      <c r="B91" s="11">
        <v>16081.0</v>
      </c>
    </row>
    <row r="92">
      <c r="A92" s="5" t="s">
        <v>156</v>
      </c>
      <c r="B92" s="11">
        <v>19177.0</v>
      </c>
    </row>
    <row r="93">
      <c r="A93" s="5" t="s">
        <v>157</v>
      </c>
      <c r="B93" s="11">
        <v>43024.0</v>
      </c>
    </row>
    <row r="94">
      <c r="A94" s="5" t="s">
        <v>159</v>
      </c>
      <c r="B94" s="11">
        <v>35726.0</v>
      </c>
    </row>
    <row r="95">
      <c r="A95" s="5" t="s">
        <v>160</v>
      </c>
      <c r="B95" s="11">
        <v>60589.0</v>
      </c>
    </row>
    <row r="96">
      <c r="A96" s="5" t="s">
        <v>162</v>
      </c>
      <c r="B96" s="11">
        <v>6724.0</v>
      </c>
    </row>
    <row r="97">
      <c r="A97" s="5" t="s">
        <v>163</v>
      </c>
      <c r="B97" s="11">
        <v>33335.0</v>
      </c>
    </row>
    <row r="98">
      <c r="A98" s="5" t="s">
        <v>164</v>
      </c>
      <c r="B98" s="11">
        <v>40231.0</v>
      </c>
    </row>
    <row r="99">
      <c r="A99" s="5" t="s">
        <v>166</v>
      </c>
      <c r="B99" s="11">
        <v>0.0</v>
      </c>
    </row>
    <row r="100">
      <c r="A100" s="5" t="s">
        <v>167</v>
      </c>
      <c r="B100" s="11">
        <v>33191.0</v>
      </c>
    </row>
    <row r="101">
      <c r="A101" s="5" t="s">
        <v>169</v>
      </c>
      <c r="B101" s="11">
        <v>17630.0</v>
      </c>
    </row>
    <row r="102">
      <c r="A102" s="5" t="s">
        <v>170</v>
      </c>
      <c r="B102" s="11">
        <v>13253.0</v>
      </c>
    </row>
    <row r="103">
      <c r="A103" s="5" t="s">
        <v>172</v>
      </c>
      <c r="B103" s="11">
        <v>8474.0</v>
      </c>
    </row>
    <row r="104">
      <c r="A104" s="5" t="s">
        <v>173</v>
      </c>
      <c r="B104" s="11">
        <v>4658.0</v>
      </c>
    </row>
    <row r="105">
      <c r="A105" s="5" t="s">
        <v>175</v>
      </c>
      <c r="B105" s="11">
        <v>20046.0</v>
      </c>
    </row>
    <row r="106">
      <c r="A106" s="12" t="s">
        <v>176</v>
      </c>
      <c r="B106" s="11">
        <v>5960.0</v>
      </c>
    </row>
    <row r="107">
      <c r="A107" s="5" t="s">
        <v>178</v>
      </c>
      <c r="B107" s="28">
        <v>0.0</v>
      </c>
    </row>
    <row r="108">
      <c r="A108" s="5" t="s">
        <v>181</v>
      </c>
      <c r="B108" s="11">
        <v>4904.0</v>
      </c>
    </row>
    <row r="109">
      <c r="A109" s="5" t="s">
        <v>183</v>
      </c>
      <c r="B109" s="11">
        <v>195444.0</v>
      </c>
    </row>
    <row r="110">
      <c r="A110" s="5" t="s">
        <v>185</v>
      </c>
      <c r="B110" s="28">
        <v>5858.0</v>
      </c>
    </row>
    <row r="111">
      <c r="A111" s="5" t="s">
        <v>186</v>
      </c>
      <c r="B111" s="28">
        <v>29289.0</v>
      </c>
    </row>
    <row r="112">
      <c r="A112" s="12" t="s">
        <v>188</v>
      </c>
      <c r="B112" s="11">
        <v>42871.0</v>
      </c>
    </row>
    <row r="113">
      <c r="A113" s="5" t="s">
        <v>191</v>
      </c>
      <c r="B113" s="11">
        <v>5043.0</v>
      </c>
    </row>
    <row r="114">
      <c r="A114" s="5" t="s">
        <v>192</v>
      </c>
      <c r="B114" s="28">
        <v>36245.0</v>
      </c>
    </row>
    <row r="115">
      <c r="A115" s="5" t="s">
        <v>194</v>
      </c>
      <c r="B115" s="28">
        <v>48278.0</v>
      </c>
    </row>
    <row r="116">
      <c r="A116" s="5" t="s">
        <v>195</v>
      </c>
      <c r="B116" s="28">
        <v>313806.0</v>
      </c>
    </row>
    <row r="117">
      <c r="A117" s="5" t="s">
        <v>197</v>
      </c>
      <c r="B117" s="28">
        <v>19177.0</v>
      </c>
    </row>
    <row r="118">
      <c r="A118" s="5" t="s">
        <v>198</v>
      </c>
      <c r="B118" s="28">
        <v>25960.0</v>
      </c>
    </row>
    <row r="119">
      <c r="A119" s="5" t="s">
        <v>200</v>
      </c>
      <c r="B119" s="28">
        <v>19177.0</v>
      </c>
    </row>
    <row r="120">
      <c r="A120" s="5" t="s">
        <v>201</v>
      </c>
      <c r="B120" s="28">
        <v>15738.0</v>
      </c>
    </row>
    <row r="121">
      <c r="A121" s="5" t="s">
        <v>202</v>
      </c>
      <c r="B121" s="28">
        <v>22615.0</v>
      </c>
    </row>
    <row r="122">
      <c r="A122" s="5" t="s">
        <v>205</v>
      </c>
      <c r="B122" s="11">
        <v>11620.0</v>
      </c>
    </row>
    <row r="123">
      <c r="A123" s="5" t="s">
        <v>206</v>
      </c>
      <c r="B123" s="11">
        <v>12874.0</v>
      </c>
    </row>
    <row r="124">
      <c r="A124" s="12" t="s">
        <v>208</v>
      </c>
      <c r="B124" s="11">
        <v>22932.0</v>
      </c>
    </row>
    <row r="125">
      <c r="A125" s="12" t="s">
        <v>209</v>
      </c>
      <c r="B125" s="11">
        <v>24721.0</v>
      </c>
    </row>
    <row r="126">
      <c r="A126" s="5" t="s">
        <v>211</v>
      </c>
      <c r="B126" s="11">
        <v>6084.0</v>
      </c>
    </row>
    <row r="127">
      <c r="A127" s="5" t="s">
        <v>213</v>
      </c>
      <c r="B127" s="28">
        <v>4943.0</v>
      </c>
    </row>
    <row r="128">
      <c r="A128" s="12" t="s">
        <v>214</v>
      </c>
      <c r="B128" s="11">
        <v>19404.0</v>
      </c>
    </row>
    <row r="129">
      <c r="A129" s="5" t="s">
        <v>215</v>
      </c>
      <c r="B129" s="11">
        <v>2141.0</v>
      </c>
    </row>
    <row r="130">
      <c r="A130" s="5" t="s">
        <v>217</v>
      </c>
      <c r="B130" s="11">
        <v>16196.0</v>
      </c>
    </row>
    <row r="131">
      <c r="A131" s="5" t="s">
        <v>219</v>
      </c>
      <c r="B131" s="11">
        <v>21871.0</v>
      </c>
    </row>
    <row r="132">
      <c r="A132" s="5" t="s">
        <v>220</v>
      </c>
      <c r="B132" s="11">
        <v>14739.0</v>
      </c>
    </row>
    <row r="133">
      <c r="A133" s="5" t="s">
        <v>222</v>
      </c>
      <c r="B133" s="11">
        <v>6904.0</v>
      </c>
    </row>
    <row r="134">
      <c r="A134" s="5" t="s">
        <v>223</v>
      </c>
      <c r="B134" s="11">
        <v>10460.0</v>
      </c>
    </row>
    <row r="135">
      <c r="A135" s="5" t="s">
        <v>225</v>
      </c>
      <c r="B135" s="11">
        <v>67830.0</v>
      </c>
    </row>
    <row r="136">
      <c r="A136" s="5" t="s">
        <v>226</v>
      </c>
      <c r="B136" s="11">
        <v>18102.0</v>
      </c>
    </row>
    <row r="137">
      <c r="A137" s="5" t="s">
        <v>227</v>
      </c>
      <c r="B137" s="11">
        <v>10203.0</v>
      </c>
    </row>
    <row r="138">
      <c r="A138" s="5" t="s">
        <v>229</v>
      </c>
      <c r="B138" s="11">
        <v>18102.0</v>
      </c>
    </row>
    <row r="139">
      <c r="A139" s="5" t="s">
        <v>230</v>
      </c>
      <c r="B139" s="11">
        <v>10367.0</v>
      </c>
    </row>
    <row r="140">
      <c r="A140" s="5" t="s">
        <v>232</v>
      </c>
      <c r="B140" s="11">
        <v>18102.0</v>
      </c>
    </row>
    <row r="141">
      <c r="A141" s="5" t="s">
        <v>233</v>
      </c>
      <c r="B141" s="11">
        <v>23038.0</v>
      </c>
    </row>
    <row r="142">
      <c r="A142" s="5" t="s">
        <v>234</v>
      </c>
      <c r="B142" s="11">
        <v>9775.0</v>
      </c>
    </row>
    <row r="143">
      <c r="A143" s="5" t="s">
        <v>236</v>
      </c>
      <c r="B143" s="11">
        <v>7899.0</v>
      </c>
    </row>
    <row r="144">
      <c r="A144" s="5" t="s">
        <v>237</v>
      </c>
      <c r="B144" s="11">
        <v>13494.0</v>
      </c>
    </row>
    <row r="145">
      <c r="A145" s="5" t="s">
        <v>239</v>
      </c>
      <c r="B145" s="11">
        <v>18102.0</v>
      </c>
    </row>
    <row r="146">
      <c r="A146" s="5" t="s">
        <v>240</v>
      </c>
      <c r="B146" s="11">
        <v>65824.0</v>
      </c>
    </row>
    <row r="147">
      <c r="A147" s="5" t="s">
        <v>241</v>
      </c>
      <c r="B147" s="11">
        <v>4799.0</v>
      </c>
    </row>
    <row r="148">
      <c r="A148" s="5" t="s">
        <v>243</v>
      </c>
      <c r="B148" s="11">
        <v>13165.0</v>
      </c>
    </row>
    <row r="149">
      <c r="A149" s="5" t="s">
        <v>244</v>
      </c>
      <c r="B149" s="11">
        <v>7241.0</v>
      </c>
    </row>
    <row r="150">
      <c r="A150" s="5" t="s">
        <v>246</v>
      </c>
      <c r="B150" s="11">
        <v>13165.0</v>
      </c>
    </row>
    <row r="151">
      <c r="A151" s="5" t="s">
        <v>247</v>
      </c>
      <c r="B151" s="11">
        <v>7241.0</v>
      </c>
    </row>
    <row r="152">
      <c r="A152" s="5" t="s">
        <v>249</v>
      </c>
      <c r="B152" s="11">
        <v>13165.0</v>
      </c>
    </row>
    <row r="153">
      <c r="A153" s="5" t="s">
        <v>250</v>
      </c>
      <c r="B153" s="11">
        <v>7241.0</v>
      </c>
    </row>
    <row r="154">
      <c r="A154" s="5" t="s">
        <v>252</v>
      </c>
      <c r="B154" s="11">
        <v>7241.0</v>
      </c>
    </row>
    <row r="155">
      <c r="A155" s="5" t="s">
        <v>253</v>
      </c>
      <c r="B155" s="11">
        <v>13165.0</v>
      </c>
    </row>
    <row r="156">
      <c r="A156" s="5" t="s">
        <v>255</v>
      </c>
      <c r="B156" s="11">
        <v>27152.0</v>
      </c>
    </row>
    <row r="157">
      <c r="A157" s="5" t="s">
        <v>256</v>
      </c>
      <c r="B157" s="11">
        <v>7899.0</v>
      </c>
    </row>
    <row r="158">
      <c r="A158" s="12" t="s">
        <v>257</v>
      </c>
      <c r="B158" s="11">
        <v>30039.0</v>
      </c>
    </row>
    <row r="159">
      <c r="A159" s="5" t="s">
        <v>259</v>
      </c>
      <c r="B159" s="11">
        <v>5760.0</v>
      </c>
    </row>
    <row r="160">
      <c r="A160" s="5" t="s">
        <v>260</v>
      </c>
      <c r="B160" s="11">
        <v>3291.0</v>
      </c>
    </row>
    <row r="161">
      <c r="A161" s="12" t="s">
        <v>261</v>
      </c>
      <c r="B161" s="11">
        <v>17576.0</v>
      </c>
    </row>
    <row r="162">
      <c r="A162" s="5" t="s">
        <v>263</v>
      </c>
      <c r="B162" s="11">
        <v>19583.0</v>
      </c>
    </row>
    <row r="163">
      <c r="A163" s="5" t="s">
        <v>264</v>
      </c>
      <c r="B163" s="11">
        <v>13165.0</v>
      </c>
    </row>
    <row r="164">
      <c r="A164" s="5" t="s">
        <v>266</v>
      </c>
      <c r="B164" s="11">
        <v>79000.0</v>
      </c>
    </row>
    <row r="165">
      <c r="A165" s="5" t="s">
        <v>267</v>
      </c>
      <c r="B165" s="11">
        <v>196196.0</v>
      </c>
    </row>
    <row r="166">
      <c r="A166" s="5" t="s">
        <v>268</v>
      </c>
      <c r="B166" s="11">
        <v>65120.0</v>
      </c>
    </row>
    <row r="167">
      <c r="A167" s="5" t="s">
        <v>270</v>
      </c>
      <c r="B167" s="11">
        <v>6297.0</v>
      </c>
    </row>
    <row r="168">
      <c r="A168" s="5" t="s">
        <v>271</v>
      </c>
      <c r="B168" s="11">
        <v>3826.0</v>
      </c>
    </row>
    <row r="169">
      <c r="A169" s="5" t="s">
        <v>273</v>
      </c>
      <c r="B169" s="11">
        <v>8886.0</v>
      </c>
    </row>
    <row r="170">
      <c r="A170" s="5" t="s">
        <v>274</v>
      </c>
      <c r="B170" s="11">
        <v>8100.0</v>
      </c>
    </row>
    <row r="171">
      <c r="A171" s="5" t="s">
        <v>276</v>
      </c>
      <c r="B171" s="11">
        <v>64505.0</v>
      </c>
    </row>
    <row r="172">
      <c r="A172" s="5" t="s">
        <v>277</v>
      </c>
      <c r="B172" s="11">
        <v>2181.0</v>
      </c>
    </row>
    <row r="173">
      <c r="A173" s="5" t="s">
        <v>278</v>
      </c>
      <c r="B173" s="11">
        <v>4350.0</v>
      </c>
    </row>
    <row r="174">
      <c r="A174" s="5" t="s">
        <v>280</v>
      </c>
      <c r="B174" s="11">
        <v>24885.0</v>
      </c>
    </row>
    <row r="175">
      <c r="A175" s="5" t="s">
        <v>281</v>
      </c>
      <c r="B175" s="11">
        <v>35993.0</v>
      </c>
    </row>
    <row r="176">
      <c r="A176" s="5" t="s">
        <v>283</v>
      </c>
      <c r="B176" s="11">
        <v>8506.0</v>
      </c>
    </row>
    <row r="177">
      <c r="A177" s="5" t="s">
        <v>284</v>
      </c>
      <c r="B177" s="11">
        <v>36229.0</v>
      </c>
    </row>
    <row r="178">
      <c r="A178" s="5" t="s">
        <v>285</v>
      </c>
      <c r="B178" s="11">
        <v>10539.0</v>
      </c>
    </row>
    <row r="179">
      <c r="A179" s="5" t="s">
        <v>287</v>
      </c>
      <c r="B179" s="11">
        <v>6723.0</v>
      </c>
    </row>
    <row r="180">
      <c r="A180" s="5" t="s">
        <v>288</v>
      </c>
      <c r="B180" s="11">
        <v>8492.0</v>
      </c>
    </row>
    <row r="181">
      <c r="A181" s="5" t="s">
        <v>289</v>
      </c>
      <c r="B181" s="11">
        <v>7478.0</v>
      </c>
    </row>
    <row r="182">
      <c r="A182" s="5" t="s">
        <v>291</v>
      </c>
      <c r="B182" s="11">
        <v>9342.0</v>
      </c>
    </row>
    <row r="183">
      <c r="A183" s="5" t="s">
        <v>292</v>
      </c>
      <c r="B183" s="11">
        <v>9907.0</v>
      </c>
    </row>
    <row r="184">
      <c r="A184" s="5" t="s">
        <v>293</v>
      </c>
      <c r="B184" s="11">
        <v>21623.0</v>
      </c>
    </row>
    <row r="185">
      <c r="A185" s="5" t="s">
        <v>295</v>
      </c>
      <c r="B185" s="11">
        <v>7761.0</v>
      </c>
    </row>
    <row r="186">
      <c r="A186" s="5" t="s">
        <v>296</v>
      </c>
      <c r="B186" s="11">
        <v>14593.0</v>
      </c>
    </row>
    <row r="187">
      <c r="A187" s="5" t="s">
        <v>298</v>
      </c>
      <c r="B187" s="11">
        <v>26266.0</v>
      </c>
    </row>
    <row r="188">
      <c r="A188" s="12" t="s">
        <v>299</v>
      </c>
      <c r="B188" s="11">
        <v>25736.0</v>
      </c>
    </row>
    <row r="189">
      <c r="A189" s="5" t="s">
        <v>301</v>
      </c>
      <c r="B189" s="11">
        <v>11046.0</v>
      </c>
    </row>
    <row r="190">
      <c r="A190" s="5" t="s">
        <v>302</v>
      </c>
      <c r="B190" s="11">
        <v>16033.0</v>
      </c>
    </row>
    <row r="191">
      <c r="A191" s="5" t="s">
        <v>303</v>
      </c>
      <c r="B191" s="11">
        <v>10268.0</v>
      </c>
    </row>
    <row r="192">
      <c r="A192" s="5" t="s">
        <v>305</v>
      </c>
      <c r="B192" s="11">
        <v>22528.0</v>
      </c>
    </row>
    <row r="193">
      <c r="A193" s="5" t="s">
        <v>306</v>
      </c>
      <c r="B193" s="11">
        <v>7687.0</v>
      </c>
    </row>
    <row r="194">
      <c r="A194" s="5" t="s">
        <v>308</v>
      </c>
      <c r="B194" s="11">
        <v>12129.0</v>
      </c>
    </row>
    <row r="195">
      <c r="A195" s="12" t="s">
        <v>309</v>
      </c>
      <c r="B195" s="11">
        <v>20991.0</v>
      </c>
    </row>
    <row r="196">
      <c r="A196" s="5" t="s">
        <v>310</v>
      </c>
      <c r="B196" s="11">
        <v>10043.0</v>
      </c>
    </row>
    <row r="197">
      <c r="A197" s="5" t="s">
        <v>312</v>
      </c>
      <c r="B197" s="11">
        <v>24352.0</v>
      </c>
    </row>
    <row r="198">
      <c r="A198" s="5" t="s">
        <v>314</v>
      </c>
      <c r="B198" s="11">
        <v>39481.0</v>
      </c>
    </row>
    <row r="199">
      <c r="A199" s="5" t="s">
        <v>316</v>
      </c>
      <c r="B199" s="11">
        <v>8698.0</v>
      </c>
    </row>
    <row r="200">
      <c r="A200" s="5" t="s">
        <v>318</v>
      </c>
      <c r="B200" s="11">
        <v>10926.0</v>
      </c>
    </row>
    <row r="201">
      <c r="A201" s="5" t="s">
        <v>319</v>
      </c>
      <c r="B201" s="11">
        <v>9869.0</v>
      </c>
    </row>
    <row r="202">
      <c r="A202" s="5" t="s">
        <v>321</v>
      </c>
      <c r="B202" s="11">
        <v>15538.0</v>
      </c>
    </row>
    <row r="203">
      <c r="A203" s="5" t="s">
        <v>322</v>
      </c>
      <c r="B203" s="11">
        <v>17803.0</v>
      </c>
    </row>
    <row r="204">
      <c r="A204" s="5" t="s">
        <v>324</v>
      </c>
      <c r="B204" s="11">
        <v>30189.0</v>
      </c>
    </row>
    <row r="205">
      <c r="A205" s="5" t="s">
        <v>325</v>
      </c>
      <c r="B205" s="11">
        <v>10775.0</v>
      </c>
    </row>
    <row r="206">
      <c r="A206" s="5" t="s">
        <v>327</v>
      </c>
      <c r="B206" s="11">
        <v>16605.0</v>
      </c>
    </row>
    <row r="207">
      <c r="A207" s="5" t="s">
        <v>328</v>
      </c>
      <c r="B207" s="11">
        <v>22982.0</v>
      </c>
    </row>
    <row r="208">
      <c r="A208" s="5" t="s">
        <v>329</v>
      </c>
      <c r="B208" s="11">
        <v>7387.0</v>
      </c>
    </row>
    <row r="209">
      <c r="A209" s="5" t="s">
        <v>331</v>
      </c>
      <c r="B209" s="11">
        <v>4746.0</v>
      </c>
    </row>
    <row r="210">
      <c r="A210" s="5" t="s">
        <v>332</v>
      </c>
      <c r="B210" s="11">
        <v>9352.0</v>
      </c>
    </row>
    <row r="211">
      <c r="A211" s="5" t="s">
        <v>333</v>
      </c>
      <c r="B211" s="11">
        <v>5385.0</v>
      </c>
    </row>
    <row r="212">
      <c r="A212" s="5" t="s">
        <v>334</v>
      </c>
      <c r="B212" s="11">
        <v>6350.0</v>
      </c>
    </row>
    <row r="213">
      <c r="A213" s="5" t="s">
        <v>335</v>
      </c>
      <c r="B213" s="11">
        <v>7813.0</v>
      </c>
    </row>
    <row r="214">
      <c r="A214" s="5" t="s">
        <v>336</v>
      </c>
      <c r="B214" s="11">
        <v>25089.0</v>
      </c>
    </row>
    <row r="215">
      <c r="A215" s="5" t="s">
        <v>337</v>
      </c>
      <c r="B215" s="11">
        <v>27512.0</v>
      </c>
    </row>
    <row r="216">
      <c r="A216" s="5" t="s">
        <v>338</v>
      </c>
      <c r="B216" s="11">
        <v>16319.0</v>
      </c>
    </row>
    <row r="217">
      <c r="A217" s="5" t="s">
        <v>339</v>
      </c>
      <c r="B217" s="11">
        <v>15403.0</v>
      </c>
    </row>
    <row r="218">
      <c r="A218" s="5" t="s">
        <v>340</v>
      </c>
      <c r="B218" s="11">
        <v>10485.0</v>
      </c>
    </row>
    <row r="219">
      <c r="A219" s="5" t="s">
        <v>341</v>
      </c>
      <c r="B219" s="11">
        <v>44859.0</v>
      </c>
    </row>
    <row r="220">
      <c r="A220" s="5" t="s">
        <v>342</v>
      </c>
      <c r="B220" s="11">
        <v>17204.0</v>
      </c>
    </row>
    <row r="221">
      <c r="A221" s="5" t="s">
        <v>344</v>
      </c>
      <c r="B221" s="11">
        <v>9280.0</v>
      </c>
    </row>
    <row r="222">
      <c r="A222" s="5" t="s">
        <v>345</v>
      </c>
      <c r="B222" s="11">
        <v>8754.0</v>
      </c>
    </row>
    <row r="223">
      <c r="A223" s="5" t="s">
        <v>346</v>
      </c>
      <c r="B223" s="11">
        <v>20082.0</v>
      </c>
    </row>
    <row r="224">
      <c r="A224" s="5" t="s">
        <v>348</v>
      </c>
      <c r="B224" s="11">
        <v>54211.0</v>
      </c>
    </row>
    <row r="225">
      <c r="A225" s="5" t="s">
        <v>349</v>
      </c>
      <c r="B225" s="11">
        <v>8698.0</v>
      </c>
    </row>
    <row r="226">
      <c r="A226" s="5" t="s">
        <v>351</v>
      </c>
      <c r="B226" s="11">
        <v>9955.0</v>
      </c>
    </row>
    <row r="227">
      <c r="A227" s="5" t="s">
        <v>352</v>
      </c>
      <c r="B227" s="11">
        <v>19113.0</v>
      </c>
    </row>
    <row r="228">
      <c r="A228" s="5" t="s">
        <v>353</v>
      </c>
      <c r="B228" s="11">
        <v>10795.0</v>
      </c>
    </row>
    <row r="229">
      <c r="A229" s="5" t="s">
        <v>354</v>
      </c>
      <c r="B229" s="11">
        <v>10496.0</v>
      </c>
    </row>
    <row r="230">
      <c r="A230" s="5" t="s">
        <v>355</v>
      </c>
      <c r="B230" s="11">
        <v>8650.0</v>
      </c>
    </row>
    <row r="231">
      <c r="A231" s="5" t="s">
        <v>356</v>
      </c>
      <c r="B231" s="11">
        <v>13344.0</v>
      </c>
    </row>
    <row r="232">
      <c r="A232" s="5" t="s">
        <v>357</v>
      </c>
      <c r="B232" s="11">
        <v>0.0</v>
      </c>
    </row>
    <row r="233">
      <c r="A233" s="5" t="s">
        <v>358</v>
      </c>
      <c r="B233" s="11">
        <v>53755.0</v>
      </c>
    </row>
    <row r="234">
      <c r="A234" s="5" t="s">
        <v>359</v>
      </c>
      <c r="B234" s="11">
        <v>10255.0</v>
      </c>
    </row>
    <row r="235">
      <c r="A235" s="5" t="s">
        <v>360</v>
      </c>
      <c r="B235" s="11">
        <v>11389.0</v>
      </c>
    </row>
    <row r="236">
      <c r="A236" s="5" t="s">
        <v>361</v>
      </c>
      <c r="B236" s="11">
        <v>9500.0</v>
      </c>
    </row>
    <row r="237">
      <c r="A237" s="5" t="s">
        <v>362</v>
      </c>
      <c r="B237" s="11">
        <v>15212.0</v>
      </c>
    </row>
    <row r="238">
      <c r="A238" s="5" t="s">
        <v>363</v>
      </c>
      <c r="B238" s="11">
        <v>11946.0</v>
      </c>
    </row>
    <row r="239">
      <c r="A239" s="12" t="s">
        <v>364</v>
      </c>
      <c r="B239" s="11">
        <v>24148.0</v>
      </c>
    </row>
    <row r="240">
      <c r="A240" s="5" t="s">
        <v>365</v>
      </c>
      <c r="B240" s="11">
        <v>10404.0</v>
      </c>
    </row>
    <row r="241">
      <c r="A241" s="5" t="s">
        <v>366</v>
      </c>
      <c r="B241" s="11">
        <v>6313.0</v>
      </c>
    </row>
    <row r="242">
      <c r="A242" s="5" t="s">
        <v>367</v>
      </c>
      <c r="B242" s="11">
        <v>24806.0</v>
      </c>
    </row>
    <row r="243">
      <c r="A243" s="5" t="s">
        <v>369</v>
      </c>
      <c r="B243" s="11">
        <v>29540.0</v>
      </c>
    </row>
    <row r="244">
      <c r="A244" s="5" t="s">
        <v>370</v>
      </c>
      <c r="B244" s="11">
        <v>11660.0</v>
      </c>
    </row>
    <row r="245">
      <c r="A245" s="5" t="s">
        <v>372</v>
      </c>
      <c r="B245" s="11">
        <v>8492.0</v>
      </c>
    </row>
    <row r="246">
      <c r="A246" s="5" t="s">
        <v>373</v>
      </c>
      <c r="B246" s="11">
        <v>11993.0</v>
      </c>
    </row>
    <row r="247">
      <c r="A247" s="5" t="s">
        <v>374</v>
      </c>
      <c r="B247" s="11">
        <v>20117.0</v>
      </c>
    </row>
    <row r="248">
      <c r="A248" s="5" t="s">
        <v>376</v>
      </c>
      <c r="B248" s="11">
        <v>14809.0</v>
      </c>
    </row>
    <row r="249">
      <c r="A249" s="5" t="s">
        <v>377</v>
      </c>
      <c r="B249" s="11">
        <v>18629.0</v>
      </c>
    </row>
    <row r="250">
      <c r="A250" s="5" t="s">
        <v>378</v>
      </c>
      <c r="B250" s="11">
        <v>42091.0</v>
      </c>
    </row>
    <row r="251">
      <c r="A251" s="5" t="s">
        <v>380</v>
      </c>
      <c r="B251" s="11">
        <v>73476.0</v>
      </c>
    </row>
    <row r="252">
      <c r="A252" s="5" t="s">
        <v>381</v>
      </c>
      <c r="B252" s="11">
        <v>32411.0</v>
      </c>
    </row>
    <row r="253">
      <c r="A253" s="5" t="s">
        <v>383</v>
      </c>
      <c r="B253" s="11">
        <v>9390.0</v>
      </c>
    </row>
    <row r="254">
      <c r="A254" s="5" t="s">
        <v>384</v>
      </c>
      <c r="B254" s="11">
        <v>25595.0</v>
      </c>
    </row>
    <row r="255">
      <c r="A255" s="5" t="s">
        <v>386</v>
      </c>
      <c r="B255" s="11">
        <v>19602.0</v>
      </c>
    </row>
    <row r="256">
      <c r="A256" s="5" t="s">
        <v>387</v>
      </c>
      <c r="B256" s="11">
        <v>32950.0</v>
      </c>
    </row>
    <row r="257">
      <c r="A257" s="5" t="s">
        <v>388</v>
      </c>
      <c r="B257" s="11">
        <v>13853.0</v>
      </c>
    </row>
    <row r="258">
      <c r="A258" s="5" t="s">
        <v>390</v>
      </c>
      <c r="B258" s="11">
        <v>24058.0</v>
      </c>
    </row>
    <row r="259">
      <c r="A259" s="5" t="s">
        <v>391</v>
      </c>
      <c r="B259" s="11">
        <v>47340.0</v>
      </c>
    </row>
    <row r="260">
      <c r="A260" s="5" t="s">
        <v>393</v>
      </c>
      <c r="B260" s="11">
        <v>9703.0</v>
      </c>
    </row>
    <row r="261">
      <c r="A261" s="5" t="s">
        <v>394</v>
      </c>
      <c r="B261" s="11">
        <v>23837.0</v>
      </c>
    </row>
    <row r="262">
      <c r="A262" s="5" t="s">
        <v>396</v>
      </c>
      <c r="B262" s="11">
        <v>24271.0</v>
      </c>
    </row>
    <row r="263">
      <c r="A263" s="5" t="s">
        <v>397</v>
      </c>
      <c r="B263" s="11">
        <v>9542.0</v>
      </c>
    </row>
    <row r="264">
      <c r="A264" s="5" t="s">
        <v>398</v>
      </c>
      <c r="B264" s="11">
        <v>19707.0</v>
      </c>
    </row>
    <row r="265">
      <c r="A265" s="5" t="s">
        <v>400</v>
      </c>
      <c r="B265" s="11">
        <v>21406.0</v>
      </c>
    </row>
    <row r="266">
      <c r="A266" s="5" t="s">
        <v>401</v>
      </c>
      <c r="B266" s="11">
        <v>22692.0</v>
      </c>
    </row>
    <row r="267">
      <c r="A267" s="5" t="s">
        <v>402</v>
      </c>
      <c r="B267" s="11">
        <v>17197.0</v>
      </c>
    </row>
    <row r="268">
      <c r="A268" s="5" t="s">
        <v>403</v>
      </c>
      <c r="B268" s="11">
        <v>7141.0</v>
      </c>
    </row>
    <row r="269">
      <c r="A269" s="5" t="s">
        <v>404</v>
      </c>
      <c r="B269" s="11">
        <v>7369.0</v>
      </c>
    </row>
    <row r="270">
      <c r="A270" s="5" t="s">
        <v>405</v>
      </c>
      <c r="B270" s="11">
        <v>5504.0</v>
      </c>
    </row>
    <row r="271">
      <c r="A271" s="5" t="s">
        <v>407</v>
      </c>
      <c r="B271" s="11">
        <v>9376.0</v>
      </c>
    </row>
    <row r="272">
      <c r="A272" s="5" t="s">
        <v>408</v>
      </c>
      <c r="B272" s="11">
        <v>6154.0</v>
      </c>
    </row>
    <row r="273">
      <c r="A273" s="5" t="s">
        <v>409</v>
      </c>
      <c r="B273" s="11">
        <v>9919.0</v>
      </c>
    </row>
    <row r="274">
      <c r="A274" s="5" t="s">
        <v>411</v>
      </c>
      <c r="B274" s="11">
        <v>11433.0</v>
      </c>
    </row>
    <row r="275">
      <c r="A275" s="5" t="s">
        <v>158</v>
      </c>
      <c r="B275" s="11">
        <v>5955.0</v>
      </c>
    </row>
    <row r="276">
      <c r="A276" s="5" t="s">
        <v>413</v>
      </c>
      <c r="B276" s="11">
        <v>7961.0</v>
      </c>
    </row>
    <row r="277">
      <c r="A277" s="5" t="s">
        <v>414</v>
      </c>
      <c r="B277" s="11">
        <v>11285.0</v>
      </c>
    </row>
    <row r="278">
      <c r="A278" s="5" t="s">
        <v>415</v>
      </c>
      <c r="B278" s="11">
        <v>9157.0</v>
      </c>
    </row>
    <row r="279">
      <c r="A279" s="5" t="s">
        <v>417</v>
      </c>
      <c r="B279" s="11">
        <v>11028.0</v>
      </c>
    </row>
    <row r="280">
      <c r="A280" s="5" t="s">
        <v>418</v>
      </c>
      <c r="B280" s="11">
        <v>26178.0</v>
      </c>
    </row>
    <row r="281">
      <c r="A281" s="5" t="s">
        <v>419</v>
      </c>
      <c r="B281" s="11">
        <v>13309.0</v>
      </c>
    </row>
    <row r="282">
      <c r="A282" s="5" t="s">
        <v>421</v>
      </c>
      <c r="B282" s="11">
        <v>20880.0</v>
      </c>
    </row>
    <row r="283">
      <c r="A283" s="5" t="s">
        <v>422</v>
      </c>
      <c r="B283" s="11">
        <v>15317.0</v>
      </c>
    </row>
    <row r="284">
      <c r="A284" s="12" t="s">
        <v>424</v>
      </c>
      <c r="B284" s="11">
        <v>8889.0</v>
      </c>
    </row>
    <row r="285">
      <c r="A285" s="5" t="s">
        <v>425</v>
      </c>
      <c r="B285" s="11">
        <v>17990.0</v>
      </c>
    </row>
    <row r="286">
      <c r="A286" s="12" t="s">
        <v>426</v>
      </c>
      <c r="B286" s="11">
        <v>18890.0</v>
      </c>
    </row>
    <row r="287">
      <c r="A287" s="5" t="s">
        <v>428</v>
      </c>
      <c r="B287" s="11">
        <v>34224.0</v>
      </c>
    </row>
    <row r="288">
      <c r="A288" s="5" t="s">
        <v>429</v>
      </c>
      <c r="B288" s="11">
        <v>4831.0</v>
      </c>
    </row>
    <row r="289">
      <c r="A289" s="5" t="s">
        <v>431</v>
      </c>
      <c r="B289" s="11">
        <v>5708.0</v>
      </c>
    </row>
    <row r="290">
      <c r="A290" s="5" t="s">
        <v>432</v>
      </c>
      <c r="B290" s="11">
        <v>4079.0</v>
      </c>
    </row>
    <row r="291">
      <c r="A291" s="5" t="s">
        <v>434</v>
      </c>
      <c r="B291" s="11">
        <v>5134.0</v>
      </c>
    </row>
    <row r="292">
      <c r="A292" s="5" t="s">
        <v>435</v>
      </c>
      <c r="B292" s="11">
        <v>3763.0</v>
      </c>
    </row>
    <row r="293">
      <c r="A293" s="5" t="s">
        <v>437</v>
      </c>
      <c r="B293" s="11">
        <v>9505.0</v>
      </c>
    </row>
    <row r="294">
      <c r="A294" s="5" t="s">
        <v>438</v>
      </c>
      <c r="B294" s="11">
        <v>3686.0</v>
      </c>
    </row>
    <row r="295">
      <c r="A295" s="5" t="s">
        <v>440</v>
      </c>
      <c r="B295" s="11">
        <v>15523.0</v>
      </c>
    </row>
    <row r="296">
      <c r="A296" s="5" t="s">
        <v>441</v>
      </c>
      <c r="B296" s="11">
        <v>4415.0</v>
      </c>
    </row>
    <row r="297">
      <c r="A297" s="5" t="s">
        <v>442</v>
      </c>
      <c r="B297" s="11">
        <v>4317.0</v>
      </c>
    </row>
    <row r="298">
      <c r="A298" s="5" t="s">
        <v>444</v>
      </c>
      <c r="B298" s="11">
        <v>14061.0</v>
      </c>
    </row>
    <row r="299">
      <c r="A299" s="5" t="s">
        <v>445</v>
      </c>
      <c r="B299" s="28">
        <v>12610.0</v>
      </c>
    </row>
    <row r="300">
      <c r="A300" s="5" t="s">
        <v>446</v>
      </c>
      <c r="B300" s="11">
        <v>14859.0</v>
      </c>
    </row>
    <row r="301">
      <c r="A301" s="5" t="s">
        <v>448</v>
      </c>
      <c r="B301" s="11">
        <v>6455.0</v>
      </c>
    </row>
    <row r="302">
      <c r="A302" s="5" t="s">
        <v>450</v>
      </c>
      <c r="B302" s="11">
        <v>11973.0</v>
      </c>
    </row>
    <row r="303">
      <c r="A303" s="5" t="s">
        <v>452</v>
      </c>
      <c r="B303" s="11">
        <v>6580.0</v>
      </c>
    </row>
    <row r="304">
      <c r="A304" s="5" t="s">
        <v>453</v>
      </c>
      <c r="B304" s="11">
        <v>9576.0</v>
      </c>
    </row>
    <row r="305">
      <c r="A305" s="5" t="s">
        <v>455</v>
      </c>
      <c r="B305" s="11">
        <v>9033.0</v>
      </c>
    </row>
    <row r="306">
      <c r="A306" s="5" t="s">
        <v>456</v>
      </c>
      <c r="B306" s="11">
        <v>29947.0</v>
      </c>
    </row>
    <row r="307">
      <c r="A307" s="5" t="s">
        <v>458</v>
      </c>
      <c r="B307" s="11">
        <v>16755.0</v>
      </c>
    </row>
    <row r="308">
      <c r="A308" s="5" t="s">
        <v>459</v>
      </c>
      <c r="B308" s="11">
        <v>78648.0</v>
      </c>
    </row>
    <row r="309">
      <c r="A309" s="5" t="s">
        <v>461</v>
      </c>
      <c r="B309" s="11">
        <v>18298.0</v>
      </c>
    </row>
    <row r="310">
      <c r="A310" s="5" t="s">
        <v>462</v>
      </c>
      <c r="B310" s="11">
        <v>81756.0</v>
      </c>
    </row>
    <row r="311">
      <c r="A311" s="12" t="s">
        <v>463</v>
      </c>
      <c r="B311" s="11">
        <v>76945.0</v>
      </c>
    </row>
    <row r="312">
      <c r="A312" s="12" t="s">
        <v>465</v>
      </c>
      <c r="B312" s="11">
        <v>223840.0</v>
      </c>
    </row>
    <row r="313">
      <c r="A313" s="12" t="s">
        <v>466</v>
      </c>
      <c r="B313" s="11">
        <v>76945.0</v>
      </c>
    </row>
    <row r="314">
      <c r="A314" s="5" t="s">
        <v>468</v>
      </c>
      <c r="B314" s="11">
        <v>20358.0</v>
      </c>
    </row>
    <row r="315">
      <c r="A315" s="5" t="s">
        <v>469</v>
      </c>
      <c r="B315" s="11">
        <v>93958.0</v>
      </c>
    </row>
    <row r="316">
      <c r="A316" s="5" t="s">
        <v>471</v>
      </c>
      <c r="B316" s="11">
        <v>18362.0</v>
      </c>
    </row>
    <row r="317">
      <c r="A317" s="5" t="s">
        <v>472</v>
      </c>
      <c r="B317" s="11">
        <v>22750.0</v>
      </c>
    </row>
    <row r="318">
      <c r="A318" s="5" t="s">
        <v>474</v>
      </c>
      <c r="B318" s="11">
        <v>66724.0</v>
      </c>
    </row>
    <row r="319">
      <c r="A319" s="5" t="s">
        <v>475</v>
      </c>
      <c r="B319" s="11">
        <v>68450.0</v>
      </c>
    </row>
    <row r="320">
      <c r="A320" s="5" t="s">
        <v>476</v>
      </c>
      <c r="B320" s="11">
        <v>26422.0</v>
      </c>
    </row>
    <row r="321">
      <c r="A321" s="5" t="s">
        <v>478</v>
      </c>
      <c r="B321" s="11">
        <v>19521.0</v>
      </c>
    </row>
    <row r="322">
      <c r="A322" s="5" t="s">
        <v>479</v>
      </c>
      <c r="B322" s="11">
        <v>266735.0</v>
      </c>
    </row>
    <row r="323">
      <c r="A323" s="5" t="s">
        <v>481</v>
      </c>
      <c r="B323" s="11">
        <v>53347.0</v>
      </c>
    </row>
    <row r="324">
      <c r="A324" s="5" t="s">
        <v>482</v>
      </c>
      <c r="B324" s="11">
        <v>30430.0</v>
      </c>
    </row>
    <row r="325">
      <c r="A325" s="12" t="s">
        <v>484</v>
      </c>
      <c r="B325" s="11">
        <v>93353.0</v>
      </c>
    </row>
    <row r="326">
      <c r="A326" s="12" t="s">
        <v>485</v>
      </c>
      <c r="B326" s="11">
        <v>46677.0</v>
      </c>
    </row>
    <row r="327">
      <c r="A327" s="5" t="s">
        <v>486</v>
      </c>
      <c r="B327" s="11">
        <v>433581.0</v>
      </c>
    </row>
    <row r="328">
      <c r="A328" s="12" t="s">
        <v>488</v>
      </c>
      <c r="B328" s="11">
        <v>57747.0</v>
      </c>
    </row>
    <row r="329">
      <c r="A329" s="12" t="s">
        <v>489</v>
      </c>
      <c r="B329" s="11">
        <v>40452.0</v>
      </c>
    </row>
    <row r="330">
      <c r="A330" s="5" t="s">
        <v>490</v>
      </c>
      <c r="B330" s="11">
        <v>94793.0</v>
      </c>
    </row>
    <row r="331">
      <c r="A331" s="5" t="s">
        <v>492</v>
      </c>
      <c r="B331" s="11">
        <v>186199.0</v>
      </c>
    </row>
    <row r="332">
      <c r="A332" s="5" t="s">
        <v>493</v>
      </c>
      <c r="B332" s="11">
        <v>1487559.0</v>
      </c>
    </row>
    <row r="333">
      <c r="A333" s="5" t="s">
        <v>494</v>
      </c>
      <c r="B333" s="11">
        <v>297512.0</v>
      </c>
    </row>
    <row r="334">
      <c r="A334" s="5" t="s">
        <v>496</v>
      </c>
      <c r="B334" s="11">
        <v>23409.0</v>
      </c>
    </row>
    <row r="335">
      <c r="A335" s="5" t="s">
        <v>497</v>
      </c>
      <c r="B335" s="11">
        <v>0.0</v>
      </c>
    </row>
    <row r="336">
      <c r="A336" s="5" t="s">
        <v>499</v>
      </c>
      <c r="B336" s="28">
        <v>69306.0</v>
      </c>
    </row>
    <row r="337">
      <c r="A337" s="5" t="s">
        <v>500</v>
      </c>
      <c r="B337" s="11">
        <v>22568.0</v>
      </c>
    </row>
    <row r="338">
      <c r="A338" s="5" t="s">
        <v>501</v>
      </c>
      <c r="B338" s="11">
        <v>0.0</v>
      </c>
    </row>
    <row r="339">
      <c r="A339" s="12" t="s">
        <v>503</v>
      </c>
      <c r="B339" s="11">
        <v>31224.0</v>
      </c>
    </row>
    <row r="340">
      <c r="A340" s="12" t="s">
        <v>504</v>
      </c>
      <c r="B340" s="11">
        <v>70964.0</v>
      </c>
    </row>
    <row r="341">
      <c r="A341" s="5" t="s">
        <v>506</v>
      </c>
      <c r="B341" s="11">
        <v>5749.0</v>
      </c>
    </row>
    <row r="342">
      <c r="A342" s="5" t="s">
        <v>507</v>
      </c>
      <c r="B342" s="11">
        <v>20105.0</v>
      </c>
    </row>
    <row r="343">
      <c r="A343" s="5" t="s">
        <v>508</v>
      </c>
      <c r="B343" s="11">
        <v>88327.0</v>
      </c>
    </row>
    <row r="344">
      <c r="A344" s="5" t="s">
        <v>510</v>
      </c>
      <c r="B344" s="11">
        <v>21723.0</v>
      </c>
    </row>
    <row r="345">
      <c r="A345" s="5" t="s">
        <v>511</v>
      </c>
      <c r="B345" s="11">
        <v>26305.0</v>
      </c>
    </row>
    <row r="346">
      <c r="A346" s="5" t="s">
        <v>512</v>
      </c>
      <c r="B346" s="11">
        <v>464712.0</v>
      </c>
    </row>
    <row r="347">
      <c r="A347" s="5" t="s">
        <v>514</v>
      </c>
      <c r="B347" s="11">
        <v>65243.0</v>
      </c>
    </row>
    <row r="348">
      <c r="A348" s="12" t="s">
        <v>515</v>
      </c>
      <c r="B348" s="11">
        <v>118739.0</v>
      </c>
    </row>
    <row r="349">
      <c r="A349" s="5" t="s">
        <v>516</v>
      </c>
      <c r="B349" s="11">
        <v>51605.0</v>
      </c>
    </row>
    <row r="350">
      <c r="A350" s="5" t="s">
        <v>518</v>
      </c>
      <c r="B350" s="11">
        <v>104196.0</v>
      </c>
    </row>
    <row r="351">
      <c r="A351" s="5" t="s">
        <v>519</v>
      </c>
      <c r="B351" s="11">
        <v>43844.0</v>
      </c>
    </row>
    <row r="352">
      <c r="A352" s="5" t="s">
        <v>520</v>
      </c>
      <c r="B352" s="11">
        <v>38083.0</v>
      </c>
    </row>
    <row r="353">
      <c r="A353" s="5" t="s">
        <v>522</v>
      </c>
      <c r="B353" s="11">
        <v>2181.0</v>
      </c>
    </row>
    <row r="354">
      <c r="A354" s="5" t="s">
        <v>523</v>
      </c>
      <c r="B354" s="11">
        <v>2435.0</v>
      </c>
    </row>
    <row r="355">
      <c r="A355" s="5" t="s">
        <v>525</v>
      </c>
      <c r="B355" s="11">
        <v>2637.0</v>
      </c>
    </row>
    <row r="356">
      <c r="A356" s="5" t="s">
        <v>526</v>
      </c>
      <c r="B356" s="28">
        <v>3043.0</v>
      </c>
    </row>
    <row r="357">
      <c r="A357" s="5" t="s">
        <v>528</v>
      </c>
      <c r="B357" s="11">
        <v>3449.0</v>
      </c>
    </row>
    <row r="358">
      <c r="A358" s="5" t="s">
        <v>529</v>
      </c>
      <c r="B358" s="11">
        <v>6897.0</v>
      </c>
    </row>
    <row r="359">
      <c r="A359" s="5" t="s">
        <v>530</v>
      </c>
      <c r="B359" s="11">
        <v>32392.0</v>
      </c>
    </row>
    <row r="360">
      <c r="A360" s="5" t="s">
        <v>532</v>
      </c>
      <c r="B360" s="11">
        <v>14775.0</v>
      </c>
    </row>
    <row r="361">
      <c r="A361" s="5" t="s">
        <v>533</v>
      </c>
      <c r="B361" s="11">
        <v>13311.0</v>
      </c>
    </row>
    <row r="362">
      <c r="A362" s="5" t="s">
        <v>535</v>
      </c>
      <c r="B362" s="11">
        <v>12256.0</v>
      </c>
    </row>
    <row r="363">
      <c r="A363" s="5" t="s">
        <v>536</v>
      </c>
      <c r="B363" s="11">
        <v>5974.0</v>
      </c>
    </row>
    <row r="364">
      <c r="A364" s="5" t="s">
        <v>538</v>
      </c>
      <c r="B364" s="11">
        <v>10140.0</v>
      </c>
    </row>
    <row r="365">
      <c r="A365" s="5" t="s">
        <v>539</v>
      </c>
      <c r="B365" s="11">
        <v>20231.0</v>
      </c>
    </row>
    <row r="366">
      <c r="A366" s="5" t="s">
        <v>541</v>
      </c>
      <c r="B366" s="11">
        <v>33988.0</v>
      </c>
    </row>
    <row r="367">
      <c r="A367" s="5" t="s">
        <v>542</v>
      </c>
      <c r="B367" s="28">
        <v>23303.0</v>
      </c>
    </row>
    <row r="368">
      <c r="A368" s="5" t="s">
        <v>543</v>
      </c>
      <c r="B368" s="11">
        <v>29615.0</v>
      </c>
    </row>
    <row r="369">
      <c r="A369" s="5" t="s">
        <v>545</v>
      </c>
      <c r="B369" s="11">
        <v>13915.0</v>
      </c>
    </row>
    <row r="370">
      <c r="A370" s="5" t="s">
        <v>546</v>
      </c>
      <c r="B370" s="11">
        <v>19790.0</v>
      </c>
    </row>
    <row r="371">
      <c r="A371" s="5" t="s">
        <v>548</v>
      </c>
      <c r="B371" s="11">
        <v>10050.0</v>
      </c>
    </row>
    <row r="372">
      <c r="A372" s="5" t="s">
        <v>549</v>
      </c>
      <c r="B372" s="11">
        <v>16940.0</v>
      </c>
    </row>
    <row r="373">
      <c r="A373" s="5" t="s">
        <v>551</v>
      </c>
      <c r="B373" s="11">
        <v>8666.0</v>
      </c>
    </row>
    <row r="374">
      <c r="A374" s="5" t="s">
        <v>553</v>
      </c>
      <c r="B374" s="11">
        <v>26214.0</v>
      </c>
    </row>
    <row r="375">
      <c r="A375" s="5" t="s">
        <v>554</v>
      </c>
      <c r="B375" s="11">
        <v>4592.0</v>
      </c>
    </row>
    <row r="376">
      <c r="A376" s="5" t="s">
        <v>555</v>
      </c>
      <c r="B376" s="11">
        <v>12310.0</v>
      </c>
    </row>
    <row r="377">
      <c r="A377" s="5" t="s">
        <v>557</v>
      </c>
      <c r="B377" s="11">
        <v>15397.0</v>
      </c>
    </row>
    <row r="378">
      <c r="A378" s="5" t="s">
        <v>558</v>
      </c>
      <c r="B378" s="11">
        <v>8238.0</v>
      </c>
    </row>
    <row r="379">
      <c r="A379" s="5" t="s">
        <v>560</v>
      </c>
      <c r="B379" s="11">
        <v>3718.0</v>
      </c>
    </row>
    <row r="380">
      <c r="A380" s="5" t="s">
        <v>562</v>
      </c>
      <c r="B380" s="11">
        <v>13404.0</v>
      </c>
    </row>
    <row r="381">
      <c r="A381" s="5" t="s">
        <v>563</v>
      </c>
      <c r="B381" s="11">
        <v>22266.0</v>
      </c>
    </row>
    <row r="382">
      <c r="A382" s="5" t="s">
        <v>565</v>
      </c>
      <c r="B382" s="11">
        <v>16940.0</v>
      </c>
    </row>
    <row r="383">
      <c r="A383" s="5" t="s">
        <v>567</v>
      </c>
      <c r="B383" s="11">
        <v>9606.0</v>
      </c>
    </row>
    <row r="384">
      <c r="A384" s="5" t="s">
        <v>568</v>
      </c>
      <c r="B384" s="11">
        <v>12689.0</v>
      </c>
    </row>
    <row r="385">
      <c r="A385" s="5" t="s">
        <v>570</v>
      </c>
      <c r="B385" s="11">
        <v>12345.0</v>
      </c>
    </row>
    <row r="386">
      <c r="A386" s="5" t="s">
        <v>571</v>
      </c>
      <c r="B386" s="11">
        <v>2755.0</v>
      </c>
    </row>
    <row r="387">
      <c r="A387" s="5" t="s">
        <v>572</v>
      </c>
      <c r="B387" s="11">
        <v>7111.0</v>
      </c>
    </row>
    <row r="388">
      <c r="A388" s="5" t="s">
        <v>574</v>
      </c>
      <c r="B388" s="11">
        <v>60500.0</v>
      </c>
    </row>
    <row r="389">
      <c r="A389" s="5" t="s">
        <v>575</v>
      </c>
      <c r="B389" s="11">
        <v>96800.0</v>
      </c>
    </row>
    <row r="390">
      <c r="A390" s="5" t="s">
        <v>577</v>
      </c>
      <c r="B390" s="28">
        <v>36300.0</v>
      </c>
    </row>
    <row r="391">
      <c r="A391" s="5" t="s">
        <v>578</v>
      </c>
      <c r="B391" s="11">
        <v>20837.0</v>
      </c>
    </row>
    <row r="392">
      <c r="A392" s="5" t="s">
        <v>580</v>
      </c>
      <c r="B392" s="11">
        <v>34728.0</v>
      </c>
    </row>
    <row r="393">
      <c r="A393" s="5" t="s">
        <v>581</v>
      </c>
      <c r="B393" s="11">
        <v>9389.0</v>
      </c>
    </row>
    <row r="394">
      <c r="A394" s="5" t="s">
        <v>582</v>
      </c>
      <c r="B394" s="11">
        <v>26009.0</v>
      </c>
    </row>
    <row r="395">
      <c r="A395" s="5" t="s">
        <v>584</v>
      </c>
      <c r="B395" s="11">
        <v>11010.0</v>
      </c>
    </row>
    <row r="396">
      <c r="A396" s="5" t="s">
        <v>585</v>
      </c>
      <c r="B396" s="11">
        <v>14524.0</v>
      </c>
    </row>
    <row r="397">
      <c r="A397" s="5" t="s">
        <v>587</v>
      </c>
      <c r="B397" s="11">
        <v>9500.0</v>
      </c>
    </row>
    <row r="398">
      <c r="A398" s="5" t="s">
        <v>588</v>
      </c>
      <c r="B398" s="11">
        <v>7075.0</v>
      </c>
    </row>
    <row r="399">
      <c r="A399" s="5" t="s">
        <v>589</v>
      </c>
      <c r="B399" s="11">
        <v>11043.0</v>
      </c>
    </row>
    <row r="400">
      <c r="A400" s="5" t="s">
        <v>591</v>
      </c>
      <c r="B400" s="11">
        <v>7815.0</v>
      </c>
    </row>
    <row r="401">
      <c r="A401" s="5" t="s">
        <v>592</v>
      </c>
      <c r="B401" s="11">
        <v>2667.0</v>
      </c>
    </row>
    <row r="402">
      <c r="A402" s="5" t="s">
        <v>593</v>
      </c>
      <c r="B402" s="11">
        <v>1415.0</v>
      </c>
    </row>
    <row r="403">
      <c r="A403" s="5" t="s">
        <v>595</v>
      </c>
      <c r="B403" s="11">
        <v>175387.0</v>
      </c>
    </row>
    <row r="404">
      <c r="A404" s="5" t="s">
        <v>596</v>
      </c>
      <c r="B404" s="11">
        <v>35415.0</v>
      </c>
    </row>
    <row r="405">
      <c r="A405" s="5" t="s">
        <v>598</v>
      </c>
      <c r="B405" s="11">
        <v>4696.0</v>
      </c>
    </row>
    <row r="406">
      <c r="A406" s="5" t="s">
        <v>599</v>
      </c>
      <c r="B406" s="11">
        <v>12196.0</v>
      </c>
    </row>
    <row r="407">
      <c r="A407" s="5" t="s">
        <v>601</v>
      </c>
      <c r="B407" s="11">
        <v>22205.0</v>
      </c>
    </row>
    <row r="408">
      <c r="A408" s="12" t="s">
        <v>602</v>
      </c>
      <c r="B408" s="11">
        <v>28135.0</v>
      </c>
    </row>
    <row r="409">
      <c r="A409" s="5" t="s">
        <v>604</v>
      </c>
      <c r="B409" s="11">
        <v>141965.0</v>
      </c>
    </row>
    <row r="410">
      <c r="A410" s="5" t="s">
        <v>605</v>
      </c>
      <c r="B410" s="11">
        <v>4763.0</v>
      </c>
    </row>
    <row r="411">
      <c r="A411" s="5" t="s">
        <v>607</v>
      </c>
      <c r="B411" s="11">
        <v>33748.0</v>
      </c>
    </row>
    <row r="412">
      <c r="A412" s="5" t="s">
        <v>608</v>
      </c>
      <c r="B412" s="11">
        <v>114775.0</v>
      </c>
    </row>
    <row r="413">
      <c r="A413" s="5" t="s">
        <v>610</v>
      </c>
      <c r="B413" s="11">
        <v>44253.0</v>
      </c>
    </row>
    <row r="414">
      <c r="A414" s="5" t="s">
        <v>611</v>
      </c>
      <c r="B414" s="11">
        <v>87823.0</v>
      </c>
    </row>
    <row r="415">
      <c r="A415" s="5" t="s">
        <v>612</v>
      </c>
      <c r="B415" s="11">
        <v>133994.0</v>
      </c>
    </row>
    <row r="416">
      <c r="A416" s="5" t="s">
        <v>614</v>
      </c>
      <c r="B416" s="11">
        <v>72589.0</v>
      </c>
    </row>
    <row r="417">
      <c r="A417" s="5" t="s">
        <v>615</v>
      </c>
      <c r="B417" s="11">
        <v>71075.0</v>
      </c>
    </row>
    <row r="418">
      <c r="A418" s="5" t="s">
        <v>616</v>
      </c>
      <c r="B418" s="28">
        <v>171326.0</v>
      </c>
    </row>
    <row r="419">
      <c r="A419" s="5" t="s">
        <v>618</v>
      </c>
      <c r="B419" s="11">
        <v>311617.0</v>
      </c>
    </row>
    <row r="420">
      <c r="A420" s="5" t="s">
        <v>620</v>
      </c>
      <c r="B420" s="11">
        <v>34175.0</v>
      </c>
    </row>
    <row r="421">
      <c r="A421" s="5" t="s">
        <v>621</v>
      </c>
      <c r="B421" s="11">
        <v>368064.0</v>
      </c>
    </row>
    <row r="422">
      <c r="A422" s="5" t="s">
        <v>622</v>
      </c>
      <c r="B422" s="11">
        <v>116642.0</v>
      </c>
    </row>
    <row r="423">
      <c r="A423" s="5" t="s">
        <v>624</v>
      </c>
      <c r="B423" s="11">
        <v>254722.0</v>
      </c>
    </row>
    <row r="424">
      <c r="A424" s="5" t="s">
        <v>625</v>
      </c>
      <c r="B424" s="11">
        <v>10345.0</v>
      </c>
    </row>
    <row r="425">
      <c r="A425" s="5" t="s">
        <v>627</v>
      </c>
      <c r="B425" s="11">
        <v>37083.0</v>
      </c>
    </row>
    <row r="426">
      <c r="A426" s="5" t="s">
        <v>628</v>
      </c>
      <c r="B426" s="11">
        <v>53432.0</v>
      </c>
    </row>
    <row r="427">
      <c r="A427" s="5" t="s">
        <v>629</v>
      </c>
      <c r="B427" s="11">
        <v>27348.0</v>
      </c>
    </row>
    <row r="428">
      <c r="A428" s="5" t="s">
        <v>631</v>
      </c>
      <c r="B428" s="11">
        <v>54697.0</v>
      </c>
    </row>
    <row r="429">
      <c r="A429" s="5" t="s">
        <v>632</v>
      </c>
      <c r="B429" s="11">
        <v>3148.0</v>
      </c>
    </row>
    <row r="430">
      <c r="A430" s="5" t="s">
        <v>634</v>
      </c>
      <c r="B430" s="11">
        <v>11109.0</v>
      </c>
    </row>
    <row r="431">
      <c r="A431" s="5" t="s">
        <v>635</v>
      </c>
      <c r="B431" s="11">
        <v>26663.0</v>
      </c>
    </row>
    <row r="432">
      <c r="A432" s="5" t="s">
        <v>637</v>
      </c>
      <c r="B432" s="11">
        <v>9174.0</v>
      </c>
    </row>
    <row r="433">
      <c r="A433" s="5" t="s">
        <v>638</v>
      </c>
      <c r="B433" s="11">
        <v>20790.0</v>
      </c>
    </row>
    <row r="434">
      <c r="A434" s="5" t="s">
        <v>640</v>
      </c>
      <c r="B434" s="11">
        <v>221740.0</v>
      </c>
    </row>
    <row r="435">
      <c r="A435" s="5" t="s">
        <v>641</v>
      </c>
      <c r="B435" s="11">
        <v>25517.0</v>
      </c>
    </row>
    <row r="436">
      <c r="A436" s="5" t="s">
        <v>642</v>
      </c>
      <c r="B436" s="11">
        <v>51035.0</v>
      </c>
    </row>
    <row r="437">
      <c r="A437" s="5" t="s">
        <v>644</v>
      </c>
      <c r="B437" s="11">
        <v>73590.0</v>
      </c>
    </row>
    <row r="438">
      <c r="A438" s="5" t="s">
        <v>645</v>
      </c>
      <c r="B438" s="11">
        <v>62400.0</v>
      </c>
    </row>
    <row r="439">
      <c r="A439" s="5" t="s">
        <v>647</v>
      </c>
      <c r="B439" s="11">
        <v>124802.0</v>
      </c>
    </row>
    <row r="440">
      <c r="A440" s="5" t="s">
        <v>648</v>
      </c>
      <c r="B440" s="11">
        <v>27990.0</v>
      </c>
    </row>
    <row r="441">
      <c r="A441" s="5" t="s">
        <v>649</v>
      </c>
      <c r="B441" s="11">
        <v>55981.0</v>
      </c>
    </row>
    <row r="442">
      <c r="A442" s="5" t="s">
        <v>651</v>
      </c>
      <c r="B442" s="11">
        <v>50366.0</v>
      </c>
    </row>
    <row r="443">
      <c r="A443" s="5" t="s">
        <v>652</v>
      </c>
      <c r="B443" s="11">
        <v>100732.0</v>
      </c>
    </row>
    <row r="444">
      <c r="A444" s="5" t="s">
        <v>653</v>
      </c>
      <c r="B444" s="11">
        <v>27161.0</v>
      </c>
    </row>
    <row r="445">
      <c r="A445" s="5" t="s">
        <v>655</v>
      </c>
      <c r="B445" s="11">
        <v>219992.0</v>
      </c>
    </row>
    <row r="446">
      <c r="A446" s="5" t="s">
        <v>656</v>
      </c>
      <c r="B446" s="11">
        <v>21433.0</v>
      </c>
    </row>
    <row r="447">
      <c r="A447" s="5" t="s">
        <v>658</v>
      </c>
      <c r="B447" s="11">
        <v>0.0</v>
      </c>
    </row>
    <row r="448">
      <c r="A448" s="5" t="s">
        <v>659</v>
      </c>
      <c r="B448" s="11">
        <v>0.0</v>
      </c>
    </row>
    <row r="449">
      <c r="A449" s="5" t="s">
        <v>660</v>
      </c>
      <c r="B449" s="11">
        <v>39968.0</v>
      </c>
    </row>
    <row r="450">
      <c r="A450" s="5" t="s">
        <v>662</v>
      </c>
      <c r="B450" s="11">
        <v>39968.0</v>
      </c>
    </row>
    <row r="451">
      <c r="A451" s="5" t="s">
        <v>663</v>
      </c>
      <c r="B451" s="11">
        <v>87193.0</v>
      </c>
    </row>
    <row r="452">
      <c r="A452" s="5" t="s">
        <v>665</v>
      </c>
      <c r="B452" s="11">
        <v>19151.0</v>
      </c>
    </row>
    <row r="453">
      <c r="A453" s="5" t="s">
        <v>666</v>
      </c>
      <c r="B453" s="11">
        <v>43061.0</v>
      </c>
    </row>
    <row r="454">
      <c r="A454" s="5" t="s">
        <v>668</v>
      </c>
      <c r="B454" s="11">
        <v>10123.0</v>
      </c>
    </row>
    <row r="455">
      <c r="A455" s="5" t="s">
        <v>669</v>
      </c>
      <c r="B455" s="11">
        <v>92786.0</v>
      </c>
    </row>
    <row r="456">
      <c r="A456" s="5" t="s">
        <v>671</v>
      </c>
      <c r="B456" s="11">
        <v>127864.0</v>
      </c>
    </row>
    <row r="457">
      <c r="A457" s="5" t="s">
        <v>672</v>
      </c>
      <c r="B457" s="11">
        <v>13065.0</v>
      </c>
    </row>
    <row r="458">
      <c r="A458" s="5" t="s">
        <v>673</v>
      </c>
      <c r="B458" s="11">
        <v>38360.0</v>
      </c>
    </row>
    <row r="459">
      <c r="A459" s="5" t="s">
        <v>675</v>
      </c>
      <c r="B459" s="11">
        <v>139084.0</v>
      </c>
    </row>
    <row r="460">
      <c r="A460" s="5" t="s">
        <v>676</v>
      </c>
      <c r="B460" s="11">
        <v>264258.0</v>
      </c>
    </row>
    <row r="461">
      <c r="A461" s="5" t="s">
        <v>678</v>
      </c>
      <c r="B461" s="28">
        <v>207523.0</v>
      </c>
    </row>
    <row r="462">
      <c r="A462" s="5" t="s">
        <v>679</v>
      </c>
      <c r="B462" s="11">
        <v>54800.0</v>
      </c>
    </row>
    <row r="463">
      <c r="A463" s="5" t="s">
        <v>681</v>
      </c>
      <c r="B463" s="11">
        <v>282426.0</v>
      </c>
    </row>
    <row r="464">
      <c r="A464" s="5" t="s">
        <v>682</v>
      </c>
      <c r="B464" s="11">
        <v>5434.0</v>
      </c>
    </row>
    <row r="465">
      <c r="A465" s="5" t="s">
        <v>683</v>
      </c>
      <c r="B465" s="11">
        <v>43332.0</v>
      </c>
    </row>
    <row r="466">
      <c r="A466" s="5" t="s">
        <v>685</v>
      </c>
      <c r="B466" s="11">
        <v>37320.0</v>
      </c>
    </row>
    <row r="467">
      <c r="A467" s="5" t="s">
        <v>687</v>
      </c>
      <c r="B467" s="11">
        <v>38612.0</v>
      </c>
    </row>
    <row r="468">
      <c r="A468" s="5" t="s">
        <v>688</v>
      </c>
      <c r="B468" s="11">
        <v>21384.0</v>
      </c>
    </row>
    <row r="469">
      <c r="A469" s="5" t="s">
        <v>690</v>
      </c>
      <c r="B469" s="11">
        <v>38253.0</v>
      </c>
    </row>
    <row r="470">
      <c r="A470" s="5" t="s">
        <v>691</v>
      </c>
      <c r="B470" s="11">
        <v>88152.0</v>
      </c>
    </row>
    <row r="471">
      <c r="A471" s="5" t="s">
        <v>693</v>
      </c>
      <c r="B471" s="11">
        <v>49452.0</v>
      </c>
    </row>
    <row r="472">
      <c r="A472" s="5" t="s">
        <v>694</v>
      </c>
      <c r="B472" s="11">
        <v>317493.0</v>
      </c>
    </row>
    <row r="473">
      <c r="A473" s="5" t="s">
        <v>696</v>
      </c>
      <c r="B473" s="11">
        <v>0.0</v>
      </c>
    </row>
    <row r="474">
      <c r="A474" s="5" t="s">
        <v>697</v>
      </c>
      <c r="B474" s="11">
        <v>81475.0</v>
      </c>
    </row>
    <row r="475">
      <c r="A475" s="5" t="s">
        <v>699</v>
      </c>
      <c r="B475" s="11">
        <v>20130.0</v>
      </c>
    </row>
    <row r="476">
      <c r="A476" s="5" t="s">
        <v>701</v>
      </c>
      <c r="B476" s="11">
        <v>17576.0</v>
      </c>
    </row>
    <row r="477">
      <c r="A477" s="5" t="s">
        <v>702</v>
      </c>
      <c r="B477" s="11">
        <v>35157.0</v>
      </c>
    </row>
    <row r="478">
      <c r="A478" s="5" t="s">
        <v>703</v>
      </c>
      <c r="B478" s="11">
        <v>17397.0</v>
      </c>
    </row>
    <row r="479">
      <c r="A479" s="5" t="s">
        <v>705</v>
      </c>
      <c r="B479" s="11">
        <v>74424.0</v>
      </c>
    </row>
    <row r="480">
      <c r="A480" s="5" t="s">
        <v>706</v>
      </c>
      <c r="B480" s="11">
        <v>47461.0</v>
      </c>
    </row>
    <row r="481">
      <c r="A481" s="5" t="s">
        <v>708</v>
      </c>
      <c r="B481" s="11">
        <v>94922.0</v>
      </c>
    </row>
    <row r="482">
      <c r="A482" s="5" t="s">
        <v>709</v>
      </c>
      <c r="B482" s="11">
        <v>49022.0</v>
      </c>
    </row>
    <row r="483">
      <c r="A483" s="5" t="s">
        <v>711</v>
      </c>
      <c r="B483" s="11">
        <v>76139.0</v>
      </c>
    </row>
    <row r="484">
      <c r="A484" s="5" t="s">
        <v>713</v>
      </c>
      <c r="B484" s="11">
        <v>61800.0</v>
      </c>
    </row>
    <row r="485">
      <c r="A485" s="5" t="s">
        <v>714</v>
      </c>
      <c r="B485" s="11">
        <v>33076.0</v>
      </c>
    </row>
    <row r="486">
      <c r="A486" s="5" t="s">
        <v>716</v>
      </c>
      <c r="B486" s="11">
        <v>16538.0</v>
      </c>
    </row>
    <row r="487">
      <c r="A487" s="5" t="s">
        <v>717</v>
      </c>
      <c r="B487" s="11">
        <v>8771.0</v>
      </c>
    </row>
    <row r="488">
      <c r="A488" s="5" t="s">
        <v>719</v>
      </c>
      <c r="B488" s="11">
        <v>2005.0</v>
      </c>
    </row>
    <row r="489">
      <c r="A489" s="5" t="s">
        <v>721</v>
      </c>
      <c r="B489" s="11">
        <v>3055.0</v>
      </c>
    </row>
    <row r="490">
      <c r="A490" s="5" t="s">
        <v>722</v>
      </c>
      <c r="B490" s="11">
        <v>3547.0</v>
      </c>
    </row>
    <row r="491">
      <c r="A491" s="5" t="s">
        <v>723</v>
      </c>
      <c r="B491" s="11">
        <v>13476.0</v>
      </c>
    </row>
    <row r="492">
      <c r="A492" s="5" t="s">
        <v>725</v>
      </c>
      <c r="B492" s="11">
        <v>6785.0</v>
      </c>
    </row>
    <row r="493">
      <c r="A493" s="5" t="s">
        <v>727</v>
      </c>
      <c r="B493" s="11">
        <v>7884.0</v>
      </c>
    </row>
    <row r="494">
      <c r="A494" s="5" t="s">
        <v>728</v>
      </c>
      <c r="B494" s="11">
        <v>268733.0</v>
      </c>
    </row>
    <row r="495">
      <c r="A495" s="12" t="s">
        <v>730</v>
      </c>
      <c r="B495" s="11">
        <v>55271.0</v>
      </c>
    </row>
    <row r="496">
      <c r="A496" s="12" t="s">
        <v>731</v>
      </c>
      <c r="B496" s="11">
        <v>38657.0</v>
      </c>
    </row>
    <row r="497">
      <c r="A497" s="12" t="s">
        <v>733</v>
      </c>
      <c r="B497" s="11">
        <v>33984.0</v>
      </c>
    </row>
    <row r="498">
      <c r="A498" s="5" t="s">
        <v>734</v>
      </c>
      <c r="B498" s="11">
        <v>51577.0</v>
      </c>
    </row>
    <row r="499">
      <c r="A499" s="5" t="s">
        <v>736</v>
      </c>
      <c r="B499" s="11">
        <v>87445.0</v>
      </c>
    </row>
    <row r="500">
      <c r="A500" s="5" t="s">
        <v>737</v>
      </c>
      <c r="B500" s="11">
        <v>81981.0</v>
      </c>
    </row>
    <row r="501">
      <c r="A501" s="12" t="s">
        <v>738</v>
      </c>
      <c r="B501" s="11">
        <v>8676.0</v>
      </c>
    </row>
    <row r="502">
      <c r="A502" s="12" t="s">
        <v>740</v>
      </c>
      <c r="B502" s="11">
        <v>303021.0</v>
      </c>
    </row>
    <row r="503">
      <c r="A503" s="12" t="s">
        <v>741</v>
      </c>
      <c r="B503" s="11">
        <v>4172.0</v>
      </c>
    </row>
    <row r="504">
      <c r="A504" s="5" t="s">
        <v>743</v>
      </c>
      <c r="B504" s="11">
        <v>4768.0</v>
      </c>
    </row>
    <row r="505">
      <c r="A505" s="5" t="s">
        <v>744</v>
      </c>
      <c r="B505" s="11">
        <v>2845.0</v>
      </c>
    </row>
    <row r="506">
      <c r="A506" s="5" t="s">
        <v>746</v>
      </c>
      <c r="B506" s="11">
        <v>173523.0</v>
      </c>
    </row>
    <row r="507">
      <c r="A507" s="12" t="s">
        <v>747</v>
      </c>
      <c r="B507" s="11">
        <v>71999.0</v>
      </c>
    </row>
    <row r="508">
      <c r="A508" s="12" t="s">
        <v>749</v>
      </c>
      <c r="B508" s="11">
        <v>12650.0</v>
      </c>
    </row>
    <row r="509">
      <c r="A509" s="5" t="s">
        <v>750</v>
      </c>
      <c r="B509" s="11">
        <v>103807.0</v>
      </c>
    </row>
    <row r="510">
      <c r="A510" s="12" t="s">
        <v>752</v>
      </c>
      <c r="B510" s="11">
        <v>53790.0</v>
      </c>
    </row>
    <row r="511">
      <c r="A511" s="5" t="s">
        <v>753</v>
      </c>
      <c r="B511" s="11">
        <v>22329.0</v>
      </c>
    </row>
    <row r="512">
      <c r="A512" s="5" t="s">
        <v>755</v>
      </c>
      <c r="B512" s="11">
        <v>4680.0</v>
      </c>
    </row>
    <row r="513">
      <c r="A513" s="12" t="s">
        <v>757</v>
      </c>
      <c r="B513" s="11">
        <v>4587.0</v>
      </c>
    </row>
    <row r="514">
      <c r="A514" s="5" t="s">
        <v>758</v>
      </c>
      <c r="B514" s="11">
        <v>5236.0</v>
      </c>
    </row>
    <row r="515">
      <c r="A515" s="5" t="s">
        <v>760</v>
      </c>
      <c r="B515" s="11">
        <v>5693.0</v>
      </c>
    </row>
    <row r="516">
      <c r="A516" s="5" t="s">
        <v>761</v>
      </c>
      <c r="B516" s="11">
        <v>3248.0</v>
      </c>
    </row>
    <row r="517">
      <c r="A517" s="5" t="s">
        <v>763</v>
      </c>
      <c r="B517" s="11">
        <v>139834.0</v>
      </c>
    </row>
    <row r="518">
      <c r="A518" s="12" t="s">
        <v>764</v>
      </c>
      <c r="B518" s="11">
        <v>5864.0</v>
      </c>
    </row>
    <row r="519">
      <c r="A519" s="12" t="s">
        <v>766</v>
      </c>
      <c r="B519" s="11">
        <v>6778.0</v>
      </c>
    </row>
    <row r="520">
      <c r="A520" s="12" t="s">
        <v>767</v>
      </c>
      <c r="B520" s="11">
        <v>9886.0</v>
      </c>
    </row>
    <row r="521">
      <c r="A521" s="12" t="s">
        <v>770</v>
      </c>
      <c r="B521" s="11">
        <v>7320.0</v>
      </c>
    </row>
    <row r="522">
      <c r="A522" s="12" t="s">
        <v>771</v>
      </c>
      <c r="B522" s="11">
        <v>12886.0</v>
      </c>
    </row>
    <row r="523">
      <c r="A523" s="12" t="s">
        <v>773</v>
      </c>
      <c r="B523" s="11">
        <v>3856.0</v>
      </c>
    </row>
    <row r="524">
      <c r="A524" s="12" t="s">
        <v>774</v>
      </c>
      <c r="B524" s="11">
        <v>4218.0</v>
      </c>
    </row>
    <row r="525">
      <c r="A525" s="12" t="s">
        <v>775</v>
      </c>
      <c r="B525" s="11">
        <v>5919.0</v>
      </c>
    </row>
    <row r="526">
      <c r="A526" s="12" t="s">
        <v>777</v>
      </c>
      <c r="B526" s="11">
        <v>4584.0</v>
      </c>
    </row>
    <row r="527">
      <c r="A527" s="12" t="s">
        <v>778</v>
      </c>
      <c r="B527" s="11">
        <v>7478.0</v>
      </c>
    </row>
    <row r="528">
      <c r="A528" s="5" t="s">
        <v>395</v>
      </c>
      <c r="B528" s="11">
        <v>15320.0</v>
      </c>
    </row>
    <row r="529">
      <c r="A529" s="5" t="s">
        <v>780</v>
      </c>
      <c r="B529" s="11">
        <v>23385.0</v>
      </c>
    </row>
    <row r="530">
      <c r="A530" s="12" t="s">
        <v>782</v>
      </c>
      <c r="B530" s="11">
        <v>13564.0</v>
      </c>
    </row>
    <row r="531">
      <c r="A531" s="12" t="s">
        <v>783</v>
      </c>
      <c r="B531" s="11">
        <v>12070.0</v>
      </c>
    </row>
    <row r="532">
      <c r="A532" s="12" t="s">
        <v>769</v>
      </c>
      <c r="B532" s="11">
        <v>11712.0</v>
      </c>
    </row>
    <row r="533">
      <c r="A533" s="12" t="s">
        <v>785</v>
      </c>
      <c r="B533" s="11">
        <v>16614.0</v>
      </c>
    </row>
    <row r="534">
      <c r="A534" s="12" t="s">
        <v>787</v>
      </c>
      <c r="B534" s="11">
        <v>10744.0</v>
      </c>
    </row>
    <row r="535">
      <c r="A535" s="12" t="s">
        <v>788</v>
      </c>
      <c r="B535" s="11">
        <v>9819.0</v>
      </c>
    </row>
    <row r="536">
      <c r="A536" s="12" t="s">
        <v>790</v>
      </c>
      <c r="B536" s="11">
        <v>11346.0</v>
      </c>
    </row>
    <row r="537">
      <c r="A537" s="12" t="s">
        <v>791</v>
      </c>
      <c r="B537" s="28">
        <v>17623.0</v>
      </c>
    </row>
    <row r="538">
      <c r="A538" s="12" t="s">
        <v>792</v>
      </c>
      <c r="B538" s="11">
        <v>20998.0</v>
      </c>
    </row>
    <row r="539">
      <c r="A539" s="12" t="s">
        <v>794</v>
      </c>
      <c r="B539" s="11">
        <v>13439.0</v>
      </c>
    </row>
    <row r="540">
      <c r="A540" s="12" t="s">
        <v>795</v>
      </c>
      <c r="B540" s="11">
        <v>12139.0</v>
      </c>
    </row>
    <row r="541">
      <c r="A541" s="12" t="s">
        <v>796</v>
      </c>
      <c r="B541" s="11">
        <v>26405.0</v>
      </c>
    </row>
    <row r="542">
      <c r="A542" s="12" t="s">
        <v>797</v>
      </c>
      <c r="B542" s="11">
        <v>57463.0</v>
      </c>
    </row>
    <row r="543">
      <c r="A543" s="5" t="s">
        <v>799</v>
      </c>
      <c r="B543" s="11">
        <v>11809.0</v>
      </c>
    </row>
    <row r="544">
      <c r="A544" s="12" t="s">
        <v>800</v>
      </c>
      <c r="B544" s="11">
        <v>2044.0</v>
      </c>
    </row>
    <row r="545">
      <c r="A545" s="12" t="s">
        <v>802</v>
      </c>
      <c r="B545" s="11">
        <v>5538.0</v>
      </c>
    </row>
    <row r="546">
      <c r="A546" s="12" t="s">
        <v>803</v>
      </c>
      <c r="B546" s="11">
        <v>6195.0</v>
      </c>
    </row>
    <row r="547">
      <c r="A547" s="12" t="s">
        <v>804</v>
      </c>
      <c r="B547" s="11">
        <v>6814.0</v>
      </c>
    </row>
    <row r="548">
      <c r="A548" s="5" t="s">
        <v>806</v>
      </c>
      <c r="B548" s="11">
        <v>19979.0</v>
      </c>
    </row>
    <row r="549">
      <c r="A549" s="5" t="s">
        <v>807</v>
      </c>
      <c r="B549" s="11">
        <v>29771.0</v>
      </c>
    </row>
    <row r="550">
      <c r="A550" s="5" t="s">
        <v>809</v>
      </c>
      <c r="B550" s="11">
        <v>139594.0</v>
      </c>
    </row>
    <row r="551">
      <c r="A551" s="5" t="s">
        <v>810</v>
      </c>
      <c r="B551" s="11">
        <v>0.0</v>
      </c>
    </row>
    <row r="552">
      <c r="A552" s="12" t="s">
        <v>812</v>
      </c>
      <c r="B552" s="11">
        <v>111052.0</v>
      </c>
    </row>
    <row r="553">
      <c r="A553" s="12" t="s">
        <v>813</v>
      </c>
      <c r="B553" s="11">
        <v>39707.0</v>
      </c>
    </row>
    <row r="554">
      <c r="A554" s="5" t="s">
        <v>814</v>
      </c>
      <c r="B554" s="11">
        <v>20183.0</v>
      </c>
    </row>
    <row r="555">
      <c r="A555" s="5" t="s">
        <v>816</v>
      </c>
      <c r="B555" s="11">
        <v>21865.0</v>
      </c>
    </row>
    <row r="556">
      <c r="A556" s="5" t="s">
        <v>817</v>
      </c>
      <c r="B556" s="11">
        <v>21865.0</v>
      </c>
    </row>
    <row r="557">
      <c r="A557" s="5" t="s">
        <v>819</v>
      </c>
      <c r="B557" s="11">
        <v>21865.0</v>
      </c>
    </row>
    <row r="558">
      <c r="A558" s="5" t="s">
        <v>820</v>
      </c>
      <c r="B558" s="11">
        <v>21865.0</v>
      </c>
    </row>
    <row r="559">
      <c r="A559" s="5" t="s">
        <v>822</v>
      </c>
      <c r="B559" s="11">
        <v>1093.0</v>
      </c>
    </row>
    <row r="560">
      <c r="A560" s="5" t="s">
        <v>823</v>
      </c>
      <c r="B560" s="11">
        <v>58867.0</v>
      </c>
    </row>
    <row r="561">
      <c r="A561" s="12" t="s">
        <v>825</v>
      </c>
      <c r="B561" s="11">
        <v>13200.0</v>
      </c>
    </row>
    <row r="562">
      <c r="A562" s="12" t="s">
        <v>826</v>
      </c>
      <c r="B562" s="11">
        <v>13200.0</v>
      </c>
    </row>
    <row r="563">
      <c r="A563" s="12" t="s">
        <v>827</v>
      </c>
      <c r="B563" s="11">
        <v>13200.0</v>
      </c>
    </row>
    <row r="564">
      <c r="A564" s="12" t="s">
        <v>829</v>
      </c>
      <c r="B564" s="11">
        <v>13200.0</v>
      </c>
    </row>
    <row r="565">
      <c r="A565" s="5" t="s">
        <v>830</v>
      </c>
      <c r="B565" s="11">
        <v>15029.0</v>
      </c>
    </row>
    <row r="566">
      <c r="A566" s="12" t="s">
        <v>832</v>
      </c>
      <c r="B566" s="11">
        <v>13390.0</v>
      </c>
    </row>
    <row r="567">
      <c r="A567" s="5" t="s">
        <v>833</v>
      </c>
      <c r="B567" s="11">
        <v>17548.0</v>
      </c>
    </row>
    <row r="568">
      <c r="A568" s="5" t="s">
        <v>835</v>
      </c>
      <c r="B568" s="11">
        <v>5345.0</v>
      </c>
    </row>
    <row r="569">
      <c r="A569" s="5" t="s">
        <v>836</v>
      </c>
      <c r="B569" s="11">
        <v>8312.0</v>
      </c>
    </row>
    <row r="570">
      <c r="A570" s="5" t="s">
        <v>838</v>
      </c>
      <c r="B570" s="11">
        <v>7533.0</v>
      </c>
    </row>
    <row r="571">
      <c r="A571" s="5" t="s">
        <v>839</v>
      </c>
      <c r="B571" s="11">
        <v>0.0</v>
      </c>
    </row>
    <row r="572">
      <c r="A572" s="5" t="s">
        <v>840</v>
      </c>
      <c r="B572" s="11">
        <v>15461.0</v>
      </c>
    </row>
    <row r="573">
      <c r="A573" s="5" t="s">
        <v>842</v>
      </c>
      <c r="B573" s="11">
        <v>30814.0</v>
      </c>
    </row>
    <row r="574">
      <c r="A574" s="12" t="s">
        <v>843</v>
      </c>
      <c r="B574" s="11">
        <v>11495.0</v>
      </c>
    </row>
    <row r="575">
      <c r="A575" s="12" t="s">
        <v>844</v>
      </c>
      <c r="B575" s="11">
        <v>5804.0</v>
      </c>
    </row>
    <row r="576">
      <c r="A576" s="5" t="s">
        <v>846</v>
      </c>
      <c r="B576" s="11">
        <v>32814.0</v>
      </c>
    </row>
    <row r="577">
      <c r="A577" s="5" t="s">
        <v>847</v>
      </c>
      <c r="B577" s="11">
        <v>8699.0</v>
      </c>
    </row>
    <row r="578">
      <c r="A578" s="5" t="s">
        <v>849</v>
      </c>
      <c r="B578" s="11">
        <v>7124.0</v>
      </c>
    </row>
    <row r="579">
      <c r="A579" s="5" t="s">
        <v>850</v>
      </c>
      <c r="B579" s="11">
        <v>5882.0</v>
      </c>
    </row>
    <row r="580">
      <c r="A580" s="5" t="s">
        <v>161</v>
      </c>
      <c r="B580" s="11">
        <v>5905.0</v>
      </c>
    </row>
    <row r="581">
      <c r="A581" s="5" t="s">
        <v>165</v>
      </c>
      <c r="B581" s="11">
        <v>8195.0</v>
      </c>
    </row>
    <row r="582">
      <c r="A582" s="5" t="s">
        <v>851</v>
      </c>
      <c r="B582" s="11">
        <v>2351.0</v>
      </c>
    </row>
    <row r="583">
      <c r="A583" s="5" t="s">
        <v>852</v>
      </c>
      <c r="B583" s="11">
        <v>3843.0</v>
      </c>
    </row>
    <row r="584">
      <c r="A584" s="5" t="s">
        <v>853</v>
      </c>
      <c r="B584" s="11">
        <v>5056.0</v>
      </c>
    </row>
    <row r="585">
      <c r="A585" s="5" t="s">
        <v>670</v>
      </c>
      <c r="B585" s="11">
        <v>4542.0</v>
      </c>
    </row>
    <row r="586">
      <c r="A586" s="5" t="s">
        <v>854</v>
      </c>
      <c r="B586" s="11">
        <v>4777.0</v>
      </c>
    </row>
    <row r="587">
      <c r="A587" s="5" t="s">
        <v>855</v>
      </c>
      <c r="B587" s="11">
        <v>17808.0</v>
      </c>
    </row>
    <row r="588">
      <c r="A588" s="5" t="s">
        <v>856</v>
      </c>
      <c r="B588" s="11">
        <v>14214.0</v>
      </c>
    </row>
    <row r="589">
      <c r="A589" s="5" t="s">
        <v>857</v>
      </c>
      <c r="B589" s="11">
        <v>0.0</v>
      </c>
    </row>
    <row r="590">
      <c r="A590" s="5" t="s">
        <v>858</v>
      </c>
      <c r="B590" s="11">
        <v>22892.0</v>
      </c>
    </row>
    <row r="591">
      <c r="A591" s="5" t="s">
        <v>859</v>
      </c>
      <c r="B591" s="11">
        <v>10773.0</v>
      </c>
    </row>
    <row r="592">
      <c r="A592" s="5" t="s">
        <v>860</v>
      </c>
      <c r="B592" s="11">
        <v>14812.0</v>
      </c>
    </row>
    <row r="593">
      <c r="A593" s="5" t="s">
        <v>861</v>
      </c>
      <c r="B593" s="11">
        <v>10235.0</v>
      </c>
    </row>
    <row r="594">
      <c r="A594" s="5" t="s">
        <v>863</v>
      </c>
      <c r="B594" s="11">
        <v>6904.0</v>
      </c>
    </row>
    <row r="595">
      <c r="A595" s="5" t="s">
        <v>864</v>
      </c>
      <c r="B595" s="11">
        <v>9481.0</v>
      </c>
    </row>
    <row r="596">
      <c r="A596" s="5" t="s">
        <v>866</v>
      </c>
      <c r="B596" s="11">
        <v>4290.0</v>
      </c>
    </row>
    <row r="597">
      <c r="A597" s="5" t="s">
        <v>867</v>
      </c>
      <c r="B597" s="11">
        <v>6466.0</v>
      </c>
    </row>
    <row r="598">
      <c r="A598" s="12" t="s">
        <v>868</v>
      </c>
      <c r="B598" s="11">
        <v>4723.0</v>
      </c>
    </row>
    <row r="599">
      <c r="A599" s="12" t="s">
        <v>870</v>
      </c>
      <c r="B599" s="11">
        <v>5914.0</v>
      </c>
    </row>
    <row r="600">
      <c r="A600" s="12" t="s">
        <v>871</v>
      </c>
      <c r="B600" s="11">
        <v>6941.0</v>
      </c>
    </row>
    <row r="601">
      <c r="A601" s="12" t="s">
        <v>872</v>
      </c>
      <c r="B601" s="11">
        <v>3819.0</v>
      </c>
    </row>
    <row r="602">
      <c r="A602" s="12" t="s">
        <v>874</v>
      </c>
      <c r="B602" s="11">
        <v>4262.0</v>
      </c>
    </row>
    <row r="603">
      <c r="A603" s="5" t="s">
        <v>875</v>
      </c>
      <c r="B603" s="11">
        <v>14536.0</v>
      </c>
    </row>
    <row r="604">
      <c r="A604" s="5" t="s">
        <v>877</v>
      </c>
      <c r="B604" s="11">
        <v>2577.0</v>
      </c>
    </row>
    <row r="605">
      <c r="A605" s="5" t="s">
        <v>878</v>
      </c>
      <c r="B605" s="11">
        <v>2844.0</v>
      </c>
    </row>
    <row r="606">
      <c r="A606" s="5" t="s">
        <v>880</v>
      </c>
      <c r="B606" s="11">
        <v>2484.0</v>
      </c>
    </row>
    <row r="607">
      <c r="A607" s="5" t="s">
        <v>881</v>
      </c>
      <c r="B607" s="11">
        <v>2251.0</v>
      </c>
    </row>
    <row r="608">
      <c r="A608" s="5" t="s">
        <v>883</v>
      </c>
      <c r="B608" s="11">
        <v>3281.0</v>
      </c>
    </row>
    <row r="609">
      <c r="A609" s="5" t="s">
        <v>884</v>
      </c>
      <c r="B609" s="11">
        <v>2691.0</v>
      </c>
    </row>
    <row r="610">
      <c r="A610" s="5" t="s">
        <v>886</v>
      </c>
      <c r="B610" s="11">
        <v>4429.0</v>
      </c>
    </row>
    <row r="611">
      <c r="A611" s="5" t="s">
        <v>888</v>
      </c>
      <c r="B611" s="11">
        <v>5559.0</v>
      </c>
    </row>
    <row r="612">
      <c r="A612" s="5" t="s">
        <v>889</v>
      </c>
      <c r="B612" s="11">
        <v>2925.0</v>
      </c>
    </row>
    <row r="613">
      <c r="A613" s="5" t="s">
        <v>891</v>
      </c>
      <c r="B613" s="11">
        <v>13592.0</v>
      </c>
    </row>
    <row r="614">
      <c r="A614" s="12" t="s">
        <v>892</v>
      </c>
      <c r="B614" s="11">
        <v>24879.0</v>
      </c>
    </row>
    <row r="615">
      <c r="A615" s="5" t="s">
        <v>894</v>
      </c>
      <c r="B615" s="11">
        <v>97620.0</v>
      </c>
    </row>
    <row r="616">
      <c r="A616" s="5" t="s">
        <v>895</v>
      </c>
      <c r="B616" s="11">
        <v>27184.0</v>
      </c>
    </row>
    <row r="617">
      <c r="A617" s="5" t="s">
        <v>897</v>
      </c>
      <c r="B617" s="11">
        <v>47806.0</v>
      </c>
    </row>
    <row r="618">
      <c r="A618" s="5" t="s">
        <v>898</v>
      </c>
      <c r="B618" s="11">
        <v>5531.0</v>
      </c>
    </row>
    <row r="619">
      <c r="A619" s="5" t="s">
        <v>899</v>
      </c>
      <c r="B619" s="11">
        <v>13123.0</v>
      </c>
    </row>
    <row r="620">
      <c r="A620" s="5" t="s">
        <v>901</v>
      </c>
      <c r="B620" s="11">
        <v>47806.0</v>
      </c>
    </row>
    <row r="621">
      <c r="A621" s="5" t="s">
        <v>902</v>
      </c>
      <c r="B621" s="11">
        <v>11249.0</v>
      </c>
    </row>
    <row r="622">
      <c r="A622" s="5" t="s">
        <v>903</v>
      </c>
      <c r="B622" s="11">
        <v>6843.0</v>
      </c>
    </row>
    <row r="623">
      <c r="A623" s="5" t="s">
        <v>905</v>
      </c>
      <c r="B623" s="11">
        <v>13123.0</v>
      </c>
    </row>
    <row r="624">
      <c r="A624" s="5" t="s">
        <v>906</v>
      </c>
      <c r="B624" s="11">
        <v>50618.0</v>
      </c>
    </row>
    <row r="625">
      <c r="A625" s="5" t="s">
        <v>908</v>
      </c>
      <c r="B625" s="11">
        <v>9374.0</v>
      </c>
    </row>
    <row r="626">
      <c r="A626" s="5" t="s">
        <v>909</v>
      </c>
      <c r="B626" s="11">
        <v>13805.0</v>
      </c>
    </row>
    <row r="627">
      <c r="A627" s="5" t="s">
        <v>910</v>
      </c>
      <c r="B627" s="11">
        <v>7687.0</v>
      </c>
    </row>
    <row r="628">
      <c r="A628" s="5" t="s">
        <v>912</v>
      </c>
      <c r="B628" s="11">
        <v>15467.0</v>
      </c>
    </row>
    <row r="629">
      <c r="A629" s="5" t="s">
        <v>913</v>
      </c>
      <c r="B629" s="11">
        <v>12186.0</v>
      </c>
    </row>
    <row r="630">
      <c r="A630" s="5" t="s">
        <v>915</v>
      </c>
      <c r="B630" s="11">
        <v>6562.0</v>
      </c>
    </row>
    <row r="631">
      <c r="A631" s="5" t="s">
        <v>916</v>
      </c>
      <c r="B631" s="11">
        <v>28760.0</v>
      </c>
    </row>
    <row r="632">
      <c r="A632" s="5" t="s">
        <v>917</v>
      </c>
      <c r="B632" s="11">
        <v>7968.0</v>
      </c>
    </row>
    <row r="633">
      <c r="A633" s="5" t="s">
        <v>919</v>
      </c>
      <c r="B633" s="11">
        <v>19685.0</v>
      </c>
    </row>
    <row r="634">
      <c r="A634" s="5" t="s">
        <v>920</v>
      </c>
      <c r="B634" s="11">
        <v>11623.0</v>
      </c>
    </row>
    <row r="635">
      <c r="A635" s="5" t="s">
        <v>922</v>
      </c>
      <c r="B635" s="11">
        <v>11249.0</v>
      </c>
    </row>
    <row r="636">
      <c r="A636" s="5" t="s">
        <v>923</v>
      </c>
      <c r="B636" s="11">
        <v>5624.0</v>
      </c>
    </row>
    <row r="637">
      <c r="A637" s="5" t="s">
        <v>924</v>
      </c>
      <c r="B637" s="11">
        <v>10311.0</v>
      </c>
    </row>
    <row r="638">
      <c r="A638" s="5" t="s">
        <v>926</v>
      </c>
      <c r="B638" s="11">
        <v>15445.0</v>
      </c>
    </row>
    <row r="639">
      <c r="A639" s="5" t="s">
        <v>927</v>
      </c>
      <c r="B639" s="11">
        <v>28121.0</v>
      </c>
    </row>
    <row r="640">
      <c r="A640" s="5" t="s">
        <v>929</v>
      </c>
      <c r="B640" s="11">
        <v>108970.0</v>
      </c>
    </row>
    <row r="641">
      <c r="A641" s="5" t="s">
        <v>930</v>
      </c>
      <c r="B641" s="11">
        <v>22966.0</v>
      </c>
    </row>
    <row r="642">
      <c r="A642" s="5" t="s">
        <v>931</v>
      </c>
      <c r="B642" s="11">
        <v>18279.0</v>
      </c>
    </row>
    <row r="643">
      <c r="A643" s="5" t="s">
        <v>933</v>
      </c>
      <c r="B643" s="11">
        <v>5531.0</v>
      </c>
    </row>
    <row r="644">
      <c r="A644" s="5" t="s">
        <v>934</v>
      </c>
      <c r="B644" s="11">
        <v>18654.0</v>
      </c>
    </row>
    <row r="645">
      <c r="A645" s="5" t="s">
        <v>936</v>
      </c>
      <c r="B645" s="11">
        <v>37401.0</v>
      </c>
    </row>
    <row r="646">
      <c r="A646" s="5" t="s">
        <v>937</v>
      </c>
      <c r="B646" s="11">
        <v>7405.0</v>
      </c>
    </row>
    <row r="647">
      <c r="A647" s="5" t="s">
        <v>938</v>
      </c>
      <c r="B647" s="11">
        <v>9842.0</v>
      </c>
    </row>
    <row r="648">
      <c r="A648" s="5" t="s">
        <v>940</v>
      </c>
      <c r="B648" s="11">
        <v>5531.0</v>
      </c>
    </row>
    <row r="649">
      <c r="A649" s="5" t="s">
        <v>941</v>
      </c>
      <c r="B649" s="11">
        <v>10217.0</v>
      </c>
    </row>
    <row r="650">
      <c r="A650" s="5" t="s">
        <v>943</v>
      </c>
      <c r="B650" s="11">
        <v>22395.0</v>
      </c>
    </row>
    <row r="651">
      <c r="A651" s="5" t="s">
        <v>944</v>
      </c>
      <c r="B651" s="11">
        <v>88966.0</v>
      </c>
    </row>
    <row r="652">
      <c r="A652" s="5" t="s">
        <v>945</v>
      </c>
      <c r="B652" s="11">
        <v>14214.0</v>
      </c>
    </row>
    <row r="653">
      <c r="A653" s="5" t="s">
        <v>947</v>
      </c>
      <c r="B653" s="11">
        <v>21168.0</v>
      </c>
    </row>
    <row r="654">
      <c r="A654" s="5" t="s">
        <v>948</v>
      </c>
      <c r="B654" s="11">
        <v>9587.0</v>
      </c>
    </row>
    <row r="655">
      <c r="A655" s="5" t="s">
        <v>950</v>
      </c>
      <c r="B655" s="11">
        <v>9280.0</v>
      </c>
    </row>
    <row r="656">
      <c r="A656" s="5" t="s">
        <v>951</v>
      </c>
      <c r="B656" s="11">
        <v>6552.0</v>
      </c>
    </row>
    <row r="657">
      <c r="A657" s="5" t="s">
        <v>953</v>
      </c>
      <c r="B657" s="11">
        <v>44739.0</v>
      </c>
    </row>
    <row r="658">
      <c r="A658" s="5" t="s">
        <v>954</v>
      </c>
      <c r="B658" s="11">
        <v>13885.0</v>
      </c>
    </row>
    <row r="659">
      <c r="A659" s="5" t="s">
        <v>955</v>
      </c>
      <c r="B659" s="11">
        <v>16777.0</v>
      </c>
    </row>
    <row r="660">
      <c r="A660" s="5" t="s">
        <v>957</v>
      </c>
      <c r="B660" s="11">
        <v>6552.0</v>
      </c>
    </row>
    <row r="661">
      <c r="A661" s="5" t="s">
        <v>958</v>
      </c>
      <c r="B661" s="11">
        <v>13030.0</v>
      </c>
    </row>
    <row r="662">
      <c r="A662" s="5" t="s">
        <v>960</v>
      </c>
      <c r="B662" s="11">
        <v>22849.0</v>
      </c>
    </row>
    <row r="663">
      <c r="A663" s="5" t="s">
        <v>961</v>
      </c>
      <c r="B663" s="11">
        <v>17049.0</v>
      </c>
    </row>
    <row r="664">
      <c r="A664" s="5" t="s">
        <v>962</v>
      </c>
      <c r="B664" s="11">
        <v>12830.0</v>
      </c>
    </row>
    <row r="665">
      <c r="A665" s="5" t="s">
        <v>964</v>
      </c>
      <c r="B665" s="11">
        <v>7405.0</v>
      </c>
    </row>
    <row r="666">
      <c r="A666" s="5" t="s">
        <v>965</v>
      </c>
      <c r="B666" s="11">
        <v>16259.0</v>
      </c>
    </row>
    <row r="667">
      <c r="A667" s="5" t="s">
        <v>967</v>
      </c>
      <c r="B667" s="11">
        <v>10405.0</v>
      </c>
    </row>
    <row r="668">
      <c r="A668" s="5" t="s">
        <v>968</v>
      </c>
      <c r="B668" s="11">
        <v>7499.0</v>
      </c>
    </row>
    <row r="669">
      <c r="A669" s="5" t="s">
        <v>970</v>
      </c>
      <c r="B669" s="11">
        <v>17716.0</v>
      </c>
    </row>
    <row r="670">
      <c r="A670" s="5" t="s">
        <v>971</v>
      </c>
      <c r="B670" s="11">
        <v>12092.0</v>
      </c>
    </row>
    <row r="671">
      <c r="A671" s="5" t="s">
        <v>973</v>
      </c>
      <c r="B671" s="11">
        <v>16404.0</v>
      </c>
    </row>
    <row r="672">
      <c r="A672" s="5" t="s">
        <v>974</v>
      </c>
      <c r="B672" s="11">
        <v>34589.0</v>
      </c>
    </row>
    <row r="673">
      <c r="A673" s="5" t="s">
        <v>975</v>
      </c>
      <c r="B673" s="11">
        <v>10217.0</v>
      </c>
    </row>
    <row r="674">
      <c r="A674" s="5" t="s">
        <v>977</v>
      </c>
      <c r="B674" s="11">
        <v>17716.0</v>
      </c>
    </row>
    <row r="675">
      <c r="A675" s="5" t="s">
        <v>978</v>
      </c>
      <c r="B675" s="11">
        <v>36750.0</v>
      </c>
    </row>
    <row r="676">
      <c r="A676" s="5" t="s">
        <v>980</v>
      </c>
      <c r="B676" s="11">
        <v>12092.0</v>
      </c>
    </row>
    <row r="677">
      <c r="A677" s="12" t="s">
        <v>981</v>
      </c>
      <c r="B677" s="11">
        <v>21539.0</v>
      </c>
    </row>
    <row r="678">
      <c r="A678" s="12" t="s">
        <v>983</v>
      </c>
      <c r="B678" s="11">
        <v>38237.0</v>
      </c>
    </row>
    <row r="679">
      <c r="A679" s="5" t="s">
        <v>984</v>
      </c>
      <c r="B679" s="11">
        <v>22369.0</v>
      </c>
    </row>
    <row r="680">
      <c r="A680" s="5" t="s">
        <v>985</v>
      </c>
      <c r="B680" s="11">
        <v>6468.0</v>
      </c>
    </row>
    <row r="681">
      <c r="A681" s="5" t="s">
        <v>987</v>
      </c>
      <c r="B681" s="11">
        <v>7405.0</v>
      </c>
    </row>
    <row r="682">
      <c r="A682" s="5" t="s">
        <v>988</v>
      </c>
      <c r="B682" s="11">
        <v>22497.0</v>
      </c>
    </row>
    <row r="683">
      <c r="A683" s="5" t="s">
        <v>990</v>
      </c>
      <c r="B683" s="11">
        <v>13967.0</v>
      </c>
    </row>
    <row r="684">
      <c r="A684" s="5" t="s">
        <v>991</v>
      </c>
      <c r="B684" s="11">
        <v>12782.0</v>
      </c>
    </row>
    <row r="685">
      <c r="A685" s="5" t="s">
        <v>992</v>
      </c>
      <c r="B685" s="11">
        <v>7124.0</v>
      </c>
    </row>
    <row r="686">
      <c r="A686" s="5" t="s">
        <v>994</v>
      </c>
      <c r="B686" s="11">
        <v>9186.0</v>
      </c>
    </row>
    <row r="687">
      <c r="A687" s="5" t="s">
        <v>995</v>
      </c>
      <c r="B687" s="28">
        <v>21613.0</v>
      </c>
    </row>
    <row r="688">
      <c r="A688" s="5" t="s">
        <v>997</v>
      </c>
      <c r="B688" s="11">
        <v>21613.0</v>
      </c>
    </row>
    <row r="689">
      <c r="A689" s="5" t="s">
        <v>998</v>
      </c>
      <c r="B689" s="11">
        <v>21613.0</v>
      </c>
    </row>
    <row r="690">
      <c r="A690" s="5" t="s">
        <v>1000</v>
      </c>
      <c r="B690" s="11">
        <v>21613.0</v>
      </c>
    </row>
    <row r="691">
      <c r="A691" s="5" t="s">
        <v>1001</v>
      </c>
      <c r="B691" s="11">
        <v>24197.0</v>
      </c>
    </row>
    <row r="692">
      <c r="A692" s="5" t="s">
        <v>1003</v>
      </c>
      <c r="B692" s="11">
        <v>24197.0</v>
      </c>
    </row>
    <row r="693">
      <c r="A693" s="5" t="s">
        <v>1004</v>
      </c>
      <c r="B693" s="11">
        <v>24197.0</v>
      </c>
    </row>
    <row r="694">
      <c r="A694" s="5" t="s">
        <v>1005</v>
      </c>
      <c r="B694" s="11">
        <v>24197.0</v>
      </c>
    </row>
    <row r="695">
      <c r="A695" s="5" t="s">
        <v>1007</v>
      </c>
      <c r="B695" s="11">
        <v>24197.0</v>
      </c>
    </row>
    <row r="696">
      <c r="A696" s="5" t="s">
        <v>1008</v>
      </c>
      <c r="B696" s="11">
        <v>24197.0</v>
      </c>
    </row>
    <row r="697">
      <c r="A697" s="5" t="s">
        <v>1010</v>
      </c>
      <c r="B697" s="11">
        <v>24197.0</v>
      </c>
    </row>
    <row r="698">
      <c r="A698" s="5" t="s">
        <v>1011</v>
      </c>
      <c r="B698" s="11">
        <v>24197.0</v>
      </c>
    </row>
    <row r="699">
      <c r="A699" s="5" t="s">
        <v>1012</v>
      </c>
      <c r="B699" s="11">
        <v>27512.0</v>
      </c>
    </row>
    <row r="700">
      <c r="A700" s="5" t="s">
        <v>1014</v>
      </c>
      <c r="B700" s="11">
        <v>27512.0</v>
      </c>
    </row>
    <row r="701">
      <c r="A701" s="5" t="s">
        <v>1016</v>
      </c>
      <c r="B701" s="11">
        <v>27512.0</v>
      </c>
    </row>
    <row r="702">
      <c r="A702" s="5" t="s">
        <v>1017</v>
      </c>
      <c r="B702" s="11">
        <v>27512.0</v>
      </c>
    </row>
    <row r="703">
      <c r="A703" s="5" t="s">
        <v>1018</v>
      </c>
      <c r="B703" s="11">
        <v>30340.0</v>
      </c>
    </row>
    <row r="704">
      <c r="A704" s="5" t="s">
        <v>1020</v>
      </c>
      <c r="B704" s="11">
        <v>30340.0</v>
      </c>
    </row>
    <row r="705">
      <c r="A705" s="5" t="s">
        <v>1021</v>
      </c>
      <c r="B705" s="11">
        <v>30340.0</v>
      </c>
    </row>
    <row r="706">
      <c r="A706" s="5" t="s">
        <v>1023</v>
      </c>
      <c r="B706" s="11">
        <v>30340.0</v>
      </c>
    </row>
    <row r="707">
      <c r="A707" s="5" t="s">
        <v>1024</v>
      </c>
      <c r="B707" s="11">
        <v>30340.0</v>
      </c>
    </row>
    <row r="708">
      <c r="A708" s="5" t="s">
        <v>1026</v>
      </c>
      <c r="B708" s="11">
        <v>30340.0</v>
      </c>
    </row>
    <row r="709">
      <c r="A709" s="5" t="s">
        <v>1027</v>
      </c>
      <c r="B709" s="11">
        <v>30340.0</v>
      </c>
    </row>
    <row r="710">
      <c r="A710" s="5" t="s">
        <v>1029</v>
      </c>
      <c r="B710" s="11">
        <v>30340.0</v>
      </c>
    </row>
    <row r="711">
      <c r="A711" s="5" t="s">
        <v>1030</v>
      </c>
      <c r="B711" s="11">
        <v>17583.0</v>
      </c>
    </row>
    <row r="712">
      <c r="A712" s="5" t="s">
        <v>1032</v>
      </c>
      <c r="B712" s="11">
        <v>17583.0</v>
      </c>
    </row>
    <row r="713">
      <c r="A713" s="5" t="s">
        <v>1033</v>
      </c>
      <c r="B713" s="11">
        <v>17583.0</v>
      </c>
    </row>
    <row r="714">
      <c r="A714" s="5" t="s">
        <v>1035</v>
      </c>
      <c r="B714" s="11">
        <v>17583.0</v>
      </c>
    </row>
    <row r="715">
      <c r="A715" s="5" t="s">
        <v>1036</v>
      </c>
      <c r="B715" s="11">
        <v>20313.0</v>
      </c>
    </row>
    <row r="716">
      <c r="A716" s="5" t="s">
        <v>1037</v>
      </c>
      <c r="B716" s="11">
        <v>20313.0</v>
      </c>
    </row>
    <row r="717">
      <c r="A717" s="5" t="s">
        <v>1039</v>
      </c>
      <c r="B717" s="11">
        <v>20313.0</v>
      </c>
    </row>
    <row r="718">
      <c r="A718" s="5" t="s">
        <v>1040</v>
      </c>
      <c r="B718" s="11">
        <v>20313.0</v>
      </c>
    </row>
    <row r="719">
      <c r="A719" s="5" t="s">
        <v>1042</v>
      </c>
      <c r="B719" s="11">
        <v>20313.0</v>
      </c>
    </row>
    <row r="720">
      <c r="A720" s="5" t="s">
        <v>1044</v>
      </c>
      <c r="B720" s="11">
        <v>20313.0</v>
      </c>
    </row>
    <row r="721">
      <c r="A721" s="5" t="s">
        <v>1046</v>
      </c>
      <c r="B721" s="11">
        <v>20313.0</v>
      </c>
    </row>
    <row r="722">
      <c r="A722" s="5" t="s">
        <v>1047</v>
      </c>
      <c r="B722" s="11">
        <v>20313.0</v>
      </c>
    </row>
    <row r="723">
      <c r="A723" s="12" t="s">
        <v>1049</v>
      </c>
      <c r="B723" s="11">
        <v>18591.0</v>
      </c>
    </row>
    <row r="724">
      <c r="A724" s="12" t="s">
        <v>1051</v>
      </c>
      <c r="B724" s="11">
        <v>18591.0</v>
      </c>
    </row>
    <row r="725">
      <c r="A725" s="12" t="s">
        <v>1052</v>
      </c>
      <c r="B725" s="11">
        <v>20411.0</v>
      </c>
    </row>
    <row r="726">
      <c r="A726" s="12" t="s">
        <v>1054</v>
      </c>
      <c r="B726" s="11">
        <v>20411.0</v>
      </c>
    </row>
    <row r="727">
      <c r="A727" s="12" t="s">
        <v>1056</v>
      </c>
      <c r="B727" s="11">
        <v>20411.0</v>
      </c>
    </row>
    <row r="728">
      <c r="A728" s="12" t="s">
        <v>1058</v>
      </c>
      <c r="B728" s="11">
        <v>20411.0</v>
      </c>
    </row>
    <row r="729">
      <c r="A729" s="12" t="s">
        <v>1060</v>
      </c>
      <c r="B729" s="11">
        <v>20411.0</v>
      </c>
    </row>
    <row r="730">
      <c r="A730" s="12" t="s">
        <v>1062</v>
      </c>
      <c r="B730" s="11">
        <v>20411.0</v>
      </c>
    </row>
    <row r="731">
      <c r="A731" s="12" t="s">
        <v>1063</v>
      </c>
      <c r="B731" s="11">
        <v>20411.0</v>
      </c>
    </row>
    <row r="732">
      <c r="A732" s="12" t="s">
        <v>1064</v>
      </c>
      <c r="B732" s="11">
        <v>20411.0</v>
      </c>
    </row>
    <row r="733">
      <c r="A733" s="5" t="s">
        <v>1065</v>
      </c>
      <c r="B733" s="11">
        <v>29901.0</v>
      </c>
    </row>
    <row r="734">
      <c r="A734" s="5" t="s">
        <v>1066</v>
      </c>
      <c r="B734" s="11">
        <v>29901.0</v>
      </c>
    </row>
    <row r="735">
      <c r="A735" s="5" t="s">
        <v>1068</v>
      </c>
      <c r="B735" s="11">
        <v>29901.0</v>
      </c>
    </row>
    <row r="736">
      <c r="A736" s="5" t="s">
        <v>1069</v>
      </c>
      <c r="B736" s="11">
        <v>29901.0</v>
      </c>
    </row>
    <row r="737">
      <c r="A737" s="5" t="s">
        <v>1071</v>
      </c>
      <c r="B737" s="11">
        <v>29901.0</v>
      </c>
    </row>
    <row r="738">
      <c r="A738" s="5" t="s">
        <v>1073</v>
      </c>
      <c r="B738" s="11">
        <v>29901.0</v>
      </c>
    </row>
    <row r="739">
      <c r="A739" s="5" t="s">
        <v>1074</v>
      </c>
      <c r="B739" s="11">
        <v>22182.0</v>
      </c>
    </row>
    <row r="740">
      <c r="A740" s="5" t="s">
        <v>1077</v>
      </c>
      <c r="B740" s="11">
        <v>22182.0</v>
      </c>
    </row>
    <row r="741">
      <c r="A741" s="5" t="s">
        <v>1078</v>
      </c>
      <c r="B741" s="11">
        <v>25725.0</v>
      </c>
    </row>
    <row r="742">
      <c r="A742" s="5" t="s">
        <v>1079</v>
      </c>
      <c r="B742" s="11">
        <v>25725.0</v>
      </c>
    </row>
    <row r="743">
      <c r="A743" s="5" t="s">
        <v>1080</v>
      </c>
      <c r="B743" s="28">
        <v>25725.0</v>
      </c>
    </row>
    <row r="744">
      <c r="A744" s="5" t="s">
        <v>1081</v>
      </c>
      <c r="B744" s="11">
        <v>25725.0</v>
      </c>
    </row>
    <row r="745">
      <c r="A745" s="5" t="s">
        <v>1083</v>
      </c>
      <c r="B745" s="11">
        <v>25725.0</v>
      </c>
    </row>
    <row r="746">
      <c r="A746" s="5" t="s">
        <v>1084</v>
      </c>
      <c r="B746" s="11">
        <v>25725.0</v>
      </c>
    </row>
    <row r="747">
      <c r="A747" s="5" t="s">
        <v>1086</v>
      </c>
      <c r="B747" s="11">
        <v>25725.0</v>
      </c>
    </row>
    <row r="748">
      <c r="A748" s="5" t="s">
        <v>1087</v>
      </c>
      <c r="B748" s="11">
        <v>25725.0</v>
      </c>
    </row>
    <row r="749">
      <c r="A749" s="5" t="s">
        <v>1089</v>
      </c>
      <c r="B749" s="11">
        <v>9884.0</v>
      </c>
    </row>
    <row r="750">
      <c r="A750" s="5" t="s">
        <v>1090</v>
      </c>
      <c r="B750" s="11">
        <v>36795.0</v>
      </c>
    </row>
    <row r="751">
      <c r="A751" s="5" t="s">
        <v>1092</v>
      </c>
      <c r="B751" s="11">
        <v>16531.0</v>
      </c>
    </row>
    <row r="752">
      <c r="A752" s="5" t="s">
        <v>1093</v>
      </c>
      <c r="B752" s="11">
        <v>14023.0</v>
      </c>
    </row>
    <row r="753">
      <c r="A753" s="5" t="s">
        <v>1095</v>
      </c>
      <c r="B753" s="11">
        <v>35022.0</v>
      </c>
    </row>
    <row r="754">
      <c r="A754" s="5" t="s">
        <v>1096</v>
      </c>
      <c r="B754" s="11">
        <v>76820.0</v>
      </c>
    </row>
    <row r="755">
      <c r="A755" s="5" t="s">
        <v>1098</v>
      </c>
      <c r="B755" s="11">
        <v>26883.0</v>
      </c>
    </row>
    <row r="756">
      <c r="A756" s="5" t="s">
        <v>1099</v>
      </c>
      <c r="B756" s="11">
        <v>3372.0</v>
      </c>
    </row>
    <row r="757">
      <c r="A757" s="5" t="s">
        <v>1101</v>
      </c>
      <c r="B757" s="11">
        <v>40127.0</v>
      </c>
    </row>
    <row r="758">
      <c r="A758" s="5" t="s">
        <v>1102</v>
      </c>
      <c r="B758" s="11">
        <v>23264.0</v>
      </c>
    </row>
    <row r="759">
      <c r="A759" s="5" t="s">
        <v>1104</v>
      </c>
      <c r="B759" s="11">
        <v>16219.0</v>
      </c>
    </row>
    <row r="760">
      <c r="A760" s="5" t="s">
        <v>1105</v>
      </c>
      <c r="B760" s="11">
        <v>2638.0</v>
      </c>
    </row>
    <row r="761">
      <c r="A761" s="5" t="s">
        <v>1107</v>
      </c>
      <c r="B761" s="11">
        <v>2583.0</v>
      </c>
    </row>
    <row r="762">
      <c r="A762" s="5" t="s">
        <v>1108</v>
      </c>
      <c r="B762" s="11">
        <v>2415.0</v>
      </c>
    </row>
    <row r="763">
      <c r="A763" s="5" t="s">
        <v>1110</v>
      </c>
      <c r="B763" s="11">
        <v>33477.0</v>
      </c>
    </row>
    <row r="764">
      <c r="A764" s="5" t="s">
        <v>1111</v>
      </c>
      <c r="B764" s="11">
        <v>1115056.0</v>
      </c>
    </row>
    <row r="765">
      <c r="A765" s="5" t="s">
        <v>1113</v>
      </c>
      <c r="B765" s="11">
        <v>125649.0</v>
      </c>
    </row>
    <row r="766">
      <c r="A766" s="5" t="s">
        <v>1114</v>
      </c>
      <c r="B766" s="11">
        <v>0.0</v>
      </c>
    </row>
    <row r="767">
      <c r="A767" s="5" t="s">
        <v>1116</v>
      </c>
      <c r="B767" s="11">
        <v>12231.0</v>
      </c>
    </row>
    <row r="768">
      <c r="A768" s="5" t="s">
        <v>1117</v>
      </c>
      <c r="B768" s="11">
        <v>0.0</v>
      </c>
    </row>
    <row r="769">
      <c r="A769" s="5" t="s">
        <v>1119</v>
      </c>
      <c r="B769" s="11">
        <v>7005.0</v>
      </c>
    </row>
    <row r="770">
      <c r="A770" s="5" t="s">
        <v>1120</v>
      </c>
      <c r="B770" s="11">
        <v>37375.0</v>
      </c>
    </row>
    <row r="771">
      <c r="A771" s="5" t="s">
        <v>1122</v>
      </c>
      <c r="B771" s="28">
        <v>39352.0</v>
      </c>
    </row>
    <row r="772">
      <c r="A772" s="5" t="s">
        <v>1123</v>
      </c>
      <c r="B772" s="11">
        <v>21483.0</v>
      </c>
    </row>
    <row r="773">
      <c r="A773" s="5" t="s">
        <v>1124</v>
      </c>
      <c r="B773" s="11">
        <v>73229.0</v>
      </c>
    </row>
    <row r="774">
      <c r="A774" s="5" t="s">
        <v>1126</v>
      </c>
      <c r="B774" s="11">
        <v>103394.0</v>
      </c>
    </row>
    <row r="775">
      <c r="A775" s="12" t="s">
        <v>1127</v>
      </c>
      <c r="B775" s="11">
        <v>47783.0</v>
      </c>
    </row>
    <row r="776">
      <c r="A776" s="12" t="s">
        <v>1129</v>
      </c>
      <c r="B776" s="11">
        <v>3379.0</v>
      </c>
    </row>
    <row r="777">
      <c r="A777" s="5" t="s">
        <v>1130</v>
      </c>
      <c r="B777" s="11">
        <v>3841.0</v>
      </c>
    </row>
    <row r="778">
      <c r="A778" s="5" t="s">
        <v>1132</v>
      </c>
      <c r="B778" s="11">
        <v>37422.0</v>
      </c>
    </row>
    <row r="779">
      <c r="A779" s="5" t="s">
        <v>1133</v>
      </c>
      <c r="B779" s="11">
        <v>43042.0</v>
      </c>
    </row>
    <row r="780">
      <c r="A780" s="5" t="s">
        <v>1134</v>
      </c>
      <c r="B780" s="11">
        <v>18583.0</v>
      </c>
    </row>
    <row r="781">
      <c r="A781" s="5" t="s">
        <v>1136</v>
      </c>
      <c r="B781" s="11">
        <v>302756.0</v>
      </c>
    </row>
    <row r="782">
      <c r="A782" s="5" t="s">
        <v>1137</v>
      </c>
      <c r="B782" s="11">
        <v>288028.0</v>
      </c>
    </row>
    <row r="783">
      <c r="A783" s="5" t="s">
        <v>1139</v>
      </c>
      <c r="B783" s="11">
        <v>342355.0</v>
      </c>
    </row>
    <row r="784">
      <c r="A784" s="5" t="s">
        <v>1140</v>
      </c>
      <c r="B784" s="11">
        <v>50203.0</v>
      </c>
    </row>
    <row r="785">
      <c r="A785" s="5" t="s">
        <v>1142</v>
      </c>
      <c r="B785" s="11">
        <v>71839.0</v>
      </c>
    </row>
    <row r="786">
      <c r="A786" s="5" t="s">
        <v>1143</v>
      </c>
      <c r="B786" s="11">
        <v>20829.0</v>
      </c>
    </row>
    <row r="787">
      <c r="A787" s="5" t="s">
        <v>1144</v>
      </c>
      <c r="B787" s="11">
        <v>600669.0</v>
      </c>
    </row>
    <row r="788">
      <c r="A788" s="5" t="s">
        <v>1146</v>
      </c>
      <c r="B788" s="11">
        <v>65769.0</v>
      </c>
    </row>
    <row r="789">
      <c r="A789" s="5" t="s">
        <v>1147</v>
      </c>
      <c r="B789" s="11">
        <v>296756.0</v>
      </c>
    </row>
    <row r="790">
      <c r="A790" s="5" t="s">
        <v>1148</v>
      </c>
      <c r="B790" s="11">
        <v>38560.0</v>
      </c>
    </row>
    <row r="791">
      <c r="A791" s="5" t="s">
        <v>1150</v>
      </c>
      <c r="B791" s="11">
        <v>93053.0</v>
      </c>
    </row>
    <row r="792">
      <c r="A792" s="12" t="s">
        <v>1151</v>
      </c>
      <c r="B792" s="11">
        <v>64799.0</v>
      </c>
    </row>
    <row r="793">
      <c r="A793" s="5" t="s">
        <v>1152</v>
      </c>
      <c r="B793" s="11">
        <v>42509.0</v>
      </c>
    </row>
    <row r="794">
      <c r="A794" s="5" t="s">
        <v>1154</v>
      </c>
      <c r="B794" s="11">
        <v>31562.0</v>
      </c>
    </row>
    <row r="795">
      <c r="A795" s="5" t="s">
        <v>1155</v>
      </c>
      <c r="B795" s="11">
        <v>48422.0</v>
      </c>
    </row>
    <row r="796">
      <c r="A796" s="5" t="s">
        <v>1157</v>
      </c>
      <c r="B796" s="11">
        <v>123368.0</v>
      </c>
    </row>
    <row r="797">
      <c r="A797" s="5" t="s">
        <v>1158</v>
      </c>
      <c r="B797" s="11">
        <v>15766.0</v>
      </c>
    </row>
    <row r="798">
      <c r="A798" s="5" t="s">
        <v>1160</v>
      </c>
      <c r="B798" s="11">
        <v>32240.0</v>
      </c>
    </row>
    <row r="799">
      <c r="A799" s="5" t="s">
        <v>1161</v>
      </c>
      <c r="B799" s="11">
        <v>41526.0</v>
      </c>
    </row>
    <row r="800">
      <c r="A800" s="12" t="s">
        <v>1163</v>
      </c>
      <c r="B800" s="11">
        <v>27998.0</v>
      </c>
    </row>
    <row r="801">
      <c r="A801" s="5" t="s">
        <v>1164</v>
      </c>
      <c r="B801" s="11">
        <v>596392.0</v>
      </c>
    </row>
    <row r="802">
      <c r="A802" s="5" t="s">
        <v>1165</v>
      </c>
      <c r="B802" s="11">
        <v>270532.0</v>
      </c>
    </row>
    <row r="803">
      <c r="A803" s="5" t="s">
        <v>1167</v>
      </c>
      <c r="B803" s="11">
        <v>2148988.0</v>
      </c>
    </row>
    <row r="804">
      <c r="A804" s="5" t="s">
        <v>1168</v>
      </c>
      <c r="B804" s="11">
        <v>576554.0</v>
      </c>
    </row>
    <row r="805">
      <c r="A805" s="5" t="s">
        <v>1169</v>
      </c>
      <c r="B805" s="11">
        <v>960941.0</v>
      </c>
    </row>
    <row r="806">
      <c r="A806" s="5" t="s">
        <v>1171</v>
      </c>
      <c r="B806" s="11">
        <v>111884.0</v>
      </c>
    </row>
    <row r="807">
      <c r="A807" s="5" t="s">
        <v>1172</v>
      </c>
      <c r="B807" s="11">
        <v>333054.0</v>
      </c>
    </row>
    <row r="808">
      <c r="A808" s="5" t="s">
        <v>1174</v>
      </c>
      <c r="B808" s="11">
        <v>526711.0</v>
      </c>
    </row>
    <row r="809">
      <c r="A809" s="5" t="s">
        <v>1175</v>
      </c>
      <c r="B809" s="11">
        <v>84053.0</v>
      </c>
    </row>
    <row r="810">
      <c r="A810" s="5" t="s">
        <v>1177</v>
      </c>
      <c r="B810" s="11">
        <v>154087.0</v>
      </c>
    </row>
    <row r="811">
      <c r="A811" s="5" t="s">
        <v>1178</v>
      </c>
      <c r="B811" s="11">
        <v>1641189.0</v>
      </c>
    </row>
    <row r="812">
      <c r="A812" s="5" t="s">
        <v>1180</v>
      </c>
      <c r="B812" s="11">
        <v>1872875.0</v>
      </c>
    </row>
    <row r="813">
      <c r="A813" s="5" t="s">
        <v>1181</v>
      </c>
      <c r="B813" s="11">
        <v>468211.0</v>
      </c>
    </row>
    <row r="814">
      <c r="A814" s="5" t="s">
        <v>1183</v>
      </c>
      <c r="B814" s="11">
        <v>1376.0</v>
      </c>
    </row>
    <row r="815">
      <c r="A815" s="5" t="s">
        <v>1184</v>
      </c>
      <c r="B815" s="11">
        <v>2818.0</v>
      </c>
    </row>
    <row r="816">
      <c r="A816" s="5" t="s">
        <v>1186</v>
      </c>
      <c r="B816" s="11">
        <v>2082.0</v>
      </c>
    </row>
    <row r="817">
      <c r="A817" s="5" t="s">
        <v>1187</v>
      </c>
      <c r="B817" s="11">
        <v>8939.0</v>
      </c>
    </row>
    <row r="818">
      <c r="A818" s="5" t="s">
        <v>1189</v>
      </c>
      <c r="B818" s="11">
        <v>7727.0</v>
      </c>
    </row>
    <row r="819">
      <c r="A819" s="5" t="s">
        <v>1191</v>
      </c>
      <c r="B819" s="11">
        <v>7727.0</v>
      </c>
    </row>
    <row r="820">
      <c r="A820" s="5" t="s">
        <v>1192</v>
      </c>
      <c r="B820" s="11">
        <v>7727.0</v>
      </c>
    </row>
    <row r="821">
      <c r="A821" s="5" t="s">
        <v>1194</v>
      </c>
      <c r="B821" s="11">
        <v>7727.0</v>
      </c>
    </row>
    <row r="822">
      <c r="A822" s="5" t="s">
        <v>1195</v>
      </c>
      <c r="B822" s="11">
        <v>7727.0</v>
      </c>
    </row>
    <row r="823">
      <c r="A823" s="5" t="s">
        <v>1197</v>
      </c>
      <c r="B823" s="11">
        <v>7727.0</v>
      </c>
    </row>
    <row r="824">
      <c r="A824" s="5" t="s">
        <v>1198</v>
      </c>
      <c r="B824" s="11">
        <v>7727.0</v>
      </c>
    </row>
    <row r="825">
      <c r="A825" s="5" t="s">
        <v>1200</v>
      </c>
      <c r="B825" s="11">
        <v>7727.0</v>
      </c>
    </row>
    <row r="826">
      <c r="A826" s="5" t="s">
        <v>1202</v>
      </c>
      <c r="B826" s="11">
        <v>7727.0</v>
      </c>
    </row>
    <row r="827">
      <c r="A827" s="5" t="s">
        <v>1204</v>
      </c>
      <c r="B827" s="11">
        <v>7727.0</v>
      </c>
    </row>
    <row r="828">
      <c r="A828" s="5" t="s">
        <v>1206</v>
      </c>
      <c r="B828" s="11">
        <v>7727.0</v>
      </c>
    </row>
    <row r="829">
      <c r="A829" s="5" t="s">
        <v>1207</v>
      </c>
      <c r="B829" s="11">
        <v>7727.0</v>
      </c>
    </row>
    <row r="830">
      <c r="A830" s="5" t="s">
        <v>1209</v>
      </c>
      <c r="B830" s="11">
        <v>7727.0</v>
      </c>
    </row>
    <row r="831">
      <c r="A831" s="5" t="s">
        <v>1211</v>
      </c>
      <c r="B831" s="11">
        <v>8284.0</v>
      </c>
    </row>
    <row r="832">
      <c r="A832" s="5" t="s">
        <v>1213</v>
      </c>
      <c r="B832" s="11">
        <v>18221.0</v>
      </c>
    </row>
    <row r="833">
      <c r="A833" s="5" t="s">
        <v>1214</v>
      </c>
      <c r="B833" s="11">
        <v>82770.0</v>
      </c>
    </row>
    <row r="834">
      <c r="A834" s="5" t="s">
        <v>1216</v>
      </c>
      <c r="B834" s="11">
        <v>141124.0</v>
      </c>
    </row>
    <row r="835">
      <c r="A835" s="5" t="s">
        <v>1218</v>
      </c>
      <c r="B835" s="11">
        <v>54398.0</v>
      </c>
    </row>
    <row r="836">
      <c r="A836" s="5" t="s">
        <v>1219</v>
      </c>
      <c r="B836" s="11">
        <v>130236.0</v>
      </c>
    </row>
    <row r="837">
      <c r="A837" s="5" t="s">
        <v>1221</v>
      </c>
      <c r="B837" s="11">
        <v>70718.0</v>
      </c>
    </row>
    <row r="838">
      <c r="A838" s="5" t="s">
        <v>1223</v>
      </c>
      <c r="B838" s="11">
        <v>107773.0</v>
      </c>
    </row>
    <row r="839">
      <c r="A839" s="5" t="s">
        <v>1225</v>
      </c>
      <c r="B839" s="11">
        <v>107755.0</v>
      </c>
    </row>
    <row r="840">
      <c r="A840" s="5" t="s">
        <v>1226</v>
      </c>
      <c r="B840" s="11">
        <v>107755.0</v>
      </c>
    </row>
    <row r="841">
      <c r="A841" s="5" t="s">
        <v>1228</v>
      </c>
      <c r="B841" s="11">
        <v>1951.0</v>
      </c>
    </row>
    <row r="842">
      <c r="A842" s="5" t="s">
        <v>1229</v>
      </c>
      <c r="B842" s="11">
        <v>144.0</v>
      </c>
    </row>
    <row r="843">
      <c r="A843" s="5" t="s">
        <v>1231</v>
      </c>
      <c r="B843" s="11">
        <v>6971.0</v>
      </c>
    </row>
    <row r="844">
      <c r="A844" s="5" t="s">
        <v>1233</v>
      </c>
      <c r="B844" s="28">
        <v>1097.0</v>
      </c>
    </row>
    <row r="845">
      <c r="A845" s="5" t="s">
        <v>1234</v>
      </c>
      <c r="B845" s="11">
        <v>423.0</v>
      </c>
    </row>
    <row r="846">
      <c r="A846" s="5" t="s">
        <v>1236</v>
      </c>
      <c r="B846" s="11">
        <v>171.0</v>
      </c>
    </row>
    <row r="847">
      <c r="A847" s="5" t="s">
        <v>1237</v>
      </c>
      <c r="B847" s="11">
        <v>213.0</v>
      </c>
    </row>
    <row r="848">
      <c r="A848" s="5" t="s">
        <v>1239</v>
      </c>
      <c r="B848" s="11">
        <v>423.0</v>
      </c>
    </row>
    <row r="849">
      <c r="A849" s="5" t="s">
        <v>1241</v>
      </c>
      <c r="B849" s="11">
        <v>507.0</v>
      </c>
    </row>
    <row r="850">
      <c r="A850" s="5" t="s">
        <v>1242</v>
      </c>
      <c r="B850" s="11">
        <v>144.0</v>
      </c>
    </row>
    <row r="851">
      <c r="A851" s="5" t="s">
        <v>1244</v>
      </c>
      <c r="B851" s="11">
        <v>760.0</v>
      </c>
    </row>
    <row r="852">
      <c r="A852" s="5" t="s">
        <v>1246</v>
      </c>
      <c r="B852" s="11">
        <v>730.0</v>
      </c>
    </row>
    <row r="853">
      <c r="A853" s="5" t="s">
        <v>1247</v>
      </c>
      <c r="B853" s="11">
        <v>10401.0</v>
      </c>
    </row>
    <row r="854">
      <c r="A854" s="5" t="s">
        <v>1249</v>
      </c>
      <c r="B854" s="11">
        <v>55503.0</v>
      </c>
    </row>
    <row r="855">
      <c r="A855" s="5" t="s">
        <v>1250</v>
      </c>
      <c r="B855" s="11">
        <v>26077.0</v>
      </c>
    </row>
    <row r="856">
      <c r="A856" s="5" t="s">
        <v>1252</v>
      </c>
      <c r="B856" s="11">
        <v>95258.0</v>
      </c>
    </row>
    <row r="857">
      <c r="A857" s="5" t="s">
        <v>1254</v>
      </c>
      <c r="B857" s="11">
        <v>192748.0</v>
      </c>
    </row>
    <row r="858">
      <c r="A858" s="5" t="s">
        <v>1256</v>
      </c>
      <c r="B858" s="11">
        <v>92936.0</v>
      </c>
    </row>
    <row r="859">
      <c r="A859" s="5" t="s">
        <v>1257</v>
      </c>
      <c r="B859" s="11">
        <v>75354.0</v>
      </c>
    </row>
    <row r="860">
      <c r="A860" s="5" t="s">
        <v>1259</v>
      </c>
      <c r="B860" s="11">
        <v>68092.0</v>
      </c>
    </row>
    <row r="861">
      <c r="A861" s="5" t="s">
        <v>1261</v>
      </c>
      <c r="B861" s="11">
        <v>75354.0</v>
      </c>
    </row>
    <row r="862">
      <c r="A862" s="5" t="s">
        <v>1262</v>
      </c>
      <c r="B862" s="11">
        <v>0.0</v>
      </c>
    </row>
    <row r="863">
      <c r="A863" s="5" t="s">
        <v>1264</v>
      </c>
      <c r="B863" s="11">
        <v>4611.0</v>
      </c>
    </row>
    <row r="864">
      <c r="A864" s="5" t="s">
        <v>1265</v>
      </c>
      <c r="B864" s="11">
        <v>3233.0</v>
      </c>
    </row>
    <row r="865">
      <c r="A865" s="5" t="s">
        <v>1267</v>
      </c>
      <c r="B865" s="11">
        <v>6262.0</v>
      </c>
    </row>
    <row r="866">
      <c r="A866" s="5" t="s">
        <v>1268</v>
      </c>
      <c r="B866" s="11">
        <v>5088.0</v>
      </c>
    </row>
    <row r="867">
      <c r="A867" s="5" t="s">
        <v>1270</v>
      </c>
      <c r="B867" s="11">
        <v>13432.0</v>
      </c>
    </row>
    <row r="868">
      <c r="A868" s="5" t="s">
        <v>1272</v>
      </c>
      <c r="B868" s="11">
        <v>42416.0</v>
      </c>
    </row>
    <row r="869">
      <c r="A869" s="5" t="s">
        <v>1274</v>
      </c>
      <c r="B869" s="11">
        <v>54795.0</v>
      </c>
    </row>
    <row r="870">
      <c r="A870" s="5" t="s">
        <v>1275</v>
      </c>
      <c r="B870" s="11">
        <v>34065.0</v>
      </c>
    </row>
    <row r="871">
      <c r="A871" s="5" t="s">
        <v>1277</v>
      </c>
      <c r="B871" s="11">
        <v>56942.0</v>
      </c>
    </row>
    <row r="872">
      <c r="A872" s="5" t="s">
        <v>1278</v>
      </c>
      <c r="B872" s="11">
        <v>79719.0</v>
      </c>
    </row>
    <row r="873">
      <c r="A873" s="5" t="s">
        <v>1279</v>
      </c>
      <c r="B873" s="11">
        <v>15269.0</v>
      </c>
    </row>
    <row r="874">
      <c r="A874" s="5" t="s">
        <v>1281</v>
      </c>
      <c r="B874" s="11">
        <v>30537.0</v>
      </c>
    </row>
    <row r="875">
      <c r="A875" s="5" t="s">
        <v>1282</v>
      </c>
      <c r="B875" s="11">
        <v>42752.0</v>
      </c>
    </row>
    <row r="876">
      <c r="A876" s="5" t="s">
        <v>1284</v>
      </c>
      <c r="B876" s="11">
        <v>62448.0</v>
      </c>
    </row>
    <row r="877">
      <c r="A877" s="5" t="s">
        <v>1285</v>
      </c>
      <c r="B877" s="11">
        <v>12390.0</v>
      </c>
    </row>
    <row r="878">
      <c r="A878" s="5" t="s">
        <v>1286</v>
      </c>
      <c r="B878" s="11">
        <v>15612.0</v>
      </c>
    </row>
    <row r="879">
      <c r="A879" s="5" t="s">
        <v>1288</v>
      </c>
      <c r="B879" s="11">
        <v>18734.0</v>
      </c>
    </row>
    <row r="880">
      <c r="A880" s="5" t="s">
        <v>1290</v>
      </c>
      <c r="B880" s="11">
        <v>31224.0</v>
      </c>
    </row>
    <row r="881">
      <c r="A881" s="5" t="s">
        <v>1292</v>
      </c>
      <c r="B881" s="28">
        <v>43713.0</v>
      </c>
    </row>
    <row r="882">
      <c r="A882" s="5" t="s">
        <v>1293</v>
      </c>
      <c r="B882" s="11">
        <v>27836.0</v>
      </c>
    </row>
    <row r="883">
      <c r="A883" s="5" t="s">
        <v>1295</v>
      </c>
      <c r="B883" s="28">
        <v>46393.0</v>
      </c>
    </row>
    <row r="884">
      <c r="A884" s="5" t="s">
        <v>1296</v>
      </c>
      <c r="B884" s="11">
        <v>38424.0</v>
      </c>
    </row>
    <row r="885">
      <c r="A885" s="5" t="s">
        <v>1298</v>
      </c>
      <c r="B885" s="11">
        <v>54856.0</v>
      </c>
    </row>
    <row r="886">
      <c r="A886" s="5" t="s">
        <v>1300</v>
      </c>
      <c r="B886" s="11">
        <v>13138.0</v>
      </c>
    </row>
    <row r="887">
      <c r="A887" s="5" t="s">
        <v>1301</v>
      </c>
      <c r="B887" s="11">
        <v>293.0</v>
      </c>
    </row>
    <row r="888">
      <c r="A888" s="5" t="s">
        <v>1303</v>
      </c>
      <c r="B888" s="11">
        <v>11031.0</v>
      </c>
    </row>
    <row r="889">
      <c r="A889" s="5" t="s">
        <v>1304</v>
      </c>
      <c r="B889" s="11">
        <v>65209.0</v>
      </c>
    </row>
    <row r="890">
      <c r="A890" s="5" t="s">
        <v>1306</v>
      </c>
      <c r="B890" s="11">
        <v>17079.0</v>
      </c>
    </row>
    <row r="891">
      <c r="A891" s="5" t="s">
        <v>1307</v>
      </c>
      <c r="B891" s="11">
        <v>19371.0</v>
      </c>
    </row>
    <row r="892">
      <c r="A892" s="5" t="s">
        <v>1309</v>
      </c>
      <c r="B892" s="11">
        <v>70349.0</v>
      </c>
    </row>
    <row r="893">
      <c r="A893" s="5" t="s">
        <v>1310</v>
      </c>
      <c r="B893" s="11">
        <v>52899.0</v>
      </c>
    </row>
    <row r="894">
      <c r="A894" s="5" t="s">
        <v>1312</v>
      </c>
      <c r="B894" s="11">
        <v>952.0</v>
      </c>
    </row>
    <row r="895">
      <c r="A895" s="5" t="s">
        <v>1313</v>
      </c>
      <c r="B895" s="28">
        <v>321.0</v>
      </c>
    </row>
    <row r="896">
      <c r="A896" s="5" t="s">
        <v>1315</v>
      </c>
      <c r="B896" s="11">
        <v>461.0</v>
      </c>
    </row>
    <row r="897">
      <c r="A897" s="5" t="s">
        <v>1316</v>
      </c>
      <c r="B897" s="11">
        <v>461.0</v>
      </c>
    </row>
    <row r="898">
      <c r="A898" s="5" t="s">
        <v>1318</v>
      </c>
      <c r="B898" s="11">
        <v>461.0</v>
      </c>
    </row>
    <row r="899">
      <c r="A899" s="5" t="s">
        <v>1319</v>
      </c>
      <c r="B899" s="11">
        <v>461.0</v>
      </c>
    </row>
    <row r="900">
      <c r="A900" s="5" t="s">
        <v>1321</v>
      </c>
      <c r="B900" s="11">
        <v>461.0</v>
      </c>
    </row>
    <row r="901">
      <c r="A901" s="5" t="s">
        <v>1323</v>
      </c>
      <c r="B901" s="11">
        <v>461.0</v>
      </c>
    </row>
    <row r="902">
      <c r="A902" s="5" t="s">
        <v>1324</v>
      </c>
      <c r="B902" s="11">
        <v>461.0</v>
      </c>
    </row>
    <row r="903">
      <c r="A903" s="5" t="s">
        <v>1326</v>
      </c>
      <c r="B903" s="11">
        <v>430.0</v>
      </c>
    </row>
    <row r="904">
      <c r="A904" s="5" t="s">
        <v>1327</v>
      </c>
      <c r="B904" s="11">
        <v>430.0</v>
      </c>
    </row>
    <row r="905">
      <c r="A905" s="5" t="s">
        <v>1329</v>
      </c>
      <c r="B905" s="11">
        <v>430.0</v>
      </c>
    </row>
    <row r="906">
      <c r="A906" s="5" t="s">
        <v>1330</v>
      </c>
      <c r="B906" s="11">
        <v>430.0</v>
      </c>
    </row>
    <row r="907">
      <c r="A907" s="5" t="s">
        <v>1331</v>
      </c>
      <c r="B907" s="11">
        <v>430.0</v>
      </c>
    </row>
    <row r="908">
      <c r="A908" s="5" t="s">
        <v>1332</v>
      </c>
      <c r="B908" s="11">
        <v>430.0</v>
      </c>
    </row>
    <row r="909">
      <c r="A909" s="5" t="s">
        <v>1333</v>
      </c>
      <c r="B909" s="11">
        <v>430.0</v>
      </c>
    </row>
    <row r="910">
      <c r="A910" s="5" t="s">
        <v>1334</v>
      </c>
      <c r="B910" s="11">
        <v>430.0</v>
      </c>
    </row>
    <row r="911">
      <c r="A911" s="5" t="s">
        <v>1336</v>
      </c>
      <c r="B911" s="11">
        <v>430.0</v>
      </c>
    </row>
    <row r="912">
      <c r="A912" s="5" t="s">
        <v>1337</v>
      </c>
      <c r="B912" s="11">
        <v>773.0</v>
      </c>
    </row>
    <row r="913">
      <c r="A913" s="5" t="s">
        <v>1339</v>
      </c>
      <c r="B913" s="11">
        <v>773.0</v>
      </c>
    </row>
    <row r="914">
      <c r="A914" s="5" t="s">
        <v>1340</v>
      </c>
      <c r="B914" s="11">
        <v>773.0</v>
      </c>
    </row>
    <row r="915">
      <c r="A915" s="5" t="s">
        <v>1342</v>
      </c>
      <c r="B915" s="11">
        <v>773.0</v>
      </c>
    </row>
    <row r="916">
      <c r="A916" s="5" t="s">
        <v>1344</v>
      </c>
      <c r="B916" s="11">
        <v>773.0</v>
      </c>
    </row>
    <row r="917">
      <c r="A917" s="5" t="s">
        <v>1345</v>
      </c>
      <c r="B917" s="11">
        <v>773.0</v>
      </c>
    </row>
    <row r="918">
      <c r="A918" s="5" t="s">
        <v>1347</v>
      </c>
      <c r="B918" s="11">
        <v>773.0</v>
      </c>
    </row>
    <row r="919">
      <c r="A919" s="5" t="s">
        <v>1348</v>
      </c>
      <c r="B919" s="11">
        <v>773.0</v>
      </c>
    </row>
    <row r="920">
      <c r="A920" s="5" t="s">
        <v>1350</v>
      </c>
      <c r="B920" s="11">
        <v>773.0</v>
      </c>
    </row>
    <row r="921">
      <c r="A921" s="5" t="s">
        <v>1351</v>
      </c>
      <c r="B921" s="11">
        <v>679.0</v>
      </c>
    </row>
    <row r="922">
      <c r="A922" s="5" t="s">
        <v>1353</v>
      </c>
      <c r="B922" s="11">
        <v>673.0</v>
      </c>
    </row>
    <row r="923">
      <c r="A923" s="5" t="s">
        <v>1354</v>
      </c>
      <c r="B923" s="11">
        <v>679.0</v>
      </c>
    </row>
    <row r="924">
      <c r="A924" s="5" t="s">
        <v>1356</v>
      </c>
      <c r="B924" s="11">
        <v>679.0</v>
      </c>
    </row>
    <row r="925">
      <c r="A925" s="5" t="s">
        <v>1358</v>
      </c>
      <c r="B925" s="11">
        <v>679.0</v>
      </c>
    </row>
    <row r="926">
      <c r="A926" s="5" t="s">
        <v>1359</v>
      </c>
      <c r="B926" s="11">
        <v>673.0</v>
      </c>
    </row>
    <row r="927">
      <c r="A927" s="5" t="s">
        <v>1361</v>
      </c>
      <c r="B927" s="11">
        <v>679.0</v>
      </c>
    </row>
    <row r="928">
      <c r="A928" s="5" t="s">
        <v>1362</v>
      </c>
      <c r="B928" s="11">
        <v>679.0</v>
      </c>
    </row>
    <row r="929">
      <c r="A929" s="5" t="s">
        <v>1363</v>
      </c>
      <c r="B929" s="11">
        <v>679.0</v>
      </c>
    </row>
    <row r="930">
      <c r="A930" s="5" t="s">
        <v>1364</v>
      </c>
      <c r="B930" s="11">
        <v>679.0</v>
      </c>
    </row>
    <row r="931">
      <c r="A931" s="5" t="s">
        <v>1366</v>
      </c>
      <c r="B931" s="11">
        <v>1089.0</v>
      </c>
    </row>
    <row r="932">
      <c r="A932" s="5" t="s">
        <v>1367</v>
      </c>
      <c r="B932" s="11">
        <v>1089.0</v>
      </c>
    </row>
    <row r="933">
      <c r="A933" s="5" t="s">
        <v>1369</v>
      </c>
      <c r="B933" s="11">
        <v>1089.0</v>
      </c>
    </row>
    <row r="934">
      <c r="A934" s="5" t="s">
        <v>1371</v>
      </c>
      <c r="B934" s="11">
        <v>1089.0</v>
      </c>
    </row>
    <row r="935">
      <c r="A935" s="5" t="s">
        <v>1373</v>
      </c>
      <c r="B935" s="11">
        <v>1089.0</v>
      </c>
    </row>
    <row r="936">
      <c r="A936" s="5" t="s">
        <v>1374</v>
      </c>
      <c r="B936" s="11">
        <v>677.0</v>
      </c>
    </row>
    <row r="937">
      <c r="A937" s="5" t="s">
        <v>1375</v>
      </c>
      <c r="B937" s="11">
        <v>677.0</v>
      </c>
    </row>
    <row r="938">
      <c r="A938" s="5" t="s">
        <v>1380</v>
      </c>
      <c r="B938" s="11">
        <v>677.0</v>
      </c>
    </row>
    <row r="939">
      <c r="A939" s="5" t="s">
        <v>1381</v>
      </c>
      <c r="B939" s="11">
        <v>878.0</v>
      </c>
    </row>
    <row r="940">
      <c r="A940" s="5" t="s">
        <v>1383</v>
      </c>
      <c r="B940" s="11">
        <v>880.0</v>
      </c>
    </row>
    <row r="941">
      <c r="A941" s="5" t="s">
        <v>1384</v>
      </c>
      <c r="B941" s="11">
        <v>878.0</v>
      </c>
    </row>
    <row r="942">
      <c r="A942" s="5" t="s">
        <v>1386</v>
      </c>
      <c r="B942" s="11">
        <v>878.0</v>
      </c>
    </row>
    <row r="943">
      <c r="A943" s="5" t="s">
        <v>1387</v>
      </c>
      <c r="B943" s="11">
        <v>878.0</v>
      </c>
    </row>
    <row r="944">
      <c r="A944" s="5" t="s">
        <v>1389</v>
      </c>
      <c r="B944" s="11">
        <v>878.0</v>
      </c>
    </row>
    <row r="945">
      <c r="A945" s="5" t="s">
        <v>1390</v>
      </c>
      <c r="B945" s="11">
        <v>878.0</v>
      </c>
    </row>
    <row r="946">
      <c r="A946" s="5" t="s">
        <v>1391</v>
      </c>
      <c r="B946" s="11">
        <v>878.0</v>
      </c>
    </row>
    <row r="947">
      <c r="A947" s="5" t="s">
        <v>1393</v>
      </c>
      <c r="B947" s="11">
        <v>878.0</v>
      </c>
    </row>
    <row r="948">
      <c r="A948" s="5" t="s">
        <v>1394</v>
      </c>
      <c r="B948" s="11">
        <v>788.0</v>
      </c>
    </row>
    <row r="949">
      <c r="A949" s="5" t="s">
        <v>1396</v>
      </c>
      <c r="B949" s="11">
        <v>788.0</v>
      </c>
    </row>
    <row r="950">
      <c r="A950" s="5" t="s">
        <v>1397</v>
      </c>
      <c r="B950" s="11">
        <v>788.0</v>
      </c>
    </row>
    <row r="951">
      <c r="A951" s="5" t="s">
        <v>1399</v>
      </c>
      <c r="B951" s="11">
        <v>788.0</v>
      </c>
    </row>
    <row r="952">
      <c r="A952" s="5" t="s">
        <v>1401</v>
      </c>
      <c r="B952" s="11">
        <v>788.0</v>
      </c>
    </row>
    <row r="953">
      <c r="A953" s="5" t="s">
        <v>1402</v>
      </c>
      <c r="B953" s="11">
        <v>788.0</v>
      </c>
    </row>
    <row r="954">
      <c r="A954" s="5" t="s">
        <v>1403</v>
      </c>
      <c r="B954" s="11">
        <v>788.0</v>
      </c>
    </row>
    <row r="955">
      <c r="A955" s="5" t="s">
        <v>1405</v>
      </c>
      <c r="B955" s="11">
        <v>788.0</v>
      </c>
    </row>
    <row r="956">
      <c r="A956" s="5" t="s">
        <v>1406</v>
      </c>
      <c r="B956" s="11">
        <v>788.0</v>
      </c>
    </row>
    <row r="957">
      <c r="A957" s="5" t="s">
        <v>1408</v>
      </c>
      <c r="B957" s="11">
        <v>1089.0</v>
      </c>
    </row>
    <row r="958">
      <c r="A958" s="5" t="s">
        <v>1409</v>
      </c>
      <c r="B958" s="11">
        <v>1089.0</v>
      </c>
    </row>
    <row r="959">
      <c r="A959" s="5" t="s">
        <v>1411</v>
      </c>
      <c r="B959" s="11">
        <v>1089.0</v>
      </c>
    </row>
    <row r="960">
      <c r="A960" s="5" t="s">
        <v>1412</v>
      </c>
      <c r="B960" s="11">
        <v>931.0</v>
      </c>
    </row>
    <row r="961">
      <c r="A961" s="5" t="s">
        <v>1414</v>
      </c>
      <c r="B961" s="11">
        <v>931.0</v>
      </c>
    </row>
    <row r="962">
      <c r="A962" s="5" t="s">
        <v>1415</v>
      </c>
      <c r="B962" s="11">
        <v>931.0</v>
      </c>
    </row>
    <row r="963">
      <c r="A963" s="5" t="s">
        <v>1417</v>
      </c>
      <c r="B963" s="11">
        <v>931.0</v>
      </c>
    </row>
    <row r="964">
      <c r="A964" s="5" t="s">
        <v>1418</v>
      </c>
      <c r="B964" s="11">
        <v>931.0</v>
      </c>
    </row>
    <row r="965">
      <c r="A965" s="5" t="s">
        <v>1420</v>
      </c>
      <c r="B965" s="11">
        <v>931.0</v>
      </c>
    </row>
    <row r="966">
      <c r="A966" s="5" t="s">
        <v>1421</v>
      </c>
      <c r="B966" s="11">
        <v>931.0</v>
      </c>
    </row>
    <row r="967">
      <c r="A967" s="5" t="s">
        <v>1423</v>
      </c>
      <c r="B967" s="11">
        <v>819.0</v>
      </c>
    </row>
    <row r="968">
      <c r="A968" s="5" t="s">
        <v>1424</v>
      </c>
      <c r="B968" s="11">
        <v>930.0</v>
      </c>
    </row>
    <row r="969">
      <c r="A969" s="5" t="s">
        <v>1426</v>
      </c>
      <c r="B969" s="11">
        <v>930.0</v>
      </c>
    </row>
    <row r="970">
      <c r="A970" s="5" t="s">
        <v>1427</v>
      </c>
      <c r="B970" s="11">
        <v>930.0</v>
      </c>
    </row>
    <row r="971">
      <c r="A971" s="5" t="s">
        <v>1429</v>
      </c>
      <c r="B971" s="11">
        <v>930.0</v>
      </c>
    </row>
    <row r="972">
      <c r="A972" s="5" t="s">
        <v>1430</v>
      </c>
      <c r="B972" s="11">
        <v>930.0</v>
      </c>
    </row>
    <row r="973">
      <c r="A973" s="5" t="s">
        <v>1432</v>
      </c>
      <c r="B973" s="11">
        <v>843.0</v>
      </c>
    </row>
    <row r="974">
      <c r="A974" s="5" t="s">
        <v>1433</v>
      </c>
      <c r="B974" s="11">
        <v>843.0</v>
      </c>
    </row>
    <row r="975">
      <c r="A975" s="5" t="s">
        <v>1434</v>
      </c>
      <c r="B975" s="11">
        <v>843.0</v>
      </c>
    </row>
    <row r="976">
      <c r="A976" s="5" t="s">
        <v>1436</v>
      </c>
      <c r="B976" s="11">
        <v>49178.0</v>
      </c>
    </row>
    <row r="977">
      <c r="A977" s="5" t="s">
        <v>1437</v>
      </c>
      <c r="B977" s="11">
        <v>66701.0</v>
      </c>
    </row>
    <row r="978">
      <c r="A978" s="5" t="s">
        <v>1439</v>
      </c>
      <c r="B978" s="11">
        <v>79666.0</v>
      </c>
    </row>
    <row r="979">
      <c r="A979" s="5" t="s">
        <v>1440</v>
      </c>
      <c r="B979" s="11">
        <v>55720.0</v>
      </c>
    </row>
    <row r="980">
      <c r="A980" s="5" t="s">
        <v>1442</v>
      </c>
      <c r="B980" s="11">
        <v>46087.0</v>
      </c>
    </row>
    <row r="981">
      <c r="A981" s="5" t="s">
        <v>1444</v>
      </c>
      <c r="B981" s="11">
        <v>60526.0</v>
      </c>
    </row>
    <row r="982">
      <c r="A982" s="5" t="s">
        <v>1445</v>
      </c>
      <c r="B982" s="11">
        <v>23152.0</v>
      </c>
    </row>
    <row r="983">
      <c r="A983" s="5" t="s">
        <v>1446</v>
      </c>
      <c r="B983" s="11">
        <v>0.0</v>
      </c>
    </row>
    <row r="984">
      <c r="A984" s="5" t="s">
        <v>1447</v>
      </c>
      <c r="B984" s="11">
        <v>11813.0</v>
      </c>
    </row>
    <row r="985">
      <c r="A985" s="5" t="s">
        <v>1448</v>
      </c>
      <c r="B985" s="11">
        <v>3239.0</v>
      </c>
    </row>
    <row r="986">
      <c r="A986" s="5" t="s">
        <v>1450</v>
      </c>
      <c r="B986" s="11">
        <v>9621.0</v>
      </c>
    </row>
    <row r="987">
      <c r="A987" s="5" t="s">
        <v>1451</v>
      </c>
      <c r="B987" s="11">
        <v>35716.0</v>
      </c>
    </row>
    <row r="988">
      <c r="A988" s="5" t="s">
        <v>1453</v>
      </c>
      <c r="B988" s="11">
        <v>4995.0</v>
      </c>
    </row>
    <row r="989">
      <c r="A989" s="5" t="s">
        <v>1454</v>
      </c>
      <c r="B989" s="11">
        <v>7421.0</v>
      </c>
    </row>
    <row r="990">
      <c r="A990" s="5" t="s">
        <v>1456</v>
      </c>
      <c r="B990" s="11">
        <v>64268.0</v>
      </c>
    </row>
    <row r="991">
      <c r="A991" s="5" t="s">
        <v>1457</v>
      </c>
      <c r="B991" s="11">
        <v>128294.0</v>
      </c>
    </row>
    <row r="992">
      <c r="A992" s="5" t="s">
        <v>1459</v>
      </c>
      <c r="B992" s="11">
        <v>6782.0</v>
      </c>
    </row>
    <row r="993">
      <c r="A993" s="5" t="s">
        <v>1460</v>
      </c>
      <c r="B993" s="11">
        <v>11572.0</v>
      </c>
    </row>
    <row r="994">
      <c r="A994" s="5" t="s">
        <v>1461</v>
      </c>
      <c r="B994" s="11">
        <v>131354.0</v>
      </c>
    </row>
    <row r="995">
      <c r="A995" s="5" t="s">
        <v>1463</v>
      </c>
      <c r="B995" s="11">
        <v>8768.0</v>
      </c>
    </row>
    <row r="996">
      <c r="A996" s="5" t="s">
        <v>1464</v>
      </c>
      <c r="B996" s="11">
        <v>17716.0</v>
      </c>
    </row>
    <row r="997">
      <c r="A997" s="5" t="s">
        <v>1466</v>
      </c>
      <c r="B997" s="11">
        <v>271.0</v>
      </c>
    </row>
    <row r="998">
      <c r="A998" s="5" t="s">
        <v>1467</v>
      </c>
      <c r="B998" s="11">
        <v>475.0</v>
      </c>
    </row>
    <row r="999">
      <c r="A999" s="5" t="s">
        <v>1469</v>
      </c>
      <c r="B999" s="11">
        <v>151807.0</v>
      </c>
    </row>
    <row r="1000">
      <c r="A1000" s="5" t="s">
        <v>1470</v>
      </c>
      <c r="B1000" s="11">
        <v>124485.0</v>
      </c>
    </row>
    <row r="1001">
      <c r="A1001" s="5" t="s">
        <v>1471</v>
      </c>
      <c r="B1001" s="11">
        <v>297914.0</v>
      </c>
    </row>
    <row r="1002">
      <c r="A1002" s="5" t="s">
        <v>1473</v>
      </c>
      <c r="B1002" s="11">
        <v>379677.0</v>
      </c>
    </row>
    <row r="1003">
      <c r="A1003" s="5" t="s">
        <v>1474</v>
      </c>
      <c r="B1003" s="11">
        <v>219313.0</v>
      </c>
    </row>
    <row r="1004">
      <c r="A1004" s="5" t="s">
        <v>1476</v>
      </c>
      <c r="B1004" s="11">
        <v>191250.0</v>
      </c>
    </row>
    <row r="1005">
      <c r="A1005" s="5" t="s">
        <v>1477</v>
      </c>
      <c r="B1005" s="11">
        <v>191250.0</v>
      </c>
    </row>
    <row r="1006">
      <c r="A1006" s="5" t="s">
        <v>1479</v>
      </c>
      <c r="B1006" s="11">
        <v>543979.0</v>
      </c>
    </row>
    <row r="1007">
      <c r="A1007" s="5" t="s">
        <v>1480</v>
      </c>
      <c r="B1007" s="11">
        <v>87292.0</v>
      </c>
    </row>
    <row r="1008">
      <c r="A1008" s="5" t="s">
        <v>1482</v>
      </c>
      <c r="B1008" s="11">
        <v>265247.0</v>
      </c>
    </row>
    <row r="1009">
      <c r="A1009" s="5" t="s">
        <v>1483</v>
      </c>
      <c r="B1009" s="11">
        <v>223956.0</v>
      </c>
    </row>
    <row r="1010">
      <c r="A1010" s="5" t="s">
        <v>1484</v>
      </c>
      <c r="B1010" s="11">
        <v>11742.0</v>
      </c>
    </row>
    <row r="1011">
      <c r="A1011" s="5" t="s">
        <v>1486</v>
      </c>
      <c r="B1011" s="11">
        <v>56133.0</v>
      </c>
    </row>
    <row r="1012">
      <c r="A1012" s="5" t="s">
        <v>1487</v>
      </c>
      <c r="B1012" s="11">
        <v>0.0</v>
      </c>
    </row>
    <row r="1013">
      <c r="A1013" s="5" t="s">
        <v>1489</v>
      </c>
      <c r="B1013" s="11">
        <v>38352.0</v>
      </c>
    </row>
    <row r="1014">
      <c r="A1014" s="5" t="s">
        <v>1490</v>
      </c>
      <c r="B1014" s="11">
        <v>0.0</v>
      </c>
    </row>
    <row r="1015">
      <c r="A1015" s="5" t="s">
        <v>1492</v>
      </c>
      <c r="B1015" s="11">
        <v>24977.0</v>
      </c>
    </row>
    <row r="1016">
      <c r="A1016" s="5" t="s">
        <v>1493</v>
      </c>
      <c r="B1016" s="11">
        <v>23386.0</v>
      </c>
    </row>
    <row r="1017">
      <c r="A1017" s="5" t="s">
        <v>1495</v>
      </c>
      <c r="B1017" s="11">
        <v>36488.0</v>
      </c>
    </row>
    <row r="1018">
      <c r="A1018" s="5" t="s">
        <v>1496</v>
      </c>
      <c r="B1018" s="11">
        <v>54217.0</v>
      </c>
    </row>
    <row r="1019">
      <c r="A1019" s="5" t="s">
        <v>1498</v>
      </c>
      <c r="B1019" s="11">
        <v>66929.0</v>
      </c>
    </row>
    <row r="1020">
      <c r="A1020" s="5" t="s">
        <v>1499</v>
      </c>
      <c r="B1020" s="11">
        <v>53116.0</v>
      </c>
    </row>
    <row r="1021">
      <c r="A1021" s="5" t="s">
        <v>1500</v>
      </c>
      <c r="B1021" s="11">
        <v>8149.0</v>
      </c>
    </row>
    <row r="1022">
      <c r="A1022" s="5" t="s">
        <v>1501</v>
      </c>
      <c r="B1022" s="11">
        <v>9315.0</v>
      </c>
    </row>
    <row r="1023">
      <c r="A1023" s="5" t="s">
        <v>1502</v>
      </c>
      <c r="B1023" s="11">
        <v>11385.0</v>
      </c>
    </row>
    <row r="1024">
      <c r="A1024" s="5" t="s">
        <v>1503</v>
      </c>
      <c r="B1024" s="11">
        <v>13131.0</v>
      </c>
    </row>
    <row r="1025">
      <c r="A1025" s="5" t="s">
        <v>1505</v>
      </c>
      <c r="B1025" s="11">
        <v>35852.0</v>
      </c>
    </row>
    <row r="1026">
      <c r="A1026" s="5" t="s">
        <v>1506</v>
      </c>
      <c r="B1026" s="11">
        <v>45356.0</v>
      </c>
    </row>
    <row r="1027">
      <c r="A1027" s="5" t="s">
        <v>1507</v>
      </c>
      <c r="B1027" s="11">
        <v>26304.0</v>
      </c>
    </row>
    <row r="1028">
      <c r="A1028" s="5" t="s">
        <v>1509</v>
      </c>
      <c r="B1028" s="11">
        <v>19234.0</v>
      </c>
    </row>
    <row r="1029">
      <c r="A1029" s="5" t="s">
        <v>1510</v>
      </c>
      <c r="B1029" s="11">
        <v>47953.0</v>
      </c>
    </row>
    <row r="1030">
      <c r="A1030" s="5" t="s">
        <v>1512</v>
      </c>
      <c r="B1030" s="11">
        <v>67854.0</v>
      </c>
    </row>
    <row r="1031">
      <c r="A1031" s="5" t="s">
        <v>1514</v>
      </c>
      <c r="B1031" s="11">
        <v>39666.0</v>
      </c>
    </row>
    <row r="1032">
      <c r="A1032" s="5" t="s">
        <v>1515</v>
      </c>
      <c r="B1032" s="11">
        <v>63779.0</v>
      </c>
    </row>
    <row r="1033">
      <c r="A1033" s="5" t="s">
        <v>1516</v>
      </c>
      <c r="B1033" s="11">
        <v>0.0</v>
      </c>
    </row>
    <row r="1034">
      <c r="A1034" s="5" t="s">
        <v>1518</v>
      </c>
      <c r="B1034" s="11">
        <v>0.0</v>
      </c>
    </row>
    <row r="1035">
      <c r="A1035" s="5" t="s">
        <v>1519</v>
      </c>
      <c r="B1035" s="11">
        <v>288704.0</v>
      </c>
    </row>
    <row r="1036">
      <c r="A1036" s="5" t="s">
        <v>1520</v>
      </c>
      <c r="B1036" s="11">
        <v>3872.0</v>
      </c>
    </row>
    <row r="1037">
      <c r="A1037" s="5" t="s">
        <v>1522</v>
      </c>
      <c r="B1037" s="11">
        <v>128757.0</v>
      </c>
    </row>
    <row r="1038">
      <c r="A1038" s="5" t="s">
        <v>1523</v>
      </c>
      <c r="B1038" s="11">
        <v>532659.0</v>
      </c>
    </row>
    <row r="1039">
      <c r="A1039" s="5" t="s">
        <v>1524</v>
      </c>
      <c r="B1039" s="11">
        <v>665827.0</v>
      </c>
    </row>
    <row r="1040">
      <c r="A1040" s="5" t="s">
        <v>1525</v>
      </c>
      <c r="B1040" s="28">
        <v>731828.0</v>
      </c>
    </row>
    <row r="1041">
      <c r="A1041" s="5" t="s">
        <v>1526</v>
      </c>
      <c r="B1041" s="11">
        <v>431476.0</v>
      </c>
    </row>
    <row r="1042">
      <c r="A1042" s="5" t="s">
        <v>1528</v>
      </c>
      <c r="B1042" s="11">
        <v>584258.0</v>
      </c>
    </row>
    <row r="1043">
      <c r="A1043" s="5" t="s">
        <v>1529</v>
      </c>
      <c r="B1043" s="11">
        <v>17800.0</v>
      </c>
    </row>
    <row r="1044">
      <c r="A1044" s="5" t="s">
        <v>1530</v>
      </c>
      <c r="B1044" s="11">
        <v>5911.0</v>
      </c>
    </row>
    <row r="1045">
      <c r="A1045" s="5" t="s">
        <v>1532</v>
      </c>
      <c r="B1045" s="11">
        <v>293.0</v>
      </c>
    </row>
    <row r="1046">
      <c r="A1046" s="5" t="s">
        <v>1534</v>
      </c>
      <c r="B1046" s="11">
        <v>293.0</v>
      </c>
    </row>
    <row r="1047">
      <c r="A1047" s="5" t="s">
        <v>1536</v>
      </c>
      <c r="B1047" s="11">
        <v>248467.0</v>
      </c>
    </row>
    <row r="1048">
      <c r="A1048" s="5" t="s">
        <v>1537</v>
      </c>
      <c r="B1048" s="11">
        <v>7225.0</v>
      </c>
    </row>
    <row r="1049">
      <c r="A1049" s="5" t="s">
        <v>1538</v>
      </c>
      <c r="B1049" s="11">
        <v>6621.0</v>
      </c>
    </row>
    <row r="1050">
      <c r="A1050" s="5" t="s">
        <v>1540</v>
      </c>
      <c r="B1050" s="11">
        <v>1952.0</v>
      </c>
    </row>
    <row r="1051">
      <c r="A1051" s="5" t="s">
        <v>1541</v>
      </c>
      <c r="B1051" s="11">
        <v>73166.0</v>
      </c>
    </row>
    <row r="1052">
      <c r="A1052" s="5" t="s">
        <v>1542</v>
      </c>
      <c r="B1052" s="11">
        <v>0.0</v>
      </c>
    </row>
    <row r="1053">
      <c r="A1053" s="5" t="s">
        <v>1543</v>
      </c>
      <c r="B1053" s="11">
        <v>35458.0</v>
      </c>
    </row>
    <row r="1054">
      <c r="A1054" s="5" t="s">
        <v>1544</v>
      </c>
      <c r="B1054" s="28">
        <v>59565.0</v>
      </c>
    </row>
    <row r="1055">
      <c r="A1055" s="5" t="s">
        <v>1545</v>
      </c>
      <c r="B1055" s="28">
        <v>104117.0</v>
      </c>
    </row>
    <row r="1056">
      <c r="A1056" s="5" t="s">
        <v>1547</v>
      </c>
      <c r="B1056" s="28">
        <v>53436.0</v>
      </c>
    </row>
    <row r="1057">
      <c r="A1057" s="5" t="s">
        <v>1548</v>
      </c>
      <c r="B1057" s="28">
        <v>7415.0</v>
      </c>
    </row>
    <row r="1058">
      <c r="A1058" s="5" t="s">
        <v>1549</v>
      </c>
      <c r="B1058" s="11">
        <v>7415.0</v>
      </c>
    </row>
    <row r="1059">
      <c r="A1059" s="5" t="s">
        <v>1551</v>
      </c>
      <c r="B1059" s="11">
        <v>28374.0</v>
      </c>
    </row>
    <row r="1060">
      <c r="A1060" s="5" t="s">
        <v>1552</v>
      </c>
      <c r="B1060" s="11">
        <v>24670.0</v>
      </c>
    </row>
    <row r="1061">
      <c r="A1061" s="5" t="s">
        <v>1554</v>
      </c>
      <c r="B1061" s="11">
        <v>42329.0</v>
      </c>
    </row>
    <row r="1062">
      <c r="A1062" s="5" t="s">
        <v>1555</v>
      </c>
      <c r="B1062" s="11">
        <v>24670.0</v>
      </c>
    </row>
    <row r="1063">
      <c r="A1063" s="5" t="s">
        <v>1557</v>
      </c>
      <c r="B1063" s="11">
        <v>7290.0</v>
      </c>
    </row>
    <row r="1064">
      <c r="A1064" s="5" t="s">
        <v>1558</v>
      </c>
      <c r="B1064" s="11">
        <v>117432.0</v>
      </c>
    </row>
    <row r="1065">
      <c r="A1065" s="5" t="s">
        <v>1559</v>
      </c>
      <c r="B1065" s="11">
        <v>349443.0</v>
      </c>
    </row>
    <row r="1066">
      <c r="A1066" s="5" t="s">
        <v>1560</v>
      </c>
      <c r="B1066" s="11">
        <v>54532.0</v>
      </c>
    </row>
    <row r="1067">
      <c r="A1067" s="5" t="s">
        <v>1561</v>
      </c>
      <c r="B1067" s="11">
        <v>42370.0</v>
      </c>
    </row>
    <row r="1068">
      <c r="A1068" s="5" t="s">
        <v>1562</v>
      </c>
      <c r="B1068" s="11">
        <v>248883.0</v>
      </c>
    </row>
    <row r="1069">
      <c r="A1069" s="5" t="s">
        <v>1563</v>
      </c>
      <c r="B1069" s="11">
        <v>5997.0</v>
      </c>
    </row>
    <row r="1070">
      <c r="A1070" s="5" t="s">
        <v>1564</v>
      </c>
      <c r="B1070" s="11">
        <v>11219.0</v>
      </c>
    </row>
    <row r="1071">
      <c r="A1071" s="5" t="s">
        <v>1565</v>
      </c>
      <c r="B1071" s="11">
        <v>13956.0</v>
      </c>
    </row>
    <row r="1072">
      <c r="A1072" s="5" t="s">
        <v>1567</v>
      </c>
      <c r="B1072" s="11">
        <v>18226.0</v>
      </c>
    </row>
    <row r="1073">
      <c r="A1073" s="5" t="s">
        <v>1568</v>
      </c>
      <c r="B1073" s="11">
        <v>22617.0</v>
      </c>
    </row>
    <row r="1074">
      <c r="A1074" s="5" t="s">
        <v>1569</v>
      </c>
      <c r="B1074" s="11">
        <v>7953.0</v>
      </c>
    </row>
    <row r="1075">
      <c r="A1075" s="5" t="s">
        <v>1570</v>
      </c>
      <c r="B1075" s="11">
        <v>18006.0</v>
      </c>
    </row>
    <row r="1076">
      <c r="A1076" s="5" t="s">
        <v>1571</v>
      </c>
      <c r="B1076" s="11">
        <v>2925.0</v>
      </c>
    </row>
    <row r="1077">
      <c r="A1077" s="5" t="s">
        <v>1572</v>
      </c>
      <c r="B1077" s="11">
        <v>4679.0</v>
      </c>
    </row>
    <row r="1078">
      <c r="A1078" s="5" t="s">
        <v>1573</v>
      </c>
      <c r="B1078" s="11">
        <v>5750.0</v>
      </c>
    </row>
    <row r="1079">
      <c r="A1079" s="5" t="s">
        <v>1574</v>
      </c>
      <c r="B1079" s="11">
        <v>3637.0</v>
      </c>
    </row>
    <row r="1080">
      <c r="A1080" s="5" t="s">
        <v>1575</v>
      </c>
      <c r="B1080" s="11">
        <v>4408.0</v>
      </c>
    </row>
    <row r="1081">
      <c r="A1081" s="5" t="s">
        <v>1575</v>
      </c>
      <c r="B1081" s="11">
        <v>4408.0</v>
      </c>
    </row>
    <row r="1082">
      <c r="A1082" s="5" t="s">
        <v>1576</v>
      </c>
      <c r="B1082" s="11">
        <v>5341.0</v>
      </c>
    </row>
    <row r="1083">
      <c r="A1083" s="5" t="s">
        <v>1577</v>
      </c>
      <c r="B1083" s="11">
        <v>42.0</v>
      </c>
    </row>
    <row r="1084">
      <c r="A1084" s="5" t="s">
        <v>1578</v>
      </c>
      <c r="B1084" s="11">
        <v>3169.0</v>
      </c>
    </row>
    <row r="1085">
      <c r="A1085" s="5" t="s">
        <v>1579</v>
      </c>
      <c r="B1085" s="11">
        <v>951.0</v>
      </c>
    </row>
    <row r="1086">
      <c r="A1086" s="5" t="s">
        <v>1580</v>
      </c>
      <c r="B1086" s="11">
        <v>2768.0</v>
      </c>
    </row>
    <row r="1087">
      <c r="A1087" s="5" t="s">
        <v>1581</v>
      </c>
      <c r="B1087" s="11">
        <v>3594.0</v>
      </c>
    </row>
    <row r="1088">
      <c r="A1088" s="5" t="s">
        <v>1582</v>
      </c>
      <c r="B1088" s="11">
        <v>3803.0</v>
      </c>
    </row>
    <row r="1089">
      <c r="A1089" s="5" t="s">
        <v>1583</v>
      </c>
      <c r="B1089" s="11">
        <v>1743.0</v>
      </c>
    </row>
    <row r="1090">
      <c r="A1090" s="5" t="s">
        <v>1584</v>
      </c>
      <c r="B1090" s="11">
        <v>10879.0</v>
      </c>
    </row>
    <row r="1091">
      <c r="A1091" s="5" t="s">
        <v>1585</v>
      </c>
      <c r="B1091" s="11">
        <v>3211.0</v>
      </c>
    </row>
    <row r="1092">
      <c r="A1092" s="5" t="s">
        <v>1586</v>
      </c>
      <c r="B1092" s="11">
        <v>0.0</v>
      </c>
    </row>
    <row r="1093">
      <c r="A1093" s="5" t="s">
        <v>1587</v>
      </c>
      <c r="B1093" s="11">
        <v>10924.0</v>
      </c>
    </row>
    <row r="1094">
      <c r="A1094" s="5" t="s">
        <v>1588</v>
      </c>
      <c r="B1094" s="11">
        <v>17664.0</v>
      </c>
    </row>
    <row r="1095">
      <c r="A1095" s="5" t="s">
        <v>1589</v>
      </c>
      <c r="B1095" s="11">
        <v>3780.0</v>
      </c>
    </row>
    <row r="1096">
      <c r="A1096" s="5" t="s">
        <v>1590</v>
      </c>
      <c r="B1096" s="11">
        <v>5229.0</v>
      </c>
    </row>
    <row r="1097">
      <c r="A1097" s="5" t="s">
        <v>1591</v>
      </c>
      <c r="B1097" s="11">
        <v>3593.0</v>
      </c>
    </row>
    <row r="1098">
      <c r="A1098" s="5" t="s">
        <v>1592</v>
      </c>
      <c r="B1098" s="11">
        <v>1678.0</v>
      </c>
    </row>
    <row r="1099">
      <c r="A1099" s="5" t="s">
        <v>1593</v>
      </c>
      <c r="B1099" s="11">
        <v>1312.0</v>
      </c>
    </row>
    <row r="1100">
      <c r="A1100" s="5" t="s">
        <v>1594</v>
      </c>
      <c r="B1100" s="11">
        <v>1846.0</v>
      </c>
    </row>
    <row r="1101">
      <c r="A1101" s="5" t="s">
        <v>1595</v>
      </c>
      <c r="B1101" s="11">
        <v>1066.0</v>
      </c>
    </row>
    <row r="1102">
      <c r="A1102" s="5" t="s">
        <v>1596</v>
      </c>
      <c r="B1102" s="11">
        <v>190.0</v>
      </c>
    </row>
    <row r="1103">
      <c r="A1103" s="5" t="s">
        <v>1597</v>
      </c>
      <c r="B1103" s="11">
        <v>2852.0</v>
      </c>
    </row>
    <row r="1104">
      <c r="A1104" s="5" t="s">
        <v>1598</v>
      </c>
      <c r="B1104" s="11">
        <v>13758.0</v>
      </c>
    </row>
    <row r="1105">
      <c r="A1105" s="5" t="s">
        <v>1599</v>
      </c>
      <c r="B1105" s="11">
        <v>1901.0</v>
      </c>
    </row>
    <row r="1106">
      <c r="A1106" s="5" t="s">
        <v>1600</v>
      </c>
      <c r="B1106" s="11">
        <v>2502.0</v>
      </c>
    </row>
    <row r="1107">
      <c r="A1107" s="5" t="s">
        <v>1601</v>
      </c>
      <c r="B1107" s="11">
        <v>1562.0</v>
      </c>
    </row>
    <row r="1108">
      <c r="A1108" s="5" t="s">
        <v>1602</v>
      </c>
      <c r="B1108" s="11">
        <v>3183.0</v>
      </c>
    </row>
    <row r="1109">
      <c r="A1109" s="5" t="s">
        <v>1603</v>
      </c>
      <c r="B1109" s="11">
        <v>4113.0</v>
      </c>
    </row>
    <row r="1110">
      <c r="A1110" s="5" t="s">
        <v>1604</v>
      </c>
      <c r="B1110" s="11">
        <v>3699.0</v>
      </c>
    </row>
    <row r="1111">
      <c r="A1111" s="5" t="s">
        <v>1605</v>
      </c>
      <c r="B1111" s="11">
        <v>3111.0</v>
      </c>
    </row>
    <row r="1112">
      <c r="A1112" s="5" t="s">
        <v>1606</v>
      </c>
      <c r="B1112" s="11">
        <v>3714.0</v>
      </c>
    </row>
    <row r="1113">
      <c r="A1113" s="5" t="s">
        <v>1607</v>
      </c>
      <c r="B1113" s="11">
        <v>831.0</v>
      </c>
    </row>
    <row r="1114">
      <c r="A1114" s="5" t="s">
        <v>1608</v>
      </c>
      <c r="B1114" s="11">
        <v>83221.0</v>
      </c>
    </row>
    <row r="1115">
      <c r="A1115" s="5" t="s">
        <v>1609</v>
      </c>
      <c r="B1115" s="11">
        <v>73902.0</v>
      </c>
    </row>
    <row r="1116">
      <c r="A1116" s="5" t="s">
        <v>1610</v>
      </c>
      <c r="B1116" s="11">
        <v>83466.0</v>
      </c>
    </row>
    <row r="1117">
      <c r="A1117" s="5" t="s">
        <v>1611</v>
      </c>
      <c r="B1117" s="11">
        <v>47051.0</v>
      </c>
    </row>
    <row r="1118">
      <c r="A1118" s="5" t="s">
        <v>1612</v>
      </c>
      <c r="B1118" s="11">
        <v>53507.0</v>
      </c>
    </row>
    <row r="1119">
      <c r="A1119" s="5" t="s">
        <v>1613</v>
      </c>
      <c r="B1119" s="11">
        <v>34210.0</v>
      </c>
    </row>
    <row r="1120">
      <c r="A1120" s="5" t="s">
        <v>1614</v>
      </c>
      <c r="B1120" s="11">
        <v>41398.0</v>
      </c>
    </row>
    <row r="1121">
      <c r="A1121" s="5" t="s">
        <v>1615</v>
      </c>
      <c r="B1121" s="11">
        <v>17618.0</v>
      </c>
    </row>
    <row r="1122">
      <c r="A1122" s="5" t="s">
        <v>1616</v>
      </c>
      <c r="B1122" s="11">
        <v>17618.0</v>
      </c>
    </row>
    <row r="1123">
      <c r="A1123" s="5" t="s">
        <v>1617</v>
      </c>
      <c r="B1123" s="11">
        <v>17618.0</v>
      </c>
    </row>
    <row r="1124">
      <c r="A1124" s="5" t="s">
        <v>1618</v>
      </c>
      <c r="B1124" s="11">
        <v>108307.0</v>
      </c>
    </row>
    <row r="1125">
      <c r="A1125" s="5" t="s">
        <v>1619</v>
      </c>
      <c r="B1125" s="11">
        <v>47745.0</v>
      </c>
    </row>
    <row r="1126">
      <c r="A1126" s="5" t="s">
        <v>1620</v>
      </c>
      <c r="B1126" s="11">
        <v>7684.0</v>
      </c>
    </row>
    <row r="1127">
      <c r="A1127" s="5" t="s">
        <v>1621</v>
      </c>
      <c r="B1127" s="11">
        <v>7684.0</v>
      </c>
    </row>
    <row r="1128">
      <c r="A1128" s="5" t="s">
        <v>1622</v>
      </c>
      <c r="B1128" s="11">
        <v>7684.0</v>
      </c>
    </row>
    <row r="1129">
      <c r="A1129" s="5" t="s">
        <v>1623</v>
      </c>
      <c r="B1129" s="11">
        <v>72170.0</v>
      </c>
    </row>
    <row r="1130">
      <c r="A1130" s="5" t="s">
        <v>1624</v>
      </c>
      <c r="B1130" s="11">
        <v>98749.0</v>
      </c>
    </row>
    <row r="1131">
      <c r="A1131" s="5" t="s">
        <v>1625</v>
      </c>
      <c r="B1131" s="11">
        <v>5595.0</v>
      </c>
    </row>
    <row r="1132">
      <c r="A1132" s="5" t="s">
        <v>1626</v>
      </c>
      <c r="B1132" s="11">
        <v>7976.0</v>
      </c>
    </row>
    <row r="1133">
      <c r="A1133" s="5" t="s">
        <v>1627</v>
      </c>
      <c r="B1133" s="11">
        <v>7264.0</v>
      </c>
    </row>
    <row r="1134">
      <c r="A1134" s="5" t="s">
        <v>1628</v>
      </c>
      <c r="B1134" s="11">
        <v>5183.0</v>
      </c>
    </row>
    <row r="1135">
      <c r="A1135" s="5" t="s">
        <v>1629</v>
      </c>
      <c r="B1135" s="11">
        <v>0.0</v>
      </c>
    </row>
    <row r="1136">
      <c r="A1136" s="5" t="s">
        <v>1630</v>
      </c>
      <c r="B1136" s="11">
        <v>0.0</v>
      </c>
    </row>
    <row r="1137">
      <c r="A1137" s="5" t="s">
        <v>1631</v>
      </c>
      <c r="B1137" s="11">
        <v>2324.0</v>
      </c>
    </row>
    <row r="1138">
      <c r="A1138" s="5" t="s">
        <v>1632</v>
      </c>
      <c r="B1138" s="11">
        <v>4488.0</v>
      </c>
    </row>
    <row r="1139">
      <c r="A1139" s="5" t="s">
        <v>1633</v>
      </c>
      <c r="B1139" s="11">
        <v>4488.0</v>
      </c>
    </row>
    <row r="1140">
      <c r="A1140" s="5" t="s">
        <v>1634</v>
      </c>
      <c r="B1140" s="11">
        <v>4488.0</v>
      </c>
    </row>
    <row r="1141">
      <c r="A1141" s="5" t="s">
        <v>1635</v>
      </c>
      <c r="B1141" s="11">
        <v>4488.0</v>
      </c>
    </row>
    <row r="1142">
      <c r="A1142" s="5" t="s">
        <v>1636</v>
      </c>
      <c r="B1142" s="11">
        <v>4488.0</v>
      </c>
    </row>
    <row r="1143">
      <c r="A1143" s="5" t="s">
        <v>1637</v>
      </c>
      <c r="B1143" s="11">
        <v>4209.0</v>
      </c>
    </row>
    <row r="1144">
      <c r="A1144" s="5" t="s">
        <v>1638</v>
      </c>
      <c r="B1144" s="11">
        <v>33686.0</v>
      </c>
    </row>
    <row r="1145">
      <c r="A1145" s="5" t="s">
        <v>1639</v>
      </c>
      <c r="B1145" s="11">
        <v>13684.0</v>
      </c>
    </row>
    <row r="1146">
      <c r="A1146" s="5" t="s">
        <v>1640</v>
      </c>
      <c r="B1146" s="11">
        <v>16893.0</v>
      </c>
    </row>
    <row r="1147">
      <c r="A1147" s="12" t="s">
        <v>1641</v>
      </c>
      <c r="B1147" s="11">
        <v>11688.0</v>
      </c>
    </row>
    <row r="1148">
      <c r="A1148" s="5" t="s">
        <v>1642</v>
      </c>
      <c r="B1148" s="11">
        <v>29141.0</v>
      </c>
    </row>
    <row r="1149">
      <c r="A1149" s="5" t="s">
        <v>1643</v>
      </c>
      <c r="B1149" s="11">
        <v>30208.0</v>
      </c>
    </row>
    <row r="1150">
      <c r="A1150" s="5" t="s">
        <v>1644</v>
      </c>
      <c r="B1150" s="11">
        <v>6514.0</v>
      </c>
    </row>
    <row r="1151">
      <c r="A1151" s="5" t="s">
        <v>1645</v>
      </c>
      <c r="B1151" s="11">
        <v>2605.0</v>
      </c>
    </row>
    <row r="1152">
      <c r="A1152" s="5" t="s">
        <v>1646</v>
      </c>
      <c r="B1152" s="11">
        <v>10728.0</v>
      </c>
    </row>
    <row r="1153">
      <c r="A1153" s="12" t="s">
        <v>1647</v>
      </c>
      <c r="B1153" s="11">
        <v>19856.0</v>
      </c>
    </row>
    <row r="1154">
      <c r="A1154" s="12" t="s">
        <v>1648</v>
      </c>
      <c r="B1154" s="11">
        <v>26817.0</v>
      </c>
    </row>
    <row r="1155">
      <c r="A1155" s="12" t="s">
        <v>1649</v>
      </c>
      <c r="B1155" s="11">
        <v>46677.0</v>
      </c>
    </row>
    <row r="1156">
      <c r="A1156" s="5" t="s">
        <v>1650</v>
      </c>
      <c r="B1156" s="11">
        <v>45124.0</v>
      </c>
    </row>
    <row r="1157">
      <c r="A1157" s="12" t="s">
        <v>1651</v>
      </c>
      <c r="B1157" s="11">
        <v>52887.0</v>
      </c>
    </row>
    <row r="1158">
      <c r="A1158" s="5" t="s">
        <v>1652</v>
      </c>
      <c r="B1158" s="11">
        <v>51225.0</v>
      </c>
    </row>
    <row r="1159">
      <c r="A1159" s="5" t="s">
        <v>1653</v>
      </c>
      <c r="B1159" s="11">
        <v>12804.0</v>
      </c>
    </row>
    <row r="1160">
      <c r="A1160" s="5" t="s">
        <v>1654</v>
      </c>
      <c r="B1160" s="11">
        <v>31000.0</v>
      </c>
    </row>
    <row r="1161">
      <c r="A1161" s="5" t="s">
        <v>1655</v>
      </c>
      <c r="B1161" s="11">
        <v>33293.0</v>
      </c>
    </row>
    <row r="1162">
      <c r="A1162" s="5" t="s">
        <v>1656</v>
      </c>
      <c r="B1162" s="11">
        <v>30009.0</v>
      </c>
    </row>
    <row r="1163">
      <c r="A1163" s="5" t="s">
        <v>1657</v>
      </c>
      <c r="B1163" s="11">
        <v>33193.0</v>
      </c>
    </row>
    <row r="1164">
      <c r="A1164" s="5" t="s">
        <v>1658</v>
      </c>
      <c r="B1164" s="11">
        <v>17786.0</v>
      </c>
    </row>
    <row r="1165">
      <c r="A1165" s="5" t="s">
        <v>1659</v>
      </c>
      <c r="B1165" s="11">
        <v>63372.0</v>
      </c>
    </row>
    <row r="1166">
      <c r="A1166" s="5" t="s">
        <v>1660</v>
      </c>
      <c r="B1166" s="11">
        <v>58785.0</v>
      </c>
    </row>
    <row r="1167">
      <c r="A1167" s="12" t="s">
        <v>1661</v>
      </c>
      <c r="B1167" s="11">
        <v>43540.0</v>
      </c>
    </row>
    <row r="1168">
      <c r="A1168" s="5" t="s">
        <v>1662</v>
      </c>
      <c r="B1168" s="11">
        <v>8874.0</v>
      </c>
    </row>
    <row r="1169">
      <c r="A1169" s="12" t="s">
        <v>1663</v>
      </c>
      <c r="B1169" s="11">
        <v>29248.0</v>
      </c>
    </row>
    <row r="1170">
      <c r="A1170" s="5" t="s">
        <v>1664</v>
      </c>
      <c r="B1170" s="11">
        <v>21050.0</v>
      </c>
    </row>
    <row r="1171">
      <c r="A1171" s="5" t="s">
        <v>1665</v>
      </c>
      <c r="B1171" s="11">
        <v>46443.0</v>
      </c>
    </row>
    <row r="1172">
      <c r="A1172" s="5" t="s">
        <v>1666</v>
      </c>
      <c r="B1172" s="11">
        <v>1800.0</v>
      </c>
    </row>
    <row r="1173">
      <c r="A1173" s="5" t="s">
        <v>1667</v>
      </c>
      <c r="B1173" s="11">
        <v>3204.0</v>
      </c>
    </row>
    <row r="1174">
      <c r="A1174" s="12" t="s">
        <v>1668</v>
      </c>
      <c r="B1174" s="11">
        <v>62863.0</v>
      </c>
    </row>
    <row r="1175">
      <c r="A1175" s="12" t="s">
        <v>1669</v>
      </c>
      <c r="B1175" s="11">
        <v>125726.0</v>
      </c>
    </row>
    <row r="1176">
      <c r="A1176" s="5" t="s">
        <v>1670</v>
      </c>
      <c r="B1176" s="11">
        <v>50.0</v>
      </c>
    </row>
    <row r="1177">
      <c r="A1177" s="5" t="s">
        <v>1671</v>
      </c>
      <c r="B1177" s="11">
        <v>47346.0</v>
      </c>
    </row>
    <row r="1178">
      <c r="A1178" s="5" t="s">
        <v>1672</v>
      </c>
      <c r="B1178" s="11">
        <v>26063.0</v>
      </c>
    </row>
    <row r="1179">
      <c r="A1179" s="5" t="s">
        <v>1673</v>
      </c>
      <c r="B1179" s="11">
        <v>100.0</v>
      </c>
    </row>
    <row r="1180">
      <c r="A1180" s="5" t="s">
        <v>1674</v>
      </c>
      <c r="B1180" s="11">
        <v>16.0</v>
      </c>
    </row>
    <row r="1181">
      <c r="A1181" s="5" t="s">
        <v>1675</v>
      </c>
      <c r="B1181" s="11">
        <v>20928.0</v>
      </c>
    </row>
    <row r="1182">
      <c r="A1182" s="5" t="s">
        <v>1676</v>
      </c>
      <c r="B1182" s="11">
        <v>50.0</v>
      </c>
    </row>
    <row r="1183">
      <c r="A1183" s="5" t="s">
        <v>1677</v>
      </c>
      <c r="B1183" s="11">
        <v>57836.0</v>
      </c>
    </row>
    <row r="1184">
      <c r="A1184" s="5" t="s">
        <v>1678</v>
      </c>
      <c r="B1184" s="11">
        <v>38876.0</v>
      </c>
    </row>
    <row r="1185">
      <c r="A1185" s="5" t="s">
        <v>1679</v>
      </c>
      <c r="B1185" s="11">
        <v>111085.0</v>
      </c>
    </row>
    <row r="1186">
      <c r="A1186" s="5" t="s">
        <v>1680</v>
      </c>
      <c r="B1186" s="11">
        <v>269998.0</v>
      </c>
    </row>
    <row r="1187">
      <c r="A1187" s="5" t="s">
        <v>1681</v>
      </c>
      <c r="B1187" s="11">
        <v>43945.0</v>
      </c>
    </row>
    <row r="1188">
      <c r="A1188" s="5" t="s">
        <v>1682</v>
      </c>
      <c r="B1188" s="11">
        <v>96426.0</v>
      </c>
    </row>
    <row r="1189">
      <c r="A1189" s="5" t="s">
        <v>1683</v>
      </c>
      <c r="B1189" s="11">
        <v>63162.0</v>
      </c>
    </row>
    <row r="1190">
      <c r="A1190" s="5" t="s">
        <v>1684</v>
      </c>
      <c r="B1190" s="11">
        <v>53517.0</v>
      </c>
    </row>
    <row r="1191">
      <c r="A1191" s="5" t="s">
        <v>1685</v>
      </c>
      <c r="B1191" s="11">
        <v>26759.0</v>
      </c>
    </row>
    <row r="1192">
      <c r="A1192" s="5" t="s">
        <v>1686</v>
      </c>
      <c r="B1192" s="11">
        <v>196158.0</v>
      </c>
    </row>
    <row r="1193">
      <c r="A1193" s="5" t="s">
        <v>1687</v>
      </c>
      <c r="B1193" s="11">
        <v>98079.0</v>
      </c>
    </row>
    <row r="1194">
      <c r="A1194" s="5" t="s">
        <v>1688</v>
      </c>
      <c r="B1194" s="11">
        <v>23354.0</v>
      </c>
    </row>
    <row r="1195">
      <c r="A1195" s="5" t="s">
        <v>1689</v>
      </c>
      <c r="B1195" s="11">
        <v>28432.0</v>
      </c>
    </row>
    <row r="1196">
      <c r="A1196" s="5" t="s">
        <v>1690</v>
      </c>
      <c r="B1196" s="11">
        <v>15053.0</v>
      </c>
    </row>
    <row r="1197">
      <c r="A1197" s="5" t="s">
        <v>1691</v>
      </c>
      <c r="B1197" s="11">
        <v>10880.0</v>
      </c>
    </row>
    <row r="1198">
      <c r="A1198" s="5" t="s">
        <v>1692</v>
      </c>
      <c r="B1198" s="11">
        <v>10880.0</v>
      </c>
    </row>
    <row r="1199">
      <c r="A1199" s="5" t="s">
        <v>1693</v>
      </c>
      <c r="B1199" s="11">
        <v>28361.0</v>
      </c>
    </row>
    <row r="1200">
      <c r="A1200" s="5" t="s">
        <v>1694</v>
      </c>
      <c r="B1200" s="11">
        <v>28432.0</v>
      </c>
    </row>
    <row r="1201">
      <c r="A1201" s="5" t="s">
        <v>1695</v>
      </c>
      <c r="B1201" s="11">
        <v>15053.0</v>
      </c>
    </row>
    <row r="1202">
      <c r="A1202" s="5" t="s">
        <v>1696</v>
      </c>
      <c r="B1202" s="11">
        <v>28361.0</v>
      </c>
    </row>
    <row r="1203">
      <c r="A1203" s="5" t="s">
        <v>1697</v>
      </c>
      <c r="B1203" s="11">
        <v>28432.0</v>
      </c>
    </row>
    <row r="1204">
      <c r="A1204" s="5" t="s">
        <v>1698</v>
      </c>
      <c r="B1204" s="11">
        <v>15053.0</v>
      </c>
    </row>
    <row r="1205">
      <c r="A1205" s="5" t="s">
        <v>1699</v>
      </c>
      <c r="B1205" s="11">
        <v>60525.0</v>
      </c>
    </row>
    <row r="1206">
      <c r="A1206" s="5" t="s">
        <v>1700</v>
      </c>
      <c r="B1206" s="11">
        <v>8211.0</v>
      </c>
    </row>
    <row r="1207">
      <c r="A1207" s="5" t="s">
        <v>1701</v>
      </c>
      <c r="B1207" s="11">
        <v>89569.0</v>
      </c>
    </row>
    <row r="1208">
      <c r="A1208" s="5" t="s">
        <v>1702</v>
      </c>
      <c r="B1208" s="11">
        <v>6658.0</v>
      </c>
    </row>
    <row r="1209">
      <c r="A1209" s="5" t="s">
        <v>1703</v>
      </c>
      <c r="B1209" s="11">
        <v>74345.0</v>
      </c>
    </row>
    <row r="1210">
      <c r="A1210" s="5" t="s">
        <v>1704</v>
      </c>
      <c r="B1210" s="11">
        <v>24856.0</v>
      </c>
    </row>
    <row r="1211">
      <c r="A1211" s="5" t="s">
        <v>1705</v>
      </c>
      <c r="B1211" s="11">
        <v>34451.0</v>
      </c>
    </row>
    <row r="1212">
      <c r="A1212" s="5" t="s">
        <v>1706</v>
      </c>
      <c r="B1212" s="11">
        <v>15006.0</v>
      </c>
    </row>
    <row r="1213">
      <c r="A1213" s="5" t="s">
        <v>1707</v>
      </c>
      <c r="B1213" s="11">
        <v>0.0</v>
      </c>
    </row>
    <row r="1214">
      <c r="A1214" s="5" t="s">
        <v>1708</v>
      </c>
      <c r="B1214" s="11">
        <v>20417.0</v>
      </c>
    </row>
    <row r="1215">
      <c r="A1215" s="5" t="s">
        <v>1709</v>
      </c>
      <c r="B1215" s="11">
        <v>24131.0</v>
      </c>
    </row>
    <row r="1216">
      <c r="A1216" s="5" t="s">
        <v>1710</v>
      </c>
      <c r="B1216" s="11">
        <v>21689.0</v>
      </c>
    </row>
    <row r="1217">
      <c r="A1217" s="5" t="s">
        <v>1711</v>
      </c>
      <c r="B1217" s="28">
        <v>33601.0</v>
      </c>
    </row>
    <row r="1218">
      <c r="A1218" s="5" t="s">
        <v>1712</v>
      </c>
      <c r="B1218" s="11">
        <v>20803.0</v>
      </c>
    </row>
    <row r="1219">
      <c r="A1219" s="5" t="s">
        <v>1713</v>
      </c>
      <c r="B1219" s="11">
        <v>33477.0</v>
      </c>
    </row>
    <row r="1220">
      <c r="A1220" s="5" t="s">
        <v>1714</v>
      </c>
      <c r="B1220" s="11">
        <v>21660.0</v>
      </c>
    </row>
    <row r="1221">
      <c r="A1221" s="5" t="s">
        <v>1715</v>
      </c>
      <c r="B1221" s="11">
        <v>17293.0</v>
      </c>
    </row>
    <row r="1222">
      <c r="A1222" s="5" t="s">
        <v>1716</v>
      </c>
      <c r="B1222" s="11">
        <v>28365.0</v>
      </c>
    </row>
    <row r="1223">
      <c r="A1223" s="5" t="s">
        <v>1717</v>
      </c>
      <c r="B1223" s="11">
        <v>25643.0</v>
      </c>
    </row>
    <row r="1224">
      <c r="A1224" s="5" t="s">
        <v>1718</v>
      </c>
      <c r="B1224" s="11">
        <v>19189.0</v>
      </c>
    </row>
    <row r="1225">
      <c r="A1225" s="5" t="s">
        <v>1719</v>
      </c>
      <c r="B1225" s="11">
        <v>28016.0</v>
      </c>
    </row>
    <row r="1226">
      <c r="A1226" s="12" t="s">
        <v>1720</v>
      </c>
      <c r="B1226" s="11">
        <v>32753.0</v>
      </c>
    </row>
    <row r="1227">
      <c r="A1227" s="5" t="s">
        <v>1721</v>
      </c>
      <c r="B1227" s="11">
        <v>16274.0</v>
      </c>
    </row>
    <row r="1228">
      <c r="A1228" s="5" t="s">
        <v>1722</v>
      </c>
      <c r="B1228" s="11">
        <v>31994.0</v>
      </c>
    </row>
    <row r="1229">
      <c r="A1229" s="5" t="s">
        <v>1723</v>
      </c>
      <c r="B1229" s="11">
        <v>22050.0</v>
      </c>
    </row>
    <row r="1230">
      <c r="A1230" s="5" t="s">
        <v>1724</v>
      </c>
      <c r="B1230" s="11">
        <v>24226.0</v>
      </c>
    </row>
    <row r="1231">
      <c r="A1231" s="5" t="s">
        <v>1725</v>
      </c>
      <c r="B1231" s="11">
        <v>36462.0</v>
      </c>
    </row>
    <row r="1232">
      <c r="A1232" s="5" t="s">
        <v>1726</v>
      </c>
      <c r="B1232" s="11">
        <v>15801.0</v>
      </c>
    </row>
    <row r="1233">
      <c r="A1233" s="5" t="s">
        <v>1727</v>
      </c>
      <c r="B1233" s="11">
        <v>19618.0</v>
      </c>
    </row>
    <row r="1234">
      <c r="A1234" s="5" t="s">
        <v>1728</v>
      </c>
      <c r="B1234" s="11">
        <v>25721.0</v>
      </c>
    </row>
    <row r="1235">
      <c r="A1235" s="5" t="s">
        <v>1729</v>
      </c>
      <c r="B1235" s="11">
        <v>37335.0</v>
      </c>
    </row>
    <row r="1236">
      <c r="A1236" s="5" t="s">
        <v>1730</v>
      </c>
      <c r="B1236" s="11">
        <v>29987.0</v>
      </c>
    </row>
    <row r="1237">
      <c r="A1237" s="5" t="s">
        <v>1731</v>
      </c>
      <c r="B1237" s="11">
        <v>21369.0</v>
      </c>
    </row>
    <row r="1238">
      <c r="A1238" s="5" t="s">
        <v>1732</v>
      </c>
      <c r="B1238" s="11">
        <v>96199.0</v>
      </c>
    </row>
    <row r="1239">
      <c r="A1239" s="5" t="s">
        <v>1733</v>
      </c>
      <c r="B1239" s="11">
        <v>48099.0</v>
      </c>
    </row>
    <row r="1240">
      <c r="A1240" s="5" t="s">
        <v>1734</v>
      </c>
      <c r="B1240" s="11">
        <v>23552.0</v>
      </c>
    </row>
    <row r="1241">
      <c r="A1241" s="5" t="s">
        <v>1735</v>
      </c>
      <c r="B1241" s="11">
        <v>15903.0</v>
      </c>
    </row>
    <row r="1242">
      <c r="A1242" s="5" t="s">
        <v>1736</v>
      </c>
      <c r="B1242" s="11">
        <v>20583.0</v>
      </c>
    </row>
    <row r="1243">
      <c r="A1243" s="5" t="s">
        <v>1737</v>
      </c>
      <c r="B1243" s="11">
        <v>50037.0</v>
      </c>
    </row>
    <row r="1244">
      <c r="A1244" s="5" t="s">
        <v>1738</v>
      </c>
      <c r="B1244" s="11">
        <v>31480.0</v>
      </c>
    </row>
    <row r="1245">
      <c r="A1245" s="5" t="s">
        <v>1739</v>
      </c>
      <c r="B1245" s="11">
        <v>0.0</v>
      </c>
    </row>
    <row r="1246">
      <c r="A1246" s="5" t="s">
        <v>1740</v>
      </c>
      <c r="B1246" s="11">
        <v>13858.0</v>
      </c>
    </row>
    <row r="1247">
      <c r="A1247" s="5" t="s">
        <v>1741</v>
      </c>
      <c r="B1247" s="11">
        <v>12689.0</v>
      </c>
    </row>
    <row r="1248">
      <c r="A1248" s="5" t="s">
        <v>1742</v>
      </c>
      <c r="B1248" s="11">
        <v>27963.0</v>
      </c>
    </row>
    <row r="1249">
      <c r="A1249" s="5" t="s">
        <v>1743</v>
      </c>
      <c r="B1249" s="11">
        <v>18008.0</v>
      </c>
    </row>
    <row r="1250">
      <c r="A1250" s="5" t="s">
        <v>1744</v>
      </c>
      <c r="B1250" s="11">
        <v>6593.0</v>
      </c>
    </row>
    <row r="1251">
      <c r="A1251" s="5" t="s">
        <v>1745</v>
      </c>
      <c r="B1251" s="11">
        <v>44343.0</v>
      </c>
    </row>
    <row r="1252">
      <c r="A1252" s="5" t="s">
        <v>1746</v>
      </c>
      <c r="B1252" s="11">
        <v>26010.0</v>
      </c>
    </row>
    <row r="1253">
      <c r="A1253" s="5" t="s">
        <v>1747</v>
      </c>
      <c r="B1253" s="11">
        <v>18899.0</v>
      </c>
    </row>
    <row r="1254">
      <c r="A1254" s="5" t="s">
        <v>1748</v>
      </c>
      <c r="B1254" s="11">
        <v>22134.0</v>
      </c>
    </row>
    <row r="1255">
      <c r="A1255" s="5" t="s">
        <v>1749</v>
      </c>
      <c r="B1255" s="11">
        <v>32388.0</v>
      </c>
    </row>
    <row r="1256">
      <c r="A1256" s="5" t="s">
        <v>1750</v>
      </c>
      <c r="B1256" s="11">
        <v>24548.0</v>
      </c>
    </row>
    <row r="1257">
      <c r="A1257" s="5" t="s">
        <v>1751</v>
      </c>
      <c r="B1257" s="11">
        <v>8697.0</v>
      </c>
    </row>
    <row r="1258">
      <c r="A1258" s="5" t="s">
        <v>1752</v>
      </c>
      <c r="B1258" s="11">
        <v>31226.0</v>
      </c>
    </row>
    <row r="1259">
      <c r="A1259" s="5" t="s">
        <v>1753</v>
      </c>
      <c r="B1259" s="11">
        <v>31032.0</v>
      </c>
    </row>
    <row r="1260">
      <c r="A1260" s="5" t="s">
        <v>1754</v>
      </c>
      <c r="B1260" s="11">
        <v>55388.0</v>
      </c>
    </row>
    <row r="1261">
      <c r="A1261" s="5" t="s">
        <v>1755</v>
      </c>
      <c r="B1261" s="11">
        <v>33634.0</v>
      </c>
    </row>
    <row r="1262">
      <c r="A1262" s="5" t="s">
        <v>1756</v>
      </c>
      <c r="B1262" s="11">
        <v>26482.0</v>
      </c>
    </row>
    <row r="1263">
      <c r="A1263" s="5" t="s">
        <v>1757</v>
      </c>
      <c r="B1263" s="11">
        <v>28759.0</v>
      </c>
    </row>
    <row r="1264">
      <c r="A1264" s="5" t="s">
        <v>1758</v>
      </c>
      <c r="B1264" s="11">
        <v>21671.0</v>
      </c>
    </row>
    <row r="1265">
      <c r="A1265" s="5" t="s">
        <v>1759</v>
      </c>
      <c r="B1265" s="28">
        <v>27318.0</v>
      </c>
    </row>
    <row r="1266">
      <c r="A1266" s="5" t="s">
        <v>1760</v>
      </c>
      <c r="B1266" s="11">
        <v>17067.0</v>
      </c>
    </row>
    <row r="1267">
      <c r="A1267" s="5" t="s">
        <v>1761</v>
      </c>
      <c r="B1267" s="11">
        <v>13662.0</v>
      </c>
    </row>
    <row r="1268">
      <c r="A1268" s="5" t="s">
        <v>1762</v>
      </c>
      <c r="B1268" s="11">
        <v>30864.0</v>
      </c>
    </row>
    <row r="1269">
      <c r="A1269" s="5" t="s">
        <v>1763</v>
      </c>
      <c r="B1269" s="11">
        <v>44148.0</v>
      </c>
    </row>
    <row r="1270">
      <c r="A1270" s="12" t="s">
        <v>1764</v>
      </c>
      <c r="B1270" s="11">
        <v>17208.0</v>
      </c>
    </row>
    <row r="1271">
      <c r="A1271" s="12" t="s">
        <v>1765</v>
      </c>
      <c r="B1271" s="11">
        <v>27239.0</v>
      </c>
    </row>
    <row r="1272">
      <c r="A1272" s="5" t="s">
        <v>1766</v>
      </c>
      <c r="B1272" s="11">
        <v>25252.0</v>
      </c>
    </row>
    <row r="1273">
      <c r="A1273" s="5" t="s">
        <v>1767</v>
      </c>
      <c r="B1273" s="11">
        <v>18114.0</v>
      </c>
    </row>
    <row r="1274">
      <c r="A1274" s="5" t="s">
        <v>1768</v>
      </c>
      <c r="B1274" s="11">
        <v>30635.0</v>
      </c>
    </row>
    <row r="1275">
      <c r="A1275" s="5" t="s">
        <v>1769</v>
      </c>
      <c r="B1275" s="11">
        <v>94482.0</v>
      </c>
    </row>
    <row r="1276">
      <c r="A1276" s="5" t="s">
        <v>1770</v>
      </c>
      <c r="B1276" s="11">
        <v>21654.0</v>
      </c>
    </row>
    <row r="1277">
      <c r="A1277" s="5" t="s">
        <v>1771</v>
      </c>
      <c r="B1277" s="11">
        <v>21654.0</v>
      </c>
    </row>
    <row r="1278">
      <c r="A1278" s="5" t="s">
        <v>1772</v>
      </c>
      <c r="B1278" s="11">
        <v>21654.0</v>
      </c>
    </row>
    <row r="1279">
      <c r="A1279" s="5" t="s">
        <v>1773</v>
      </c>
      <c r="B1279" s="11">
        <v>0.0</v>
      </c>
    </row>
    <row r="1280">
      <c r="A1280" s="5" t="s">
        <v>1774</v>
      </c>
      <c r="B1280" s="11">
        <v>77304.0</v>
      </c>
    </row>
    <row r="1281">
      <c r="A1281" s="5" t="s">
        <v>1775</v>
      </c>
      <c r="B1281" s="11">
        <v>0.0</v>
      </c>
    </row>
    <row r="1282">
      <c r="A1282" s="5" t="s">
        <v>1776</v>
      </c>
      <c r="B1282" s="11">
        <v>2823.0</v>
      </c>
    </row>
    <row r="1283">
      <c r="A1283" s="5" t="s">
        <v>1777</v>
      </c>
      <c r="B1283" s="11">
        <v>69809.0</v>
      </c>
    </row>
    <row r="1284">
      <c r="A1284" s="5" t="s">
        <v>1778</v>
      </c>
      <c r="B1284" s="11">
        <v>69809.0</v>
      </c>
    </row>
    <row r="1285">
      <c r="A1285" s="5" t="s">
        <v>1779</v>
      </c>
      <c r="B1285" s="11">
        <v>46539.0</v>
      </c>
    </row>
    <row r="1286">
      <c r="A1286" s="5" t="s">
        <v>1780</v>
      </c>
      <c r="B1286" s="11">
        <v>41055.0</v>
      </c>
    </row>
    <row r="1287">
      <c r="A1287" s="5" t="s">
        <v>1781</v>
      </c>
      <c r="B1287" s="11">
        <v>41055.0</v>
      </c>
    </row>
    <row r="1288">
      <c r="A1288" s="5" t="s">
        <v>1782</v>
      </c>
      <c r="B1288" s="11">
        <v>41055.0</v>
      </c>
    </row>
    <row r="1289">
      <c r="A1289" s="5" t="s">
        <v>1783</v>
      </c>
      <c r="B1289" s="11">
        <v>41055.0</v>
      </c>
    </row>
    <row r="1290">
      <c r="A1290" s="5" t="s">
        <v>1784</v>
      </c>
      <c r="B1290" s="11">
        <v>245983.0</v>
      </c>
    </row>
    <row r="1291">
      <c r="A1291" s="5" t="s">
        <v>1785</v>
      </c>
      <c r="B1291" s="11">
        <v>196528.0</v>
      </c>
    </row>
    <row r="1292">
      <c r="A1292" s="5" t="s">
        <v>1786</v>
      </c>
      <c r="B1292" s="11">
        <v>867452.0</v>
      </c>
    </row>
    <row r="1293">
      <c r="A1293" s="5" t="s">
        <v>1787</v>
      </c>
      <c r="B1293" s="11">
        <v>329600.0</v>
      </c>
    </row>
    <row r="1294">
      <c r="A1294" s="5" t="s">
        <v>1788</v>
      </c>
      <c r="B1294" s="11">
        <v>349030.0</v>
      </c>
    </row>
    <row r="1295">
      <c r="A1295" s="5" t="s">
        <v>1789</v>
      </c>
      <c r="B1295" s="11">
        <v>109013.0</v>
      </c>
    </row>
    <row r="1296">
      <c r="A1296" s="5" t="s">
        <v>1790</v>
      </c>
      <c r="B1296" s="11">
        <v>30815.0</v>
      </c>
    </row>
    <row r="1297">
      <c r="A1297" s="5" t="s">
        <v>1791</v>
      </c>
      <c r="B1297" s="11">
        <v>30815.0</v>
      </c>
    </row>
    <row r="1298">
      <c r="A1298" s="5" t="s">
        <v>1792</v>
      </c>
      <c r="B1298" s="11">
        <v>113156.0</v>
      </c>
    </row>
    <row r="1299">
      <c r="A1299" s="5" t="s">
        <v>1794</v>
      </c>
      <c r="B1299" s="11">
        <v>85324.0</v>
      </c>
    </row>
    <row r="1300">
      <c r="A1300" s="5" t="s">
        <v>1796</v>
      </c>
      <c r="B1300" s="11">
        <v>85762.0</v>
      </c>
    </row>
    <row r="1301">
      <c r="A1301" s="5" t="s">
        <v>1798</v>
      </c>
      <c r="B1301" s="11">
        <v>68650.0</v>
      </c>
    </row>
    <row r="1302">
      <c r="A1302" s="5" t="s">
        <v>1799</v>
      </c>
      <c r="B1302" s="11">
        <v>159565.0</v>
      </c>
    </row>
    <row r="1303">
      <c r="A1303" s="5" t="s">
        <v>1800</v>
      </c>
      <c r="B1303" s="11">
        <v>93306.0</v>
      </c>
    </row>
    <row r="1304">
      <c r="A1304" s="5" t="s">
        <v>1801</v>
      </c>
      <c r="B1304" s="11">
        <v>41221.0</v>
      </c>
    </row>
    <row r="1305">
      <c r="A1305" s="5" t="s">
        <v>1802</v>
      </c>
      <c r="B1305" s="11">
        <v>41221.0</v>
      </c>
    </row>
    <row r="1306">
      <c r="A1306" s="5" t="s">
        <v>1803</v>
      </c>
      <c r="B1306" s="11">
        <v>41221.0</v>
      </c>
    </row>
    <row r="1307">
      <c r="A1307" s="5" t="s">
        <v>1804</v>
      </c>
      <c r="B1307" s="11">
        <v>54515.0</v>
      </c>
    </row>
    <row r="1308">
      <c r="A1308" s="5" t="s">
        <v>1805</v>
      </c>
      <c r="B1308" s="11">
        <v>54515.0</v>
      </c>
    </row>
    <row r="1309">
      <c r="A1309" s="5" t="s">
        <v>1806</v>
      </c>
      <c r="B1309" s="11">
        <v>54515.0</v>
      </c>
    </row>
    <row r="1310">
      <c r="A1310" s="5" t="s">
        <v>1807</v>
      </c>
      <c r="B1310" s="11">
        <v>65156.0</v>
      </c>
    </row>
    <row r="1311">
      <c r="A1311" s="5" t="s">
        <v>1808</v>
      </c>
      <c r="B1311" s="11">
        <v>65156.0</v>
      </c>
    </row>
    <row r="1312">
      <c r="A1312" s="5" t="s">
        <v>1809</v>
      </c>
      <c r="B1312" s="11">
        <v>65156.0</v>
      </c>
    </row>
    <row r="1313">
      <c r="A1313" s="5" t="s">
        <v>1810</v>
      </c>
      <c r="B1313" s="11">
        <v>32577.0</v>
      </c>
    </row>
    <row r="1314">
      <c r="A1314" s="5" t="s">
        <v>1811</v>
      </c>
      <c r="B1314" s="11">
        <v>32577.0</v>
      </c>
    </row>
    <row r="1315">
      <c r="A1315" s="5" t="s">
        <v>1812</v>
      </c>
      <c r="B1315" s="11">
        <v>32577.0</v>
      </c>
    </row>
    <row r="1316">
      <c r="A1316" s="5" t="s">
        <v>1813</v>
      </c>
      <c r="B1316" s="11">
        <v>78453.0</v>
      </c>
    </row>
    <row r="1317">
      <c r="A1317" s="5" t="s">
        <v>1814</v>
      </c>
      <c r="B1317" s="11">
        <v>112359.0</v>
      </c>
    </row>
    <row r="1318">
      <c r="A1318" s="5" t="s">
        <v>1815</v>
      </c>
      <c r="B1318" s="11">
        <v>45873.0</v>
      </c>
    </row>
    <row r="1319">
      <c r="A1319" s="5" t="s">
        <v>1816</v>
      </c>
      <c r="B1319" s="11">
        <v>65820.0</v>
      </c>
    </row>
    <row r="1320">
      <c r="A1320" s="5" t="s">
        <v>1817</v>
      </c>
      <c r="B1320" s="11">
        <v>385612.0</v>
      </c>
    </row>
    <row r="1321">
      <c r="A1321" s="5" t="s">
        <v>1818</v>
      </c>
      <c r="B1321" s="11">
        <v>332311.0</v>
      </c>
    </row>
    <row r="1322">
      <c r="A1322" s="5" t="s">
        <v>1819</v>
      </c>
      <c r="B1322" s="11">
        <v>516209.0</v>
      </c>
    </row>
    <row r="1323">
      <c r="A1323" s="5" t="s">
        <v>1820</v>
      </c>
      <c r="B1323" s="11">
        <v>166204.0</v>
      </c>
    </row>
    <row r="1324">
      <c r="A1324" s="5" t="s">
        <v>1821</v>
      </c>
      <c r="B1324" s="11">
        <v>252636.0</v>
      </c>
    </row>
    <row r="1325">
      <c r="A1325" s="5" t="s">
        <v>1822</v>
      </c>
      <c r="B1325" s="11">
        <v>96802.0</v>
      </c>
    </row>
    <row r="1326">
      <c r="A1326" s="5" t="s">
        <v>1824</v>
      </c>
      <c r="B1326" s="11">
        <v>96802.0</v>
      </c>
    </row>
    <row r="1327">
      <c r="A1327" s="5" t="s">
        <v>1825</v>
      </c>
      <c r="B1327" s="11">
        <v>96802.0</v>
      </c>
    </row>
    <row r="1328">
      <c r="A1328" s="5" t="s">
        <v>1826</v>
      </c>
      <c r="B1328" s="11">
        <v>145337.0</v>
      </c>
    </row>
    <row r="1329">
      <c r="A1329" s="5" t="s">
        <v>1827</v>
      </c>
      <c r="B1329" s="11">
        <v>145337.0</v>
      </c>
    </row>
    <row r="1330">
      <c r="A1330" s="5" t="s">
        <v>1828</v>
      </c>
      <c r="B1330" s="11">
        <v>79448.0</v>
      </c>
    </row>
    <row r="1331">
      <c r="A1331" s="5" t="s">
        <v>1829</v>
      </c>
      <c r="B1331" s="11">
        <v>79448.0</v>
      </c>
    </row>
    <row r="1332">
      <c r="A1332" s="5" t="s">
        <v>1830</v>
      </c>
      <c r="B1332" s="11">
        <v>220437.0</v>
      </c>
    </row>
    <row r="1333">
      <c r="A1333" s="5" t="s">
        <v>1831</v>
      </c>
      <c r="B1333" s="11">
        <v>332311.0</v>
      </c>
    </row>
    <row r="1334">
      <c r="A1334" s="5" t="s">
        <v>1832</v>
      </c>
      <c r="B1334" s="11">
        <v>367718.0</v>
      </c>
    </row>
    <row r="1335">
      <c r="A1335" s="5" t="s">
        <v>1833</v>
      </c>
      <c r="B1335" s="11">
        <v>121083.0</v>
      </c>
    </row>
    <row r="1336">
      <c r="A1336" s="5" t="s">
        <v>1834</v>
      </c>
      <c r="B1336" s="11">
        <v>107439.0</v>
      </c>
    </row>
    <row r="1337">
      <c r="A1337" s="5" t="s">
        <v>1835</v>
      </c>
      <c r="B1337" s="11">
        <v>148145.0</v>
      </c>
    </row>
    <row r="1338">
      <c r="A1338" s="5" t="s">
        <v>1836</v>
      </c>
      <c r="B1338" s="11">
        <v>180197.0</v>
      </c>
    </row>
    <row r="1339">
      <c r="A1339" s="5" t="s">
        <v>1837</v>
      </c>
      <c r="B1339" s="11">
        <v>242454.0</v>
      </c>
    </row>
    <row r="1340">
      <c r="A1340" s="5" t="s">
        <v>1838</v>
      </c>
      <c r="B1340" s="11">
        <v>96802.0</v>
      </c>
    </row>
    <row r="1341">
      <c r="A1341" s="5" t="s">
        <v>1839</v>
      </c>
      <c r="B1341" s="11">
        <v>145337.0</v>
      </c>
    </row>
    <row r="1342">
      <c r="A1342" s="5" t="s">
        <v>1840</v>
      </c>
      <c r="B1342" s="11">
        <v>113961.0</v>
      </c>
    </row>
    <row r="1343">
      <c r="A1343" s="5" t="s">
        <v>1841</v>
      </c>
      <c r="B1343" s="11">
        <v>113961.0</v>
      </c>
    </row>
    <row r="1344">
      <c r="A1344" s="5" t="s">
        <v>1842</v>
      </c>
      <c r="B1344" s="11">
        <v>121083.0</v>
      </c>
    </row>
    <row r="1345">
      <c r="A1345" s="5" t="s">
        <v>1843</v>
      </c>
      <c r="B1345" s="11">
        <v>186438.0</v>
      </c>
    </row>
    <row r="1346">
      <c r="A1346" s="5" t="s">
        <v>1844</v>
      </c>
      <c r="B1346" s="11">
        <v>186438.0</v>
      </c>
    </row>
    <row r="1347">
      <c r="A1347" s="5" t="s">
        <v>1845</v>
      </c>
      <c r="B1347" s="11">
        <v>25671.0</v>
      </c>
    </row>
    <row r="1348">
      <c r="A1348" s="5" t="s">
        <v>1846</v>
      </c>
      <c r="B1348" s="11">
        <v>25671.0</v>
      </c>
    </row>
    <row r="1349">
      <c r="A1349" s="5" t="s">
        <v>1847</v>
      </c>
      <c r="B1349" s="11">
        <v>289203.0</v>
      </c>
    </row>
    <row r="1350">
      <c r="A1350" s="5" t="s">
        <v>1848</v>
      </c>
      <c r="B1350" s="11">
        <v>100885.0</v>
      </c>
    </row>
    <row r="1351">
      <c r="A1351" s="5" t="s">
        <v>1849</v>
      </c>
      <c r="B1351" s="11">
        <v>100885.0</v>
      </c>
    </row>
    <row r="1352">
      <c r="A1352" s="5" t="s">
        <v>1850</v>
      </c>
      <c r="B1352" s="11">
        <v>100885.0</v>
      </c>
    </row>
    <row r="1353">
      <c r="A1353" s="5" t="s">
        <v>1851</v>
      </c>
      <c r="B1353" s="11">
        <v>100885.0</v>
      </c>
    </row>
    <row r="1354">
      <c r="A1354" s="5" t="s">
        <v>1852</v>
      </c>
      <c r="B1354" s="11">
        <v>372310.0</v>
      </c>
    </row>
    <row r="1355">
      <c r="A1355" s="5" t="s">
        <v>1853</v>
      </c>
      <c r="B1355" s="11">
        <v>372298.0</v>
      </c>
    </row>
    <row r="1356">
      <c r="A1356" s="5" t="s">
        <v>1854</v>
      </c>
      <c r="B1356" s="11">
        <v>312480.0</v>
      </c>
    </row>
    <row r="1357">
      <c r="A1357" s="5" t="s">
        <v>1855</v>
      </c>
      <c r="B1357" s="11">
        <v>310998.0</v>
      </c>
    </row>
    <row r="1358">
      <c r="A1358" s="5" t="s">
        <v>1856</v>
      </c>
      <c r="B1358" s="11">
        <v>310998.0</v>
      </c>
    </row>
    <row r="1359">
      <c r="A1359" s="5" t="s">
        <v>1857</v>
      </c>
      <c r="B1359" s="11">
        <v>171490.0</v>
      </c>
    </row>
    <row r="1360">
      <c r="A1360" s="5" t="s">
        <v>1858</v>
      </c>
      <c r="B1360" s="11">
        <v>171490.0</v>
      </c>
    </row>
    <row r="1361">
      <c r="A1361" s="5" t="s">
        <v>1859</v>
      </c>
      <c r="B1361" s="11">
        <v>182825.0</v>
      </c>
    </row>
    <row r="1362">
      <c r="A1362" s="5" t="s">
        <v>1860</v>
      </c>
      <c r="B1362" s="11">
        <v>171490.0</v>
      </c>
    </row>
    <row r="1363">
      <c r="A1363" s="5" t="s">
        <v>1861</v>
      </c>
      <c r="B1363" s="11">
        <v>182829.0</v>
      </c>
    </row>
    <row r="1364">
      <c r="A1364" s="5" t="s">
        <v>1862</v>
      </c>
      <c r="B1364" s="11">
        <v>289198.0</v>
      </c>
    </row>
    <row r="1365">
      <c r="A1365" s="5" t="s">
        <v>1863</v>
      </c>
      <c r="B1365" s="11">
        <v>289198.0</v>
      </c>
    </row>
    <row r="1366">
      <c r="A1366" s="5" t="s">
        <v>1864</v>
      </c>
      <c r="B1366" s="11">
        <v>239279.0</v>
      </c>
    </row>
    <row r="1367">
      <c r="A1367" s="5" t="s">
        <v>1865</v>
      </c>
      <c r="B1367" s="11">
        <v>239279.0</v>
      </c>
    </row>
    <row r="1368">
      <c r="A1368" s="5" t="s">
        <v>1866</v>
      </c>
      <c r="B1368" s="11">
        <v>239279.0</v>
      </c>
    </row>
    <row r="1369">
      <c r="A1369" s="5" t="s">
        <v>1867</v>
      </c>
      <c r="B1369" s="11">
        <v>126319.0</v>
      </c>
    </row>
    <row r="1370">
      <c r="A1370" s="5" t="s">
        <v>1868</v>
      </c>
      <c r="B1370" s="11">
        <v>292704.0</v>
      </c>
    </row>
    <row r="1371">
      <c r="A1371" s="5" t="s">
        <v>1869</v>
      </c>
      <c r="B1371" s="11">
        <v>310998.0</v>
      </c>
    </row>
    <row r="1372">
      <c r="A1372" s="5" t="s">
        <v>1870</v>
      </c>
      <c r="B1372" s="11">
        <v>79950.0</v>
      </c>
    </row>
    <row r="1373">
      <c r="A1373" s="5" t="s">
        <v>1871</v>
      </c>
      <c r="B1373" s="11">
        <v>125014.0</v>
      </c>
    </row>
    <row r="1374">
      <c r="A1374" s="5" t="s">
        <v>1872</v>
      </c>
      <c r="B1374" s="11">
        <v>138518.0</v>
      </c>
    </row>
    <row r="1375">
      <c r="A1375" s="5" t="s">
        <v>1873</v>
      </c>
      <c r="B1375" s="11">
        <v>119211.0</v>
      </c>
    </row>
    <row r="1376">
      <c r="A1376" s="5" t="s">
        <v>1874</v>
      </c>
      <c r="B1376" s="11">
        <v>119211.0</v>
      </c>
    </row>
    <row r="1377">
      <c r="A1377" s="5" t="s">
        <v>1875</v>
      </c>
      <c r="B1377" s="11">
        <v>290996.0</v>
      </c>
    </row>
    <row r="1378">
      <c r="A1378" s="5" t="s">
        <v>1876</v>
      </c>
      <c r="B1378" s="11">
        <v>290996.0</v>
      </c>
    </row>
    <row r="1379">
      <c r="A1379" s="5" t="s">
        <v>1877</v>
      </c>
      <c r="B1379" s="11">
        <v>239279.0</v>
      </c>
    </row>
    <row r="1380">
      <c r="A1380" s="5" t="s">
        <v>1878</v>
      </c>
      <c r="B1380" s="11">
        <v>239279.0</v>
      </c>
    </row>
    <row r="1381">
      <c r="A1381" s="5" t="s">
        <v>1879</v>
      </c>
      <c r="B1381" s="11">
        <v>239279.0</v>
      </c>
    </row>
    <row r="1382">
      <c r="A1382" s="5" t="s">
        <v>1880</v>
      </c>
      <c r="B1382" s="11">
        <v>239279.0</v>
      </c>
    </row>
    <row r="1383">
      <c r="A1383" s="5" t="s">
        <v>1881</v>
      </c>
      <c r="B1383" s="11">
        <v>0.0</v>
      </c>
    </row>
    <row r="1384">
      <c r="A1384" s="5" t="s">
        <v>1882</v>
      </c>
      <c r="B1384" s="11">
        <v>472042.0</v>
      </c>
    </row>
    <row r="1385">
      <c r="A1385" s="5" t="s">
        <v>1883</v>
      </c>
      <c r="B1385" s="11">
        <v>95736.0</v>
      </c>
    </row>
    <row r="1386">
      <c r="A1386" s="5" t="s">
        <v>1884</v>
      </c>
      <c r="B1386" s="11">
        <v>95736.0</v>
      </c>
    </row>
    <row r="1387">
      <c r="A1387" s="5" t="s">
        <v>1885</v>
      </c>
      <c r="B1387" s="11">
        <v>31912.0</v>
      </c>
    </row>
    <row r="1388">
      <c r="A1388" s="5" t="s">
        <v>1886</v>
      </c>
      <c r="B1388" s="11">
        <v>34148.0</v>
      </c>
    </row>
    <row r="1389">
      <c r="A1389" s="5" t="s">
        <v>1887</v>
      </c>
      <c r="B1389" s="11">
        <v>34148.0</v>
      </c>
    </row>
    <row r="1390">
      <c r="A1390" s="5" t="s">
        <v>1888</v>
      </c>
      <c r="B1390" s="11">
        <v>34148.0</v>
      </c>
    </row>
    <row r="1391">
      <c r="A1391" s="5" t="s">
        <v>1889</v>
      </c>
      <c r="B1391" s="11">
        <v>34148.0</v>
      </c>
    </row>
    <row r="1392">
      <c r="A1392" s="5" t="s">
        <v>1890</v>
      </c>
      <c r="B1392" s="11">
        <v>34148.0</v>
      </c>
    </row>
    <row r="1393">
      <c r="A1393" s="5" t="s">
        <v>1891</v>
      </c>
      <c r="B1393" s="11">
        <v>27278.0</v>
      </c>
    </row>
    <row r="1394">
      <c r="A1394" s="5" t="s">
        <v>1892</v>
      </c>
      <c r="B1394" s="11">
        <v>39844.0</v>
      </c>
    </row>
    <row r="1395">
      <c r="A1395" s="5" t="s">
        <v>1893</v>
      </c>
      <c r="B1395" s="11">
        <v>39844.0</v>
      </c>
    </row>
    <row r="1396">
      <c r="A1396" s="5" t="s">
        <v>1894</v>
      </c>
      <c r="B1396" s="11">
        <v>39844.0</v>
      </c>
    </row>
    <row r="1397">
      <c r="A1397" s="5" t="s">
        <v>1895</v>
      </c>
      <c r="B1397" s="11">
        <v>143030.0</v>
      </c>
    </row>
    <row r="1398">
      <c r="A1398" s="5" t="s">
        <v>1896</v>
      </c>
      <c r="B1398" s="11">
        <v>57770.0</v>
      </c>
    </row>
    <row r="1399">
      <c r="A1399" s="5" t="s">
        <v>1897</v>
      </c>
      <c r="B1399" s="11">
        <v>59170.0</v>
      </c>
    </row>
    <row r="1400">
      <c r="A1400" s="5" t="s">
        <v>1898</v>
      </c>
      <c r="B1400" s="11">
        <v>30445.0</v>
      </c>
    </row>
    <row r="1401">
      <c r="A1401" s="5" t="s">
        <v>1899</v>
      </c>
      <c r="B1401" s="11">
        <v>2593.0</v>
      </c>
    </row>
    <row r="1402">
      <c r="A1402" s="5" t="s">
        <v>1900</v>
      </c>
      <c r="B1402" s="11">
        <v>16621.0</v>
      </c>
    </row>
    <row r="1403">
      <c r="A1403" s="5" t="s">
        <v>1901</v>
      </c>
      <c r="B1403" s="11">
        <v>202731.0</v>
      </c>
    </row>
    <row r="1404">
      <c r="A1404" s="5" t="s">
        <v>1902</v>
      </c>
      <c r="B1404" s="11">
        <v>136807.0</v>
      </c>
    </row>
    <row r="1405">
      <c r="A1405" s="5" t="s">
        <v>1903</v>
      </c>
      <c r="B1405" s="11">
        <v>129642.0</v>
      </c>
    </row>
    <row r="1406">
      <c r="A1406" s="5" t="s">
        <v>1904</v>
      </c>
      <c r="B1406" s="11">
        <v>136807.0</v>
      </c>
    </row>
    <row r="1407">
      <c r="A1407" s="5" t="s">
        <v>1906</v>
      </c>
      <c r="B1407" s="11">
        <v>85762.0</v>
      </c>
    </row>
    <row r="1408">
      <c r="A1408" s="5" t="s">
        <v>1907</v>
      </c>
      <c r="B1408" s="11">
        <v>99063.0</v>
      </c>
    </row>
    <row r="1409">
      <c r="A1409" s="5" t="s">
        <v>1908</v>
      </c>
      <c r="B1409" s="11">
        <v>73131.0</v>
      </c>
    </row>
    <row r="1410">
      <c r="A1410" s="5" t="s">
        <v>1909</v>
      </c>
      <c r="B1410" s="11">
        <v>73131.0</v>
      </c>
    </row>
    <row r="1411">
      <c r="A1411" s="5" t="s">
        <v>1910</v>
      </c>
      <c r="B1411" s="11">
        <v>73131.0</v>
      </c>
    </row>
    <row r="1412">
      <c r="A1412" s="5" t="s">
        <v>1911</v>
      </c>
      <c r="B1412" s="11">
        <v>73131.0</v>
      </c>
    </row>
    <row r="1413">
      <c r="A1413" s="5" t="s">
        <v>1912</v>
      </c>
      <c r="B1413" s="11">
        <v>73131.0</v>
      </c>
    </row>
    <row r="1414">
      <c r="A1414" s="5" t="s">
        <v>1913</v>
      </c>
      <c r="B1414" s="11">
        <v>73131.0</v>
      </c>
    </row>
    <row r="1415">
      <c r="A1415" s="5" t="s">
        <v>1914</v>
      </c>
      <c r="B1415" s="11">
        <v>73131.0</v>
      </c>
    </row>
    <row r="1416">
      <c r="A1416" s="5" t="s">
        <v>1915</v>
      </c>
      <c r="B1416" s="11">
        <v>73131.0</v>
      </c>
    </row>
    <row r="1417">
      <c r="A1417" s="5" t="s">
        <v>1916</v>
      </c>
      <c r="B1417" s="11">
        <v>73131.0</v>
      </c>
    </row>
    <row r="1418">
      <c r="A1418" s="5" t="s">
        <v>1917</v>
      </c>
      <c r="B1418" s="11">
        <v>73131.0</v>
      </c>
    </row>
    <row r="1419">
      <c r="A1419" s="5" t="s">
        <v>1918</v>
      </c>
      <c r="B1419" s="11">
        <v>73131.0</v>
      </c>
    </row>
    <row r="1420">
      <c r="A1420" s="5" t="s">
        <v>1919</v>
      </c>
      <c r="B1420" s="11">
        <v>73131.0</v>
      </c>
    </row>
    <row r="1421">
      <c r="A1421" s="5" t="s">
        <v>1920</v>
      </c>
      <c r="B1421" s="11">
        <v>47473.0</v>
      </c>
    </row>
    <row r="1422">
      <c r="A1422" s="5" t="s">
        <v>1921</v>
      </c>
      <c r="B1422" s="11">
        <v>47867.0</v>
      </c>
    </row>
    <row r="1423">
      <c r="A1423" s="5" t="s">
        <v>1922</v>
      </c>
      <c r="B1423" s="11">
        <v>47867.0</v>
      </c>
    </row>
    <row r="1424">
      <c r="A1424" s="5" t="s">
        <v>1923</v>
      </c>
      <c r="B1424" s="11">
        <v>47867.0</v>
      </c>
    </row>
    <row r="1425">
      <c r="A1425" s="5" t="s">
        <v>1924</v>
      </c>
      <c r="B1425" s="11">
        <v>47867.0</v>
      </c>
    </row>
    <row r="1426">
      <c r="A1426" s="5" t="s">
        <v>1925</v>
      </c>
      <c r="B1426" s="11">
        <v>47867.0</v>
      </c>
    </row>
    <row r="1427">
      <c r="A1427" s="5" t="s">
        <v>1926</v>
      </c>
      <c r="B1427" s="11">
        <v>47473.0</v>
      </c>
    </row>
    <row r="1428">
      <c r="A1428" s="5" t="s">
        <v>1927</v>
      </c>
      <c r="B1428" s="11">
        <v>47867.0</v>
      </c>
    </row>
    <row r="1429">
      <c r="A1429" s="5" t="s">
        <v>1928</v>
      </c>
      <c r="B1429" s="11">
        <v>77815.0</v>
      </c>
    </row>
    <row r="1430">
      <c r="A1430" s="5" t="s">
        <v>1929</v>
      </c>
      <c r="B1430" s="11">
        <v>77815.0</v>
      </c>
    </row>
    <row r="1431">
      <c r="A1431" s="5" t="s">
        <v>1930</v>
      </c>
      <c r="B1431" s="11">
        <v>77815.0</v>
      </c>
    </row>
    <row r="1432">
      <c r="A1432" s="5" t="s">
        <v>1931</v>
      </c>
      <c r="B1432" s="11">
        <v>77815.0</v>
      </c>
    </row>
    <row r="1433">
      <c r="A1433" s="5" t="s">
        <v>1932</v>
      </c>
      <c r="B1433" s="11">
        <v>61063.0</v>
      </c>
    </row>
    <row r="1434">
      <c r="A1434" s="5" t="s">
        <v>1933</v>
      </c>
      <c r="B1434" s="11">
        <v>61063.0</v>
      </c>
    </row>
    <row r="1435">
      <c r="A1435" s="5" t="s">
        <v>1934</v>
      </c>
      <c r="B1435" s="11">
        <v>14413.0</v>
      </c>
    </row>
    <row r="1436">
      <c r="A1436" s="5" t="s">
        <v>1935</v>
      </c>
      <c r="B1436" s="11">
        <v>13989.0</v>
      </c>
    </row>
    <row r="1437">
      <c r="A1437" s="5" t="s">
        <v>1936</v>
      </c>
      <c r="B1437" s="11">
        <v>24813.0</v>
      </c>
    </row>
    <row r="1438">
      <c r="A1438" s="5" t="s">
        <v>1937</v>
      </c>
      <c r="B1438" s="11">
        <v>24813.0</v>
      </c>
    </row>
    <row r="1439">
      <c r="A1439" s="5" t="s">
        <v>1938</v>
      </c>
      <c r="B1439" s="11">
        <v>11302.0</v>
      </c>
    </row>
    <row r="1440">
      <c r="A1440" s="5" t="s">
        <v>1939</v>
      </c>
      <c r="B1440" s="11">
        <v>33242.0</v>
      </c>
    </row>
    <row r="1441">
      <c r="A1441" s="5" t="s">
        <v>1940</v>
      </c>
      <c r="B1441" s="11">
        <v>33242.0</v>
      </c>
    </row>
    <row r="1442">
      <c r="A1442" s="5" t="s">
        <v>1941</v>
      </c>
      <c r="B1442" s="11">
        <v>33242.0</v>
      </c>
    </row>
    <row r="1443">
      <c r="A1443" s="5" t="s">
        <v>1942</v>
      </c>
      <c r="B1443" s="11">
        <v>33242.0</v>
      </c>
    </row>
    <row r="1444">
      <c r="A1444" s="5" t="s">
        <v>1943</v>
      </c>
      <c r="B1444" s="11">
        <v>33242.0</v>
      </c>
    </row>
    <row r="1445">
      <c r="A1445" s="5" t="s">
        <v>1944</v>
      </c>
      <c r="B1445" s="11">
        <v>33242.0</v>
      </c>
    </row>
    <row r="1446">
      <c r="A1446" s="5" t="s">
        <v>1945</v>
      </c>
      <c r="B1446" s="11">
        <v>33242.0</v>
      </c>
    </row>
    <row r="1447">
      <c r="A1447" s="5" t="s">
        <v>1946</v>
      </c>
      <c r="B1447" s="11">
        <v>33242.0</v>
      </c>
    </row>
    <row r="1448">
      <c r="A1448" s="5" t="s">
        <v>1947</v>
      </c>
      <c r="B1448" s="11">
        <v>22604.0</v>
      </c>
    </row>
    <row r="1449">
      <c r="A1449" s="5" t="s">
        <v>1948</v>
      </c>
      <c r="B1449" s="11">
        <v>22605.0</v>
      </c>
    </row>
    <row r="1450">
      <c r="A1450" s="5" t="s">
        <v>1949</v>
      </c>
      <c r="B1450" s="11">
        <v>22605.0</v>
      </c>
    </row>
    <row r="1451">
      <c r="A1451" s="5" t="s">
        <v>1950</v>
      </c>
      <c r="B1451" s="11">
        <v>22604.0</v>
      </c>
    </row>
    <row r="1452">
      <c r="A1452" s="5" t="s">
        <v>1951</v>
      </c>
      <c r="B1452" s="11">
        <v>22604.0</v>
      </c>
    </row>
    <row r="1453">
      <c r="A1453" s="5" t="s">
        <v>1952</v>
      </c>
      <c r="B1453" s="11">
        <v>22604.0</v>
      </c>
    </row>
    <row r="1454">
      <c r="A1454" s="5" t="s">
        <v>1953</v>
      </c>
      <c r="B1454" s="11">
        <v>22605.0</v>
      </c>
    </row>
    <row r="1455">
      <c r="A1455" s="5" t="s">
        <v>1954</v>
      </c>
      <c r="B1455" s="11">
        <v>35969.0</v>
      </c>
    </row>
    <row r="1456">
      <c r="A1456" s="5" t="s">
        <v>1955</v>
      </c>
      <c r="B1456" s="11">
        <v>35969.0</v>
      </c>
    </row>
    <row r="1457">
      <c r="A1457" s="5" t="s">
        <v>1956</v>
      </c>
      <c r="B1457" s="11">
        <v>23343.0</v>
      </c>
    </row>
    <row r="1458">
      <c r="A1458" s="5" t="s">
        <v>1957</v>
      </c>
      <c r="B1458" s="11">
        <v>33136.0</v>
      </c>
    </row>
    <row r="1459">
      <c r="A1459" s="5" t="s">
        <v>1958</v>
      </c>
      <c r="B1459" s="11">
        <v>33136.0</v>
      </c>
    </row>
    <row r="1460">
      <c r="A1460" s="5" t="s">
        <v>1959</v>
      </c>
      <c r="B1460" s="11">
        <v>33136.0</v>
      </c>
    </row>
    <row r="1461">
      <c r="A1461" s="5" t="s">
        <v>1960</v>
      </c>
      <c r="B1461" s="11">
        <v>4413.0</v>
      </c>
    </row>
    <row r="1462">
      <c r="A1462" s="5" t="s">
        <v>1961</v>
      </c>
      <c r="B1462" s="11">
        <v>4413.0</v>
      </c>
    </row>
    <row r="1463">
      <c r="A1463" s="5" t="s">
        <v>1962</v>
      </c>
      <c r="B1463" s="11">
        <v>4413.0</v>
      </c>
    </row>
    <row r="1464">
      <c r="A1464" s="5" t="s">
        <v>1963</v>
      </c>
      <c r="B1464" s="11">
        <v>8246.0</v>
      </c>
    </row>
    <row r="1465">
      <c r="A1465" s="5" t="s">
        <v>1964</v>
      </c>
      <c r="B1465" s="11">
        <v>8246.0</v>
      </c>
    </row>
    <row r="1466">
      <c r="A1466" s="5" t="s">
        <v>1965</v>
      </c>
      <c r="B1466" s="11">
        <v>8246.0</v>
      </c>
    </row>
    <row r="1467">
      <c r="A1467" s="5" t="s">
        <v>1966</v>
      </c>
      <c r="B1467" s="11">
        <v>8246.0</v>
      </c>
    </row>
    <row r="1468">
      <c r="A1468" s="5" t="s">
        <v>1967</v>
      </c>
      <c r="B1468" s="11">
        <v>8246.0</v>
      </c>
    </row>
    <row r="1469">
      <c r="A1469" s="5" t="s">
        <v>1968</v>
      </c>
      <c r="B1469" s="11">
        <v>9474.0</v>
      </c>
    </row>
    <row r="1470">
      <c r="A1470" s="5" t="s">
        <v>1969</v>
      </c>
      <c r="B1470" s="11">
        <v>9474.0</v>
      </c>
    </row>
    <row r="1471">
      <c r="A1471" s="5" t="s">
        <v>1970</v>
      </c>
      <c r="B1471" s="11">
        <v>9474.0</v>
      </c>
    </row>
    <row r="1472">
      <c r="A1472" s="5" t="s">
        <v>1971</v>
      </c>
      <c r="B1472" s="11">
        <v>9474.0</v>
      </c>
    </row>
    <row r="1473">
      <c r="A1473" s="5" t="s">
        <v>1972</v>
      </c>
      <c r="B1473" s="11">
        <v>10011.0</v>
      </c>
    </row>
    <row r="1474">
      <c r="A1474" s="5" t="s">
        <v>1973</v>
      </c>
      <c r="B1474" s="11">
        <v>10011.0</v>
      </c>
    </row>
    <row r="1475">
      <c r="A1475" s="5" t="s">
        <v>1974</v>
      </c>
      <c r="B1475" s="11">
        <v>10011.0</v>
      </c>
    </row>
    <row r="1476">
      <c r="A1476" s="5" t="s">
        <v>1975</v>
      </c>
      <c r="B1476" s="11">
        <v>10011.0</v>
      </c>
    </row>
    <row r="1477">
      <c r="A1477" s="5" t="s">
        <v>1976</v>
      </c>
      <c r="B1477" s="11">
        <v>8246.0</v>
      </c>
    </row>
    <row r="1478">
      <c r="A1478" s="5" t="s">
        <v>1977</v>
      </c>
      <c r="B1478" s="11">
        <v>8246.0</v>
      </c>
    </row>
    <row r="1479">
      <c r="A1479" s="5" t="s">
        <v>1978</v>
      </c>
      <c r="B1479" s="11">
        <v>8246.0</v>
      </c>
    </row>
    <row r="1480">
      <c r="A1480" s="5" t="s">
        <v>1979</v>
      </c>
      <c r="B1480" s="11">
        <v>8246.0</v>
      </c>
    </row>
    <row r="1481">
      <c r="A1481" s="5" t="s">
        <v>1980</v>
      </c>
      <c r="B1481" s="11">
        <v>8246.0</v>
      </c>
    </row>
    <row r="1482">
      <c r="A1482" s="5" t="s">
        <v>1983</v>
      </c>
      <c r="B1482" s="11">
        <v>9474.0</v>
      </c>
    </row>
    <row r="1483">
      <c r="A1483" s="5" t="s">
        <v>1984</v>
      </c>
      <c r="B1483" s="11">
        <v>9474.0</v>
      </c>
    </row>
    <row r="1484">
      <c r="A1484" s="5" t="s">
        <v>1985</v>
      </c>
      <c r="B1484" s="11">
        <v>9474.0</v>
      </c>
    </row>
    <row r="1485">
      <c r="A1485" s="5" t="s">
        <v>1986</v>
      </c>
      <c r="B1485" s="11">
        <v>9474.0</v>
      </c>
    </row>
    <row r="1486">
      <c r="A1486" s="5" t="s">
        <v>1987</v>
      </c>
      <c r="B1486" s="11">
        <v>10011.0</v>
      </c>
    </row>
    <row r="1487">
      <c r="A1487" s="5" t="s">
        <v>1988</v>
      </c>
      <c r="B1487" s="11">
        <v>10011.0</v>
      </c>
    </row>
    <row r="1488">
      <c r="A1488" s="5" t="s">
        <v>1989</v>
      </c>
      <c r="B1488" s="11">
        <v>10011.0</v>
      </c>
    </row>
    <row r="1489">
      <c r="A1489" s="5" t="s">
        <v>1990</v>
      </c>
      <c r="B1489" s="11">
        <v>10011.0</v>
      </c>
    </row>
    <row r="1490">
      <c r="A1490" s="5" t="s">
        <v>1991</v>
      </c>
      <c r="B1490" s="11">
        <v>8246.0</v>
      </c>
    </row>
    <row r="1491">
      <c r="A1491" s="5" t="s">
        <v>1992</v>
      </c>
      <c r="B1491" s="11">
        <v>8246.0</v>
      </c>
    </row>
    <row r="1492">
      <c r="A1492" s="5" t="s">
        <v>1993</v>
      </c>
      <c r="B1492" s="11">
        <v>8246.0</v>
      </c>
    </row>
    <row r="1493">
      <c r="A1493" s="5" t="s">
        <v>1994</v>
      </c>
      <c r="B1493" s="11">
        <v>8246.0</v>
      </c>
    </row>
    <row r="1494">
      <c r="A1494" s="5" t="s">
        <v>1995</v>
      </c>
      <c r="B1494" s="11">
        <v>8246.0</v>
      </c>
    </row>
    <row r="1495">
      <c r="A1495" s="5" t="s">
        <v>1996</v>
      </c>
      <c r="B1495" s="11">
        <v>9474.0</v>
      </c>
    </row>
    <row r="1496">
      <c r="A1496" s="5" t="s">
        <v>1997</v>
      </c>
      <c r="B1496" s="11">
        <v>9474.0</v>
      </c>
    </row>
    <row r="1497">
      <c r="A1497" s="5" t="s">
        <v>1998</v>
      </c>
      <c r="B1497" s="11">
        <v>9474.0</v>
      </c>
    </row>
    <row r="1498">
      <c r="A1498" s="5" t="s">
        <v>1999</v>
      </c>
      <c r="B1498" s="11">
        <v>9474.0</v>
      </c>
    </row>
    <row r="1499">
      <c r="A1499" s="5" t="s">
        <v>2000</v>
      </c>
      <c r="B1499" s="11">
        <v>10011.0</v>
      </c>
    </row>
    <row r="1500">
      <c r="A1500" s="5" t="s">
        <v>2001</v>
      </c>
      <c r="B1500" s="11">
        <v>10011.0</v>
      </c>
    </row>
    <row r="1501">
      <c r="A1501" s="5" t="s">
        <v>2002</v>
      </c>
      <c r="B1501" s="11">
        <v>10011.0</v>
      </c>
    </row>
    <row r="1502">
      <c r="A1502" s="5" t="s">
        <v>2003</v>
      </c>
      <c r="B1502" s="11">
        <v>10011.0</v>
      </c>
    </row>
    <row r="1503">
      <c r="A1503" s="5" t="s">
        <v>2004</v>
      </c>
      <c r="B1503" s="11">
        <v>11004.0</v>
      </c>
    </row>
    <row r="1504">
      <c r="A1504" s="5" t="s">
        <v>2005</v>
      </c>
      <c r="B1504" s="11">
        <v>11004.0</v>
      </c>
    </row>
    <row r="1505">
      <c r="A1505" s="5" t="s">
        <v>2006</v>
      </c>
      <c r="B1505" s="11">
        <v>11004.0</v>
      </c>
    </row>
    <row r="1506">
      <c r="A1506" s="5" t="s">
        <v>2007</v>
      </c>
      <c r="B1506" s="11">
        <v>11004.0</v>
      </c>
    </row>
    <row r="1507">
      <c r="A1507" s="5" t="s">
        <v>2008</v>
      </c>
      <c r="B1507" s="11">
        <v>11004.0</v>
      </c>
    </row>
    <row r="1508">
      <c r="A1508" s="5" t="s">
        <v>2009</v>
      </c>
      <c r="B1508" s="11">
        <v>11690.0</v>
      </c>
    </row>
    <row r="1509">
      <c r="A1509" s="5" t="s">
        <v>2010</v>
      </c>
      <c r="B1509" s="11">
        <v>11690.0</v>
      </c>
    </row>
    <row r="1510">
      <c r="A1510" s="5" t="s">
        <v>2011</v>
      </c>
      <c r="B1510" s="11">
        <v>11690.0</v>
      </c>
    </row>
    <row r="1511">
      <c r="A1511" s="5" t="s">
        <v>2012</v>
      </c>
      <c r="B1511" s="11">
        <v>11690.0</v>
      </c>
    </row>
    <row r="1512">
      <c r="A1512" s="5" t="s">
        <v>2013</v>
      </c>
      <c r="B1512" s="11">
        <v>11690.0</v>
      </c>
    </row>
    <row r="1513">
      <c r="A1513" s="5" t="s">
        <v>2014</v>
      </c>
      <c r="B1513" s="11">
        <v>11690.0</v>
      </c>
    </row>
    <row r="1514">
      <c r="A1514" s="5" t="s">
        <v>2015</v>
      </c>
      <c r="B1514" s="11">
        <v>11690.0</v>
      </c>
    </row>
    <row r="1515">
      <c r="A1515" s="5" t="s">
        <v>2016</v>
      </c>
      <c r="B1515" s="11">
        <v>11690.0</v>
      </c>
    </row>
    <row r="1516">
      <c r="A1516" s="5" t="s">
        <v>2017</v>
      </c>
      <c r="B1516" s="11">
        <v>8246.0</v>
      </c>
    </row>
    <row r="1517">
      <c r="A1517" s="5" t="s">
        <v>2018</v>
      </c>
      <c r="B1517" s="11">
        <v>8246.0</v>
      </c>
    </row>
    <row r="1518">
      <c r="A1518" s="5" t="s">
        <v>2019</v>
      </c>
      <c r="B1518" s="11">
        <v>8246.0</v>
      </c>
    </row>
    <row r="1519">
      <c r="A1519" s="5" t="s">
        <v>2020</v>
      </c>
      <c r="B1519" s="11">
        <v>8246.0</v>
      </c>
    </row>
    <row r="1520">
      <c r="A1520" s="5" t="s">
        <v>2021</v>
      </c>
      <c r="B1520" s="11">
        <v>8246.0</v>
      </c>
    </row>
    <row r="1521">
      <c r="A1521" s="5" t="s">
        <v>2022</v>
      </c>
      <c r="B1521" s="11">
        <v>9474.0</v>
      </c>
    </row>
    <row r="1522">
      <c r="A1522" s="5" t="s">
        <v>2023</v>
      </c>
      <c r="B1522" s="11">
        <v>9474.0</v>
      </c>
    </row>
    <row r="1523">
      <c r="A1523" s="5" t="s">
        <v>2024</v>
      </c>
      <c r="B1523" s="11">
        <v>9474.0</v>
      </c>
    </row>
    <row r="1524">
      <c r="A1524" s="5" t="s">
        <v>2025</v>
      </c>
      <c r="B1524" s="11">
        <v>9474.0</v>
      </c>
    </row>
    <row r="1525">
      <c r="A1525" s="5" t="s">
        <v>2026</v>
      </c>
      <c r="B1525" s="11">
        <v>10011.0</v>
      </c>
    </row>
    <row r="1526">
      <c r="A1526" s="5" t="s">
        <v>2027</v>
      </c>
      <c r="B1526" s="11">
        <v>10011.0</v>
      </c>
    </row>
    <row r="1527">
      <c r="A1527" s="5" t="s">
        <v>2028</v>
      </c>
      <c r="B1527" s="11">
        <v>10011.0</v>
      </c>
    </row>
    <row r="1528">
      <c r="A1528" s="5" t="s">
        <v>2029</v>
      </c>
      <c r="B1528" s="11">
        <v>10011.0</v>
      </c>
    </row>
    <row r="1529">
      <c r="A1529" s="5" t="s">
        <v>2030</v>
      </c>
      <c r="B1529" s="11">
        <v>8246.0</v>
      </c>
    </row>
    <row r="1530">
      <c r="A1530" s="5" t="s">
        <v>2031</v>
      </c>
      <c r="B1530" s="11">
        <v>8246.0</v>
      </c>
    </row>
    <row r="1531">
      <c r="A1531" s="5" t="s">
        <v>2032</v>
      </c>
      <c r="B1531" s="11">
        <v>8246.0</v>
      </c>
    </row>
    <row r="1532">
      <c r="A1532" s="5" t="s">
        <v>2033</v>
      </c>
      <c r="B1532" s="11">
        <v>8246.0</v>
      </c>
    </row>
    <row r="1533">
      <c r="A1533" s="5" t="s">
        <v>2034</v>
      </c>
      <c r="B1533" s="11">
        <v>8246.0</v>
      </c>
    </row>
    <row r="1534">
      <c r="A1534" s="5" t="s">
        <v>2035</v>
      </c>
      <c r="B1534" s="11">
        <v>9474.0</v>
      </c>
    </row>
    <row r="1535">
      <c r="A1535" s="5" t="s">
        <v>2036</v>
      </c>
      <c r="B1535" s="11">
        <v>9474.0</v>
      </c>
    </row>
    <row r="1536">
      <c r="A1536" s="5" t="s">
        <v>2037</v>
      </c>
      <c r="B1536" s="11">
        <v>9474.0</v>
      </c>
    </row>
    <row r="1537">
      <c r="A1537" s="5" t="s">
        <v>2038</v>
      </c>
      <c r="B1537" s="11">
        <v>9474.0</v>
      </c>
    </row>
    <row r="1538">
      <c r="A1538" s="5" t="s">
        <v>2039</v>
      </c>
      <c r="B1538" s="11">
        <v>10011.0</v>
      </c>
    </row>
    <row r="1539">
      <c r="A1539" s="5" t="s">
        <v>2040</v>
      </c>
      <c r="B1539" s="11">
        <v>10011.0</v>
      </c>
    </row>
    <row r="1540">
      <c r="A1540" s="5" t="s">
        <v>2041</v>
      </c>
      <c r="B1540" s="11">
        <v>10011.0</v>
      </c>
    </row>
    <row r="1541">
      <c r="A1541" s="5" t="s">
        <v>2042</v>
      </c>
      <c r="B1541" s="11">
        <v>10011.0</v>
      </c>
    </row>
    <row r="1542">
      <c r="A1542" s="5" t="s">
        <v>2043</v>
      </c>
      <c r="B1542" s="11">
        <v>8246.0</v>
      </c>
    </row>
    <row r="1543">
      <c r="A1543" s="5" t="s">
        <v>2044</v>
      </c>
      <c r="B1543" s="11">
        <v>8246.0</v>
      </c>
    </row>
    <row r="1544">
      <c r="A1544" s="5" t="s">
        <v>2045</v>
      </c>
      <c r="B1544" s="11">
        <v>8246.0</v>
      </c>
    </row>
    <row r="1545">
      <c r="A1545" s="5" t="s">
        <v>2046</v>
      </c>
      <c r="B1545" s="11">
        <v>8246.0</v>
      </c>
    </row>
    <row r="1546">
      <c r="A1546" s="5" t="s">
        <v>2047</v>
      </c>
      <c r="B1546" s="11">
        <v>8246.0</v>
      </c>
    </row>
    <row r="1547">
      <c r="A1547" s="5" t="s">
        <v>2048</v>
      </c>
      <c r="B1547" s="11">
        <v>9474.0</v>
      </c>
    </row>
    <row r="1548">
      <c r="A1548" s="5" t="s">
        <v>2049</v>
      </c>
      <c r="B1548" s="11">
        <v>9474.0</v>
      </c>
    </row>
    <row r="1549">
      <c r="A1549" s="5" t="s">
        <v>2050</v>
      </c>
      <c r="B1549" s="11">
        <v>9474.0</v>
      </c>
    </row>
    <row r="1550">
      <c r="A1550" s="5" t="s">
        <v>2051</v>
      </c>
      <c r="B1550" s="11">
        <v>9474.0</v>
      </c>
    </row>
    <row r="1551">
      <c r="A1551" s="5" t="s">
        <v>2052</v>
      </c>
      <c r="B1551" s="11">
        <v>10011.0</v>
      </c>
    </row>
    <row r="1552">
      <c r="A1552" s="5" t="s">
        <v>2053</v>
      </c>
      <c r="B1552" s="11">
        <v>10011.0</v>
      </c>
    </row>
    <row r="1553">
      <c r="A1553" s="5" t="s">
        <v>2054</v>
      </c>
      <c r="B1553" s="11">
        <v>10011.0</v>
      </c>
    </row>
    <row r="1554">
      <c r="A1554" s="5" t="s">
        <v>2055</v>
      </c>
      <c r="B1554" s="11">
        <v>10011.0</v>
      </c>
    </row>
    <row r="1555">
      <c r="A1555" s="5" t="s">
        <v>2056</v>
      </c>
      <c r="B1555" s="11">
        <v>5122.0</v>
      </c>
    </row>
    <row r="1556">
      <c r="A1556" s="5" t="s">
        <v>2058</v>
      </c>
      <c r="B1556" s="11">
        <v>5122.0</v>
      </c>
    </row>
    <row r="1557">
      <c r="A1557" s="5" t="s">
        <v>2059</v>
      </c>
      <c r="B1557" s="11">
        <v>5122.0</v>
      </c>
    </row>
    <row r="1558">
      <c r="A1558" s="5" t="s">
        <v>2060</v>
      </c>
      <c r="B1558" s="11">
        <v>5122.0</v>
      </c>
    </row>
    <row r="1559">
      <c r="A1559" s="5" t="s">
        <v>2061</v>
      </c>
      <c r="B1559" s="11">
        <v>5122.0</v>
      </c>
    </row>
    <row r="1560">
      <c r="A1560" s="5" t="s">
        <v>2062</v>
      </c>
      <c r="B1560" s="11">
        <v>5122.0</v>
      </c>
    </row>
    <row r="1561">
      <c r="A1561" s="5" t="s">
        <v>2063</v>
      </c>
      <c r="B1561" s="11">
        <v>5598.0</v>
      </c>
    </row>
    <row r="1562">
      <c r="A1562" s="5" t="s">
        <v>2064</v>
      </c>
      <c r="B1562" s="11">
        <v>5598.0</v>
      </c>
    </row>
    <row r="1563">
      <c r="A1563" s="5" t="s">
        <v>2065</v>
      </c>
      <c r="B1563" s="11">
        <v>5598.0</v>
      </c>
    </row>
    <row r="1564">
      <c r="A1564" s="5" t="s">
        <v>2066</v>
      </c>
      <c r="B1564" s="11">
        <v>5598.0</v>
      </c>
    </row>
    <row r="1565">
      <c r="A1565" s="5" t="s">
        <v>2067</v>
      </c>
      <c r="B1565" s="11">
        <v>5598.0</v>
      </c>
    </row>
    <row r="1566">
      <c r="A1566" s="5" t="s">
        <v>2068</v>
      </c>
      <c r="B1566" s="11">
        <v>6216.0</v>
      </c>
    </row>
    <row r="1567">
      <c r="A1567" s="5" t="s">
        <v>2069</v>
      </c>
      <c r="B1567" s="11">
        <v>6216.0</v>
      </c>
    </row>
    <row r="1568">
      <c r="A1568" s="5" t="s">
        <v>2070</v>
      </c>
      <c r="B1568" s="11">
        <v>6216.0</v>
      </c>
    </row>
    <row r="1569">
      <c r="A1569" s="5" t="s">
        <v>2071</v>
      </c>
      <c r="B1569" s="11">
        <v>6216.0</v>
      </c>
    </row>
    <row r="1570">
      <c r="A1570" s="5" t="s">
        <v>2073</v>
      </c>
      <c r="B1570" s="11">
        <v>6216.0</v>
      </c>
    </row>
    <row r="1571">
      <c r="A1571" s="5" t="s">
        <v>2074</v>
      </c>
      <c r="B1571" s="11">
        <v>6216.0</v>
      </c>
    </row>
    <row r="1572">
      <c r="A1572" s="5" t="s">
        <v>2076</v>
      </c>
      <c r="B1572" s="11">
        <v>6216.0</v>
      </c>
    </row>
    <row r="1573">
      <c r="A1573" s="5" t="s">
        <v>2077</v>
      </c>
      <c r="B1573" s="11">
        <v>6216.0</v>
      </c>
    </row>
    <row r="1574">
      <c r="A1574" s="5" t="s">
        <v>2078</v>
      </c>
      <c r="B1574" s="11">
        <v>5598.0</v>
      </c>
    </row>
    <row r="1575">
      <c r="A1575" s="5" t="s">
        <v>2079</v>
      </c>
      <c r="B1575" s="11">
        <v>5598.0</v>
      </c>
    </row>
    <row r="1576">
      <c r="A1576" s="5" t="s">
        <v>2080</v>
      </c>
      <c r="B1576" s="11">
        <v>5598.0</v>
      </c>
    </row>
    <row r="1577">
      <c r="A1577" s="5" t="s">
        <v>2081</v>
      </c>
      <c r="B1577" s="11">
        <v>5598.0</v>
      </c>
    </row>
    <row r="1578">
      <c r="A1578" s="5" t="s">
        <v>2082</v>
      </c>
      <c r="B1578" s="11">
        <v>5598.0</v>
      </c>
    </row>
    <row r="1579">
      <c r="A1579" s="5" t="s">
        <v>2083</v>
      </c>
      <c r="B1579" s="11">
        <v>6216.0</v>
      </c>
    </row>
    <row r="1580">
      <c r="A1580" s="5" t="s">
        <v>2084</v>
      </c>
      <c r="B1580" s="11">
        <v>6216.0</v>
      </c>
    </row>
    <row r="1581">
      <c r="A1581" s="5" t="s">
        <v>2085</v>
      </c>
      <c r="B1581" s="11">
        <v>6216.0</v>
      </c>
    </row>
    <row r="1582">
      <c r="A1582" s="5" t="s">
        <v>2086</v>
      </c>
      <c r="B1582" s="11">
        <v>6216.0</v>
      </c>
    </row>
    <row r="1583">
      <c r="A1583" s="5" t="s">
        <v>2087</v>
      </c>
      <c r="B1583" s="11">
        <v>6216.0</v>
      </c>
    </row>
    <row r="1584">
      <c r="A1584" s="5" t="s">
        <v>2088</v>
      </c>
      <c r="B1584" s="11">
        <v>6216.0</v>
      </c>
    </row>
    <row r="1585">
      <c r="A1585" s="5" t="s">
        <v>2089</v>
      </c>
      <c r="B1585" s="11">
        <v>6216.0</v>
      </c>
    </row>
    <row r="1586">
      <c r="A1586" s="5" t="s">
        <v>2090</v>
      </c>
      <c r="B1586" s="11">
        <v>6216.0</v>
      </c>
    </row>
    <row r="1587">
      <c r="A1587" s="5" t="s">
        <v>2091</v>
      </c>
      <c r="B1587" s="11">
        <v>5598.0</v>
      </c>
    </row>
    <row r="1588">
      <c r="A1588" s="5" t="s">
        <v>2092</v>
      </c>
      <c r="B1588" s="11">
        <v>5598.0</v>
      </c>
    </row>
    <row r="1589">
      <c r="A1589" s="5" t="s">
        <v>2093</v>
      </c>
      <c r="B1589" s="11">
        <v>6216.0</v>
      </c>
    </row>
    <row r="1590">
      <c r="A1590" s="5" t="s">
        <v>2094</v>
      </c>
      <c r="B1590" s="11">
        <v>6216.0</v>
      </c>
    </row>
    <row r="1591">
      <c r="A1591" s="5" t="s">
        <v>2095</v>
      </c>
      <c r="B1591" s="11">
        <v>6216.0</v>
      </c>
    </row>
    <row r="1592">
      <c r="A1592" s="5" t="s">
        <v>2096</v>
      </c>
      <c r="B1592" s="11">
        <v>6216.0</v>
      </c>
    </row>
    <row r="1593">
      <c r="A1593" s="5" t="s">
        <v>2097</v>
      </c>
      <c r="B1593" s="11">
        <v>6216.0</v>
      </c>
    </row>
    <row r="1594">
      <c r="A1594" s="5" t="s">
        <v>2098</v>
      </c>
      <c r="B1594" s="11">
        <v>6216.0</v>
      </c>
    </row>
    <row r="1595">
      <c r="A1595" s="5" t="s">
        <v>2099</v>
      </c>
      <c r="B1595" s="11">
        <v>5122.0</v>
      </c>
    </row>
    <row r="1596">
      <c r="A1596" s="5" t="s">
        <v>2100</v>
      </c>
      <c r="B1596" s="11">
        <v>5122.0</v>
      </c>
    </row>
    <row r="1597">
      <c r="A1597" s="5" t="s">
        <v>2101</v>
      </c>
      <c r="B1597" s="11">
        <v>5122.0</v>
      </c>
    </row>
    <row r="1598">
      <c r="A1598" s="5" t="s">
        <v>2102</v>
      </c>
      <c r="B1598" s="11">
        <v>5122.0</v>
      </c>
    </row>
    <row r="1599">
      <c r="A1599" s="5" t="s">
        <v>2103</v>
      </c>
      <c r="B1599" s="11">
        <v>5598.0</v>
      </c>
    </row>
    <row r="1600">
      <c r="A1600" s="5" t="s">
        <v>2104</v>
      </c>
      <c r="B1600" s="11">
        <v>5598.0</v>
      </c>
    </row>
    <row r="1601">
      <c r="A1601" s="5" t="s">
        <v>2105</v>
      </c>
      <c r="B1601" s="11">
        <v>5598.0</v>
      </c>
    </row>
    <row r="1602">
      <c r="A1602" s="5" t="s">
        <v>2106</v>
      </c>
      <c r="B1602" s="11">
        <v>5598.0</v>
      </c>
    </row>
    <row r="1603">
      <c r="A1603" s="5" t="s">
        <v>2107</v>
      </c>
      <c r="B1603" s="11">
        <v>5598.0</v>
      </c>
    </row>
    <row r="1604">
      <c r="A1604" s="5" t="s">
        <v>2108</v>
      </c>
      <c r="B1604" s="11">
        <v>6216.0</v>
      </c>
    </row>
    <row r="1605">
      <c r="A1605" s="5" t="s">
        <v>2109</v>
      </c>
      <c r="B1605" s="11">
        <v>6216.0</v>
      </c>
    </row>
    <row r="1606">
      <c r="A1606" s="5" t="s">
        <v>2110</v>
      </c>
      <c r="B1606" s="11">
        <v>6216.0</v>
      </c>
    </row>
    <row r="1607">
      <c r="A1607" s="5" t="s">
        <v>2111</v>
      </c>
      <c r="B1607" s="11">
        <v>6216.0</v>
      </c>
    </row>
    <row r="1608">
      <c r="A1608" s="5" t="s">
        <v>2112</v>
      </c>
      <c r="B1608" s="11">
        <v>6216.0</v>
      </c>
    </row>
    <row r="1609">
      <c r="A1609" s="5" t="s">
        <v>2113</v>
      </c>
      <c r="B1609" s="11">
        <v>6216.0</v>
      </c>
    </row>
    <row r="1610">
      <c r="A1610" s="5" t="s">
        <v>2114</v>
      </c>
      <c r="B1610" s="11">
        <v>6216.0</v>
      </c>
    </row>
    <row r="1611">
      <c r="A1611" s="5" t="s">
        <v>2115</v>
      </c>
      <c r="B1611" s="11">
        <v>6216.0</v>
      </c>
    </row>
    <row r="1612">
      <c r="A1612" s="5" t="s">
        <v>2116</v>
      </c>
      <c r="B1612" s="11">
        <v>5598.0</v>
      </c>
    </row>
    <row r="1613">
      <c r="A1613" s="5" t="s">
        <v>2117</v>
      </c>
      <c r="B1613" s="11">
        <v>5598.0</v>
      </c>
    </row>
    <row r="1614">
      <c r="A1614" s="5" t="s">
        <v>2118</v>
      </c>
      <c r="B1614" s="11">
        <v>5598.0</v>
      </c>
    </row>
    <row r="1615">
      <c r="A1615" s="5" t="s">
        <v>2119</v>
      </c>
      <c r="B1615" s="11">
        <v>5598.0</v>
      </c>
    </row>
    <row r="1616">
      <c r="A1616" s="5" t="s">
        <v>2120</v>
      </c>
      <c r="B1616" s="11">
        <v>5598.0</v>
      </c>
    </row>
    <row r="1617">
      <c r="A1617" s="5" t="s">
        <v>2121</v>
      </c>
      <c r="B1617" s="11">
        <v>6216.0</v>
      </c>
    </row>
    <row r="1618">
      <c r="A1618" s="5" t="s">
        <v>2122</v>
      </c>
      <c r="B1618" s="11">
        <v>6216.0</v>
      </c>
    </row>
    <row r="1619">
      <c r="A1619" s="5" t="s">
        <v>2123</v>
      </c>
      <c r="B1619" s="11">
        <v>6216.0</v>
      </c>
    </row>
    <row r="1620">
      <c r="A1620" s="5" t="s">
        <v>2125</v>
      </c>
      <c r="B1620" s="11">
        <v>6216.0</v>
      </c>
    </row>
    <row r="1621">
      <c r="A1621" s="5" t="s">
        <v>2126</v>
      </c>
      <c r="B1621" s="11">
        <v>6216.0</v>
      </c>
    </row>
    <row r="1622">
      <c r="A1622" s="5" t="s">
        <v>2127</v>
      </c>
      <c r="B1622" s="11">
        <v>6216.0</v>
      </c>
    </row>
    <row r="1623">
      <c r="A1623" s="5" t="s">
        <v>2128</v>
      </c>
      <c r="B1623" s="11">
        <v>6216.0</v>
      </c>
    </row>
    <row r="1624">
      <c r="A1624" s="5" t="s">
        <v>2129</v>
      </c>
      <c r="B1624" s="11">
        <v>6216.0</v>
      </c>
    </row>
    <row r="1625">
      <c r="A1625" s="5" t="s">
        <v>2130</v>
      </c>
      <c r="B1625" s="11">
        <v>2001.0</v>
      </c>
    </row>
    <row r="1626">
      <c r="A1626" s="12" t="s">
        <v>2131</v>
      </c>
      <c r="B1626" s="11">
        <v>1546.0</v>
      </c>
    </row>
    <row r="1627">
      <c r="A1627" s="12" t="s">
        <v>2132</v>
      </c>
      <c r="B1627" s="11">
        <v>429775.0</v>
      </c>
    </row>
    <row r="1628">
      <c r="A1628" s="5" t="s">
        <v>2133</v>
      </c>
      <c r="B1628" s="11">
        <v>90562.0</v>
      </c>
    </row>
    <row r="1629">
      <c r="A1629" s="5" t="s">
        <v>2134</v>
      </c>
      <c r="B1629" s="11">
        <v>108179.0</v>
      </c>
    </row>
    <row r="1630">
      <c r="A1630" s="5" t="s">
        <v>2135</v>
      </c>
      <c r="B1630" s="11">
        <v>408752.0</v>
      </c>
    </row>
    <row r="1631">
      <c r="A1631" s="5" t="s">
        <v>2136</v>
      </c>
      <c r="B1631" s="11">
        <v>0.0</v>
      </c>
    </row>
    <row r="1632">
      <c r="A1632" s="5" t="s">
        <v>2137</v>
      </c>
      <c r="B1632" s="11">
        <v>0.0</v>
      </c>
    </row>
    <row r="1633">
      <c r="A1633" s="5" t="s">
        <v>2138</v>
      </c>
      <c r="B1633" s="11">
        <v>3565.0</v>
      </c>
    </row>
    <row r="1634">
      <c r="A1634" s="5" t="s">
        <v>2139</v>
      </c>
      <c r="B1634" s="11">
        <v>3996.0</v>
      </c>
    </row>
    <row r="1635">
      <c r="A1635" s="5" t="s">
        <v>2140</v>
      </c>
      <c r="B1635" s="11">
        <v>5090.0</v>
      </c>
    </row>
    <row r="1636">
      <c r="A1636" s="5" t="s">
        <v>2141</v>
      </c>
      <c r="B1636" s="11">
        <v>7265.0</v>
      </c>
    </row>
    <row r="1637">
      <c r="A1637" s="5" t="s">
        <v>2142</v>
      </c>
      <c r="B1637" s="11">
        <v>8273.0</v>
      </c>
    </row>
    <row r="1638">
      <c r="A1638" s="5" t="s">
        <v>2143</v>
      </c>
      <c r="B1638" s="11">
        <v>14007.0</v>
      </c>
    </row>
    <row r="1639">
      <c r="A1639" s="5" t="s">
        <v>2144</v>
      </c>
      <c r="B1639" s="11">
        <v>24488.0</v>
      </c>
    </row>
    <row r="1640">
      <c r="A1640" s="5" t="s">
        <v>2145</v>
      </c>
      <c r="B1640" s="11">
        <v>6656.0</v>
      </c>
    </row>
    <row r="1641">
      <c r="A1641" s="5" t="s">
        <v>2146</v>
      </c>
      <c r="B1641" s="11">
        <v>7414.0</v>
      </c>
    </row>
    <row r="1642">
      <c r="A1642" s="5" t="s">
        <v>2147</v>
      </c>
      <c r="B1642" s="11">
        <v>22052.0</v>
      </c>
    </row>
    <row r="1643">
      <c r="A1643" s="5" t="s">
        <v>2148</v>
      </c>
      <c r="B1643" s="11">
        <v>4908.0</v>
      </c>
    </row>
    <row r="1644">
      <c r="A1644" s="5" t="s">
        <v>2149</v>
      </c>
      <c r="B1644" s="11">
        <v>5323.0</v>
      </c>
    </row>
    <row r="1645">
      <c r="A1645" s="5" t="s">
        <v>168</v>
      </c>
      <c r="B1645" s="11">
        <v>7705.0</v>
      </c>
    </row>
    <row r="1646">
      <c r="A1646" s="5" t="s">
        <v>2150</v>
      </c>
      <c r="B1646" s="11">
        <v>2806.0</v>
      </c>
    </row>
    <row r="1647">
      <c r="A1647" s="5" t="s">
        <v>1162</v>
      </c>
      <c r="B1647" s="11">
        <v>2550.0</v>
      </c>
    </row>
    <row r="1648">
      <c r="A1648" s="5" t="s">
        <v>2151</v>
      </c>
      <c r="B1648" s="11">
        <v>2089.0</v>
      </c>
    </row>
    <row r="1649">
      <c r="A1649" s="5" t="s">
        <v>2152</v>
      </c>
      <c r="B1649" s="11">
        <v>4889.0</v>
      </c>
    </row>
    <row r="1650">
      <c r="A1650" s="5" t="s">
        <v>2153</v>
      </c>
      <c r="B1650" s="11">
        <v>8263.0</v>
      </c>
    </row>
    <row r="1651">
      <c r="A1651" s="5" t="s">
        <v>2155</v>
      </c>
      <c r="B1651" s="11">
        <v>2762.0</v>
      </c>
    </row>
    <row r="1652">
      <c r="A1652" s="5" t="s">
        <v>2156</v>
      </c>
      <c r="B1652" s="11">
        <v>17323.0</v>
      </c>
    </row>
    <row r="1653">
      <c r="A1653" s="5" t="s">
        <v>2157</v>
      </c>
      <c r="B1653" s="11">
        <v>15839.0</v>
      </c>
    </row>
    <row r="1654">
      <c r="A1654" s="5" t="s">
        <v>2158</v>
      </c>
      <c r="B1654" s="11">
        <v>19798.0</v>
      </c>
    </row>
    <row r="1655">
      <c r="A1655" s="5" t="s">
        <v>2159</v>
      </c>
      <c r="B1655" s="11">
        <v>37616.0</v>
      </c>
    </row>
    <row r="1656">
      <c r="A1656" s="5" t="s">
        <v>2160</v>
      </c>
      <c r="B1656" s="11">
        <v>28707.0</v>
      </c>
    </row>
    <row r="1657">
      <c r="A1657" s="5" t="s">
        <v>2161</v>
      </c>
      <c r="B1657" s="28">
        <v>33657.0</v>
      </c>
    </row>
    <row r="1658">
      <c r="A1658" s="5" t="s">
        <v>2162</v>
      </c>
      <c r="B1658" s="11">
        <v>22768.0</v>
      </c>
    </row>
    <row r="1659">
      <c r="A1659" s="5" t="s">
        <v>2163</v>
      </c>
      <c r="B1659" s="11">
        <v>21778.0</v>
      </c>
    </row>
    <row r="1660">
      <c r="A1660" s="5" t="s">
        <v>2164</v>
      </c>
      <c r="B1660" s="11">
        <v>13859.0</v>
      </c>
    </row>
    <row r="1661">
      <c r="A1661" s="5" t="s">
        <v>2165</v>
      </c>
      <c r="B1661" s="11">
        <v>17323.0</v>
      </c>
    </row>
    <row r="1662">
      <c r="A1662" s="5" t="s">
        <v>2166</v>
      </c>
      <c r="B1662" s="11">
        <v>12869.0</v>
      </c>
    </row>
    <row r="1663">
      <c r="A1663" s="5" t="s">
        <v>2167</v>
      </c>
      <c r="B1663" s="11">
        <v>106910.0</v>
      </c>
    </row>
    <row r="1664">
      <c r="A1664" s="5" t="s">
        <v>2168</v>
      </c>
      <c r="B1664" s="11">
        <v>46328.0</v>
      </c>
    </row>
    <row r="1665">
      <c r="A1665" s="5" t="s">
        <v>2169</v>
      </c>
      <c r="B1665" s="11">
        <v>32667.0</v>
      </c>
    </row>
    <row r="1666">
      <c r="A1666" s="5" t="s">
        <v>2170</v>
      </c>
      <c r="B1666" s="11">
        <v>117799.0</v>
      </c>
    </row>
    <row r="1667">
      <c r="A1667" s="5" t="s">
        <v>2171</v>
      </c>
      <c r="B1667" s="11">
        <v>81172.0</v>
      </c>
    </row>
    <row r="1668">
      <c r="A1668" s="5" t="s">
        <v>2172</v>
      </c>
      <c r="B1668" s="11">
        <v>12869.0</v>
      </c>
    </row>
    <row r="1669">
      <c r="A1669" s="5" t="s">
        <v>2173</v>
      </c>
      <c r="B1669" s="11">
        <v>17818.0</v>
      </c>
    </row>
    <row r="1670">
      <c r="A1670" s="5" t="s">
        <v>2174</v>
      </c>
      <c r="B1670" s="11">
        <v>78203.0</v>
      </c>
    </row>
    <row r="1671">
      <c r="A1671" s="5" t="s">
        <v>2175</v>
      </c>
      <c r="B1671" s="11">
        <v>41576.0</v>
      </c>
    </row>
    <row r="1672">
      <c r="A1672" s="5" t="s">
        <v>2176</v>
      </c>
      <c r="B1672" s="11">
        <v>18808.0</v>
      </c>
    </row>
    <row r="1673">
      <c r="A1673" s="5" t="s">
        <v>2177</v>
      </c>
      <c r="B1673" s="11">
        <v>0.0</v>
      </c>
    </row>
    <row r="1674">
      <c r="A1674" s="5" t="s">
        <v>2178</v>
      </c>
      <c r="B1674" s="11">
        <v>0.0</v>
      </c>
    </row>
    <row r="1675">
      <c r="A1675" s="5" t="s">
        <v>2179</v>
      </c>
      <c r="B1675" s="11">
        <v>0.0</v>
      </c>
    </row>
    <row r="1676">
      <c r="A1676" s="5" t="s">
        <v>2180</v>
      </c>
      <c r="B1676" s="11">
        <v>0.0</v>
      </c>
    </row>
    <row r="1677">
      <c r="A1677" s="5" t="s">
        <v>2181</v>
      </c>
      <c r="B1677" s="11">
        <v>141895.0</v>
      </c>
    </row>
    <row r="1678">
      <c r="A1678" s="5" t="s">
        <v>2182</v>
      </c>
      <c r="B1678" s="11">
        <v>421412.0</v>
      </c>
    </row>
    <row r="1679">
      <c r="A1679" s="5" t="s">
        <v>2183</v>
      </c>
      <c r="B1679" s="11">
        <v>7151.0</v>
      </c>
    </row>
    <row r="1680">
      <c r="A1680" s="5" t="s">
        <v>2184</v>
      </c>
      <c r="B1680" s="28">
        <v>120186.0</v>
      </c>
    </row>
    <row r="1681">
      <c r="A1681" s="5" t="s">
        <v>2185</v>
      </c>
      <c r="B1681" s="28">
        <v>150313.0</v>
      </c>
    </row>
    <row r="1682">
      <c r="A1682" s="5" t="s">
        <v>2186</v>
      </c>
      <c r="B1682" s="11">
        <v>751992.0</v>
      </c>
    </row>
    <row r="1683">
      <c r="A1683" s="5" t="s">
        <v>2187</v>
      </c>
      <c r="B1683" s="11">
        <v>25918.0</v>
      </c>
    </row>
    <row r="1684">
      <c r="A1684" s="5" t="s">
        <v>2188</v>
      </c>
      <c r="B1684" s="11">
        <v>123407.0</v>
      </c>
    </row>
    <row r="1685">
      <c r="A1685" s="5" t="s">
        <v>2189</v>
      </c>
      <c r="B1685" s="11">
        <v>200775.0</v>
      </c>
    </row>
    <row r="1686">
      <c r="A1686" s="5" t="s">
        <v>2191</v>
      </c>
      <c r="B1686" s="11">
        <v>12305.0</v>
      </c>
    </row>
    <row r="1687">
      <c r="A1687" s="5" t="s">
        <v>2192</v>
      </c>
      <c r="B1687" s="11">
        <v>20893.0</v>
      </c>
    </row>
    <row r="1688">
      <c r="A1688" s="5" t="s">
        <v>2193</v>
      </c>
      <c r="B1688" s="11">
        <v>28774.0</v>
      </c>
    </row>
    <row r="1689">
      <c r="A1689" s="5" t="s">
        <v>2194</v>
      </c>
      <c r="B1689" s="11">
        <v>359677.0</v>
      </c>
    </row>
    <row r="1690">
      <c r="A1690" s="12" t="s">
        <v>2195</v>
      </c>
      <c r="B1690" s="11">
        <v>111528.0</v>
      </c>
    </row>
    <row r="1691">
      <c r="A1691" s="5" t="s">
        <v>2196</v>
      </c>
      <c r="B1691" s="11">
        <v>123159.0</v>
      </c>
    </row>
    <row r="1692">
      <c r="A1692" s="5" t="s">
        <v>2197</v>
      </c>
      <c r="B1692" s="11">
        <v>123159.0</v>
      </c>
    </row>
    <row r="1693">
      <c r="A1693" s="5" t="s">
        <v>2198</v>
      </c>
      <c r="B1693" s="11">
        <v>123159.0</v>
      </c>
    </row>
    <row r="1694">
      <c r="A1694" s="5" t="s">
        <v>2199</v>
      </c>
      <c r="B1694" s="11">
        <v>123159.0</v>
      </c>
    </row>
    <row r="1695">
      <c r="A1695" s="5" t="s">
        <v>2200</v>
      </c>
      <c r="B1695" s="11">
        <v>132176.0</v>
      </c>
    </row>
    <row r="1696">
      <c r="A1696" s="5" t="s">
        <v>2201</v>
      </c>
      <c r="B1696" s="11">
        <v>52455.0</v>
      </c>
    </row>
    <row r="1697">
      <c r="A1697" s="5" t="s">
        <v>2202</v>
      </c>
      <c r="B1697" s="11">
        <v>41198.0</v>
      </c>
    </row>
    <row r="1698">
      <c r="A1698" s="12" t="s">
        <v>2203</v>
      </c>
      <c r="B1698" s="11">
        <v>29155.0</v>
      </c>
    </row>
    <row r="1699">
      <c r="A1699" s="12" t="s">
        <v>2204</v>
      </c>
      <c r="B1699" s="11">
        <v>9773.0</v>
      </c>
    </row>
    <row r="1700">
      <c r="A1700" s="5" t="s">
        <v>2205</v>
      </c>
      <c r="B1700" s="11">
        <v>30400.0</v>
      </c>
    </row>
    <row r="1701">
      <c r="A1701" s="5" t="s">
        <v>2206</v>
      </c>
      <c r="B1701" s="11">
        <v>13570.0</v>
      </c>
    </row>
    <row r="1702">
      <c r="A1702" s="5" t="s">
        <v>2207</v>
      </c>
      <c r="B1702" s="11">
        <v>32422.0</v>
      </c>
    </row>
    <row r="1703">
      <c r="A1703" s="5" t="s">
        <v>2208</v>
      </c>
      <c r="B1703" s="11">
        <v>11060.0</v>
      </c>
    </row>
    <row r="1704">
      <c r="A1704" s="5" t="s">
        <v>2209</v>
      </c>
      <c r="B1704" s="11">
        <v>162184.0</v>
      </c>
    </row>
    <row r="1705">
      <c r="A1705" s="5" t="s">
        <v>2210</v>
      </c>
      <c r="B1705" s="11">
        <v>7969.0</v>
      </c>
    </row>
    <row r="1706">
      <c r="A1706" s="5" t="s">
        <v>2211</v>
      </c>
      <c r="B1706" s="11">
        <v>9678.0</v>
      </c>
    </row>
    <row r="1707">
      <c r="A1707" s="5" t="s">
        <v>2212</v>
      </c>
      <c r="B1707" s="11">
        <v>693009.0</v>
      </c>
    </row>
    <row r="1708">
      <c r="A1708" s="5" t="s">
        <v>2213</v>
      </c>
      <c r="B1708" s="11">
        <v>5476.0</v>
      </c>
    </row>
    <row r="1709">
      <c r="A1709" s="5" t="s">
        <v>2214</v>
      </c>
      <c r="B1709" s="11">
        <v>4735.0</v>
      </c>
    </row>
    <row r="1710">
      <c r="A1710" s="5" t="s">
        <v>2215</v>
      </c>
      <c r="B1710" s="11">
        <v>48938.0</v>
      </c>
    </row>
    <row r="1711">
      <c r="A1711" s="5" t="s">
        <v>2216</v>
      </c>
      <c r="B1711" s="11">
        <v>7920.0</v>
      </c>
    </row>
    <row r="1712">
      <c r="A1712" s="5" t="s">
        <v>2217</v>
      </c>
      <c r="B1712" s="11">
        <v>15442.0</v>
      </c>
    </row>
    <row r="1713">
      <c r="A1713" s="5" t="s">
        <v>2218</v>
      </c>
      <c r="B1713" s="11">
        <v>27805.0</v>
      </c>
    </row>
    <row r="1714">
      <c r="A1714" s="5" t="s">
        <v>2220</v>
      </c>
      <c r="B1714" s="11">
        <v>3594.0</v>
      </c>
    </row>
    <row r="1715">
      <c r="A1715" s="5" t="s">
        <v>2221</v>
      </c>
      <c r="B1715" s="11">
        <v>5899.0</v>
      </c>
    </row>
    <row r="1716">
      <c r="A1716" s="5" t="s">
        <v>2222</v>
      </c>
      <c r="B1716" s="11">
        <v>9839.0</v>
      </c>
    </row>
    <row r="1717">
      <c r="A1717" s="12" t="s">
        <v>2223</v>
      </c>
      <c r="B1717" s="11">
        <v>39695.0</v>
      </c>
    </row>
    <row r="1718">
      <c r="A1718" s="5" t="s">
        <v>2224</v>
      </c>
      <c r="B1718" s="11">
        <v>8519.0</v>
      </c>
    </row>
    <row r="1719">
      <c r="A1719" s="5" t="s">
        <v>2225</v>
      </c>
      <c r="B1719" s="11">
        <v>4662.0</v>
      </c>
    </row>
    <row r="1720">
      <c r="A1720" s="12" t="s">
        <v>2226</v>
      </c>
      <c r="B1720" s="11">
        <v>39835.0</v>
      </c>
    </row>
    <row r="1721">
      <c r="A1721" s="5" t="s">
        <v>2227</v>
      </c>
      <c r="B1721" s="11">
        <v>5381.0</v>
      </c>
    </row>
    <row r="1722">
      <c r="A1722" s="5" t="s">
        <v>2228</v>
      </c>
      <c r="B1722" s="11">
        <v>2312.0</v>
      </c>
    </row>
    <row r="1723">
      <c r="A1723" s="5" t="s">
        <v>2229</v>
      </c>
      <c r="B1723" s="11">
        <v>4421.0</v>
      </c>
    </row>
    <row r="1724">
      <c r="A1724" s="5" t="s">
        <v>2230</v>
      </c>
      <c r="B1724" s="11">
        <v>16578.0</v>
      </c>
    </row>
    <row r="1725">
      <c r="A1725" s="5" t="s">
        <v>2231</v>
      </c>
      <c r="B1725" s="11">
        <v>13347.0</v>
      </c>
    </row>
    <row r="1726">
      <c r="A1726" s="5" t="s">
        <v>2232</v>
      </c>
      <c r="B1726" s="11">
        <v>4453.0</v>
      </c>
    </row>
    <row r="1727">
      <c r="A1727" s="5" t="s">
        <v>2233</v>
      </c>
      <c r="B1727" s="11">
        <v>7772.0</v>
      </c>
    </row>
    <row r="1728">
      <c r="A1728" s="5" t="s">
        <v>2234</v>
      </c>
      <c r="B1728" s="11">
        <v>181224.0</v>
      </c>
    </row>
    <row r="1729">
      <c r="A1729" s="5" t="s">
        <v>2235</v>
      </c>
      <c r="B1729" s="11">
        <v>5017.0</v>
      </c>
    </row>
    <row r="1730">
      <c r="A1730" s="5" t="s">
        <v>2236</v>
      </c>
      <c r="B1730" s="11">
        <v>20908.0</v>
      </c>
    </row>
    <row r="1731">
      <c r="A1731" s="5" t="s">
        <v>2237</v>
      </c>
      <c r="B1731" s="11">
        <v>5953.0</v>
      </c>
    </row>
    <row r="1732">
      <c r="A1732" s="5" t="s">
        <v>2238</v>
      </c>
      <c r="B1732" s="11">
        <v>47625.0</v>
      </c>
    </row>
    <row r="1733">
      <c r="A1733" s="5" t="s">
        <v>2239</v>
      </c>
      <c r="B1733" s="11">
        <v>214311.0</v>
      </c>
    </row>
    <row r="1734">
      <c r="A1734" s="5" t="s">
        <v>2240</v>
      </c>
      <c r="B1734" s="11">
        <v>232750.0</v>
      </c>
    </row>
    <row r="1735">
      <c r="A1735" s="5" t="s">
        <v>2241</v>
      </c>
      <c r="B1735" s="11">
        <v>2887.0</v>
      </c>
    </row>
    <row r="1736">
      <c r="A1736" s="5" t="s">
        <v>2242</v>
      </c>
      <c r="B1736" s="11">
        <v>40147.0</v>
      </c>
    </row>
    <row r="1737">
      <c r="A1737" s="5" t="s">
        <v>2243</v>
      </c>
      <c r="B1737" s="11">
        <v>83539.0</v>
      </c>
    </row>
    <row r="1738">
      <c r="A1738" s="5" t="s">
        <v>2244</v>
      </c>
      <c r="B1738" s="11">
        <v>15037.0</v>
      </c>
    </row>
    <row r="1739">
      <c r="A1739" s="5" t="s">
        <v>2245</v>
      </c>
      <c r="B1739" s="11">
        <v>67479.0</v>
      </c>
    </row>
    <row r="1740">
      <c r="A1740" s="5" t="s">
        <v>2246</v>
      </c>
      <c r="B1740" s="11">
        <v>11696.0</v>
      </c>
    </row>
    <row r="1741">
      <c r="A1741" s="5" t="s">
        <v>2247</v>
      </c>
      <c r="B1741" s="11">
        <v>3903.0</v>
      </c>
    </row>
    <row r="1742">
      <c r="A1742" s="5" t="s">
        <v>2248</v>
      </c>
      <c r="B1742" s="11">
        <v>6749.0</v>
      </c>
    </row>
    <row r="1743">
      <c r="A1743" s="5" t="s">
        <v>2249</v>
      </c>
      <c r="B1743" s="11">
        <v>52646.0</v>
      </c>
    </row>
    <row r="1744">
      <c r="A1744" s="5" t="s">
        <v>2250</v>
      </c>
      <c r="B1744" s="11">
        <v>52646.0</v>
      </c>
    </row>
    <row r="1745">
      <c r="A1745" s="5" t="s">
        <v>2251</v>
      </c>
      <c r="B1745" s="11">
        <v>485966.0</v>
      </c>
    </row>
    <row r="1746">
      <c r="A1746" s="5" t="s">
        <v>2252</v>
      </c>
      <c r="B1746" s="11">
        <v>146802.0</v>
      </c>
    </row>
    <row r="1747">
      <c r="A1747" s="5" t="s">
        <v>2253</v>
      </c>
      <c r="B1747" s="11">
        <v>2551.0</v>
      </c>
    </row>
    <row r="1748">
      <c r="A1748" s="5" t="s">
        <v>2254</v>
      </c>
      <c r="B1748" s="11">
        <v>11421.0</v>
      </c>
    </row>
    <row r="1749">
      <c r="A1749" s="5" t="s">
        <v>2255</v>
      </c>
      <c r="B1749" s="11">
        <v>10966.0</v>
      </c>
    </row>
    <row r="1750">
      <c r="A1750" s="5" t="s">
        <v>2256</v>
      </c>
      <c r="B1750" s="11">
        <v>11631.0</v>
      </c>
    </row>
    <row r="1751">
      <c r="A1751" s="5" t="s">
        <v>2257</v>
      </c>
      <c r="B1751" s="28">
        <v>16089.0</v>
      </c>
    </row>
    <row r="1752">
      <c r="A1752" s="5" t="s">
        <v>2258</v>
      </c>
      <c r="B1752" s="11">
        <v>8352.0</v>
      </c>
    </row>
    <row r="1753">
      <c r="A1753" s="5" t="s">
        <v>2260</v>
      </c>
      <c r="B1753" s="11">
        <v>15428.0</v>
      </c>
    </row>
    <row r="1754">
      <c r="A1754" s="5" t="s">
        <v>2261</v>
      </c>
      <c r="B1754" s="11">
        <v>25287.0</v>
      </c>
    </row>
    <row r="1755">
      <c r="A1755" s="5" t="s">
        <v>2262</v>
      </c>
      <c r="B1755" s="11">
        <v>56812.0</v>
      </c>
    </row>
    <row r="1756">
      <c r="A1756" s="5" t="s">
        <v>2263</v>
      </c>
      <c r="B1756" s="11">
        <v>9923.0</v>
      </c>
    </row>
    <row r="1757">
      <c r="A1757" s="5" t="s">
        <v>2264</v>
      </c>
      <c r="B1757" s="11">
        <v>12614.0</v>
      </c>
    </row>
    <row r="1758">
      <c r="A1758" s="5" t="s">
        <v>865</v>
      </c>
      <c r="B1758" s="11">
        <v>2533.0</v>
      </c>
    </row>
    <row r="1759">
      <c r="A1759" s="5" t="s">
        <v>2265</v>
      </c>
      <c r="B1759" s="11">
        <v>14448.0</v>
      </c>
    </row>
    <row r="1760">
      <c r="A1760" s="5" t="s">
        <v>2266</v>
      </c>
      <c r="B1760" s="11">
        <v>11951.0</v>
      </c>
    </row>
    <row r="1761">
      <c r="A1761" s="5" t="s">
        <v>2267</v>
      </c>
      <c r="B1761" s="11">
        <v>10950.0</v>
      </c>
    </row>
    <row r="1762">
      <c r="A1762" s="5" t="s">
        <v>2268</v>
      </c>
      <c r="B1762" s="11">
        <v>6503.0</v>
      </c>
    </row>
    <row r="1763">
      <c r="A1763" s="5" t="s">
        <v>2269</v>
      </c>
      <c r="B1763" s="11">
        <v>52432.0</v>
      </c>
    </row>
    <row r="1764">
      <c r="A1764" s="5" t="s">
        <v>2270</v>
      </c>
      <c r="B1764" s="11">
        <v>18029.0</v>
      </c>
    </row>
    <row r="1765">
      <c r="A1765" s="5" t="s">
        <v>2271</v>
      </c>
      <c r="B1765" s="11">
        <v>5507.0</v>
      </c>
    </row>
    <row r="1766">
      <c r="A1766" s="5" t="s">
        <v>2272</v>
      </c>
      <c r="B1766" s="11">
        <v>10017.0</v>
      </c>
    </row>
    <row r="1767">
      <c r="A1767" s="5" t="s">
        <v>2273</v>
      </c>
      <c r="B1767" s="11">
        <v>8797.0</v>
      </c>
    </row>
    <row r="1768">
      <c r="A1768" s="5" t="s">
        <v>2274</v>
      </c>
      <c r="B1768" s="11">
        <v>3921.0</v>
      </c>
    </row>
    <row r="1769">
      <c r="A1769" s="5" t="s">
        <v>2275</v>
      </c>
      <c r="B1769" s="11">
        <v>0.0</v>
      </c>
    </row>
    <row r="1770">
      <c r="A1770" s="5" t="s">
        <v>2276</v>
      </c>
      <c r="B1770" s="11">
        <v>9229.0</v>
      </c>
    </row>
    <row r="1771">
      <c r="A1771" s="5" t="s">
        <v>2277</v>
      </c>
      <c r="B1771" s="11">
        <v>8092.0</v>
      </c>
    </row>
    <row r="1772">
      <c r="A1772" s="5" t="s">
        <v>2278</v>
      </c>
      <c r="B1772" s="11">
        <v>8094.0</v>
      </c>
    </row>
    <row r="1773">
      <c r="A1773" s="5" t="s">
        <v>2279</v>
      </c>
      <c r="B1773" s="11">
        <v>8926.0</v>
      </c>
    </row>
    <row r="1774">
      <c r="A1774" s="5" t="s">
        <v>2280</v>
      </c>
      <c r="B1774" s="11">
        <v>5898.0</v>
      </c>
    </row>
    <row r="1775">
      <c r="A1775" s="12" t="s">
        <v>171</v>
      </c>
      <c r="B1775" s="11">
        <v>4073.0</v>
      </c>
    </row>
    <row r="1776">
      <c r="A1776" s="12" t="s">
        <v>174</v>
      </c>
      <c r="B1776" s="11">
        <v>5742.0</v>
      </c>
    </row>
    <row r="1777">
      <c r="A1777" s="5" t="s">
        <v>2281</v>
      </c>
      <c r="B1777" s="11">
        <v>7528.0</v>
      </c>
    </row>
    <row r="1778">
      <c r="A1778" s="5" t="s">
        <v>2282</v>
      </c>
      <c r="B1778" s="11">
        <v>6336.0</v>
      </c>
    </row>
    <row r="1779">
      <c r="A1779" s="5" t="s">
        <v>2283</v>
      </c>
      <c r="B1779" s="11">
        <v>4364.0</v>
      </c>
    </row>
    <row r="1780">
      <c r="A1780" s="5" t="s">
        <v>2284</v>
      </c>
      <c r="B1780" s="11">
        <v>3250.0</v>
      </c>
    </row>
    <row r="1781">
      <c r="A1781" s="5" t="s">
        <v>2285</v>
      </c>
      <c r="B1781" s="11">
        <v>3883.0</v>
      </c>
    </row>
    <row r="1782">
      <c r="A1782" s="5" t="s">
        <v>2286</v>
      </c>
      <c r="B1782" s="11">
        <v>6217.0</v>
      </c>
    </row>
    <row r="1783">
      <c r="A1783" s="5" t="s">
        <v>2287</v>
      </c>
      <c r="B1783" s="11">
        <v>10015.0</v>
      </c>
    </row>
    <row r="1784">
      <c r="A1784" s="5" t="s">
        <v>2288</v>
      </c>
      <c r="B1784" s="11">
        <v>5799.0</v>
      </c>
    </row>
    <row r="1785">
      <c r="A1785" s="5" t="s">
        <v>2289</v>
      </c>
      <c r="B1785" s="11">
        <v>9096.0</v>
      </c>
    </row>
    <row r="1786">
      <c r="A1786" s="5" t="s">
        <v>2290</v>
      </c>
      <c r="B1786" s="11">
        <v>7489.0</v>
      </c>
    </row>
    <row r="1787">
      <c r="A1787" s="5" t="s">
        <v>2291</v>
      </c>
      <c r="B1787" s="11">
        <v>5724.0</v>
      </c>
    </row>
    <row r="1788">
      <c r="A1788" s="5" t="s">
        <v>2293</v>
      </c>
      <c r="B1788" s="11">
        <v>9795.0</v>
      </c>
    </row>
    <row r="1789">
      <c r="A1789" s="5" t="s">
        <v>2294</v>
      </c>
      <c r="B1789" s="11">
        <v>6939.0</v>
      </c>
    </row>
    <row r="1790">
      <c r="A1790" s="5" t="s">
        <v>2295</v>
      </c>
      <c r="B1790" s="11">
        <v>8106.0</v>
      </c>
    </row>
    <row r="1791">
      <c r="A1791" s="5" t="s">
        <v>2296</v>
      </c>
      <c r="B1791" s="11">
        <v>8921.0</v>
      </c>
    </row>
    <row r="1792">
      <c r="A1792" s="5" t="s">
        <v>2298</v>
      </c>
      <c r="B1792" s="11">
        <v>27801.0</v>
      </c>
    </row>
    <row r="1793">
      <c r="A1793" s="5" t="s">
        <v>2299</v>
      </c>
      <c r="B1793" s="11">
        <v>5845.0</v>
      </c>
    </row>
    <row r="1794">
      <c r="A1794" s="5" t="s">
        <v>2300</v>
      </c>
      <c r="B1794" s="11">
        <v>13341.0</v>
      </c>
    </row>
    <row r="1795">
      <c r="A1795" s="5" t="s">
        <v>2301</v>
      </c>
      <c r="B1795" s="11">
        <v>3721.0</v>
      </c>
    </row>
    <row r="1796">
      <c r="A1796" s="5" t="s">
        <v>2302</v>
      </c>
      <c r="B1796" s="11">
        <v>22725.0</v>
      </c>
    </row>
    <row r="1797">
      <c r="A1797" s="5" t="s">
        <v>2304</v>
      </c>
      <c r="B1797" s="11">
        <v>4703.0</v>
      </c>
    </row>
    <row r="1798">
      <c r="A1798" s="5" t="s">
        <v>2305</v>
      </c>
      <c r="B1798" s="11">
        <v>5958.0</v>
      </c>
    </row>
    <row r="1799">
      <c r="A1799" s="5" t="s">
        <v>2306</v>
      </c>
      <c r="B1799" s="11">
        <v>2572.0</v>
      </c>
    </row>
    <row r="1800">
      <c r="A1800" s="5" t="s">
        <v>2307</v>
      </c>
      <c r="B1800" s="11">
        <v>7454.0</v>
      </c>
    </row>
    <row r="1801">
      <c r="A1801" s="5" t="s">
        <v>2309</v>
      </c>
      <c r="B1801" s="11">
        <v>6627.0</v>
      </c>
    </row>
    <row r="1802">
      <c r="A1802" s="5" t="s">
        <v>2310</v>
      </c>
      <c r="B1802" s="11">
        <v>4639.0</v>
      </c>
    </row>
    <row r="1803">
      <c r="A1803" s="5" t="s">
        <v>2311</v>
      </c>
      <c r="B1803" s="11">
        <v>10006.0</v>
      </c>
    </row>
    <row r="1804">
      <c r="A1804" s="5" t="s">
        <v>2312</v>
      </c>
      <c r="B1804" s="11">
        <v>12865.0</v>
      </c>
    </row>
    <row r="1805">
      <c r="A1805" s="5" t="s">
        <v>2313</v>
      </c>
      <c r="B1805" s="11">
        <v>12648.0</v>
      </c>
    </row>
    <row r="1806">
      <c r="A1806" s="5" t="s">
        <v>2314</v>
      </c>
      <c r="B1806" s="11">
        <v>6304.0</v>
      </c>
    </row>
    <row r="1807">
      <c r="A1807" s="5" t="s">
        <v>2315</v>
      </c>
      <c r="B1807" s="11">
        <v>5297.0</v>
      </c>
    </row>
    <row r="1808">
      <c r="A1808" s="5" t="s">
        <v>2317</v>
      </c>
      <c r="B1808" s="11">
        <v>37525.0</v>
      </c>
    </row>
    <row r="1809">
      <c r="A1809" s="5" t="s">
        <v>2318</v>
      </c>
      <c r="B1809" s="11">
        <v>3913.0</v>
      </c>
    </row>
    <row r="1810">
      <c r="A1810" s="5" t="s">
        <v>2319</v>
      </c>
      <c r="B1810" s="11">
        <v>2521.0</v>
      </c>
    </row>
    <row r="1811">
      <c r="A1811" s="5" t="s">
        <v>2320</v>
      </c>
      <c r="B1811" s="11">
        <v>2155.0</v>
      </c>
    </row>
    <row r="1812">
      <c r="A1812" s="5" t="s">
        <v>2322</v>
      </c>
      <c r="B1812" s="11">
        <v>2540.0</v>
      </c>
    </row>
    <row r="1813">
      <c r="A1813" s="5" t="s">
        <v>2324</v>
      </c>
      <c r="B1813" s="11">
        <v>4311.0</v>
      </c>
    </row>
    <row r="1814">
      <c r="A1814" s="5" t="s">
        <v>2326</v>
      </c>
      <c r="B1814" s="11">
        <v>3825.0</v>
      </c>
    </row>
    <row r="1815">
      <c r="A1815" s="5" t="s">
        <v>2327</v>
      </c>
      <c r="B1815" s="11">
        <v>8418.0</v>
      </c>
    </row>
    <row r="1816">
      <c r="A1816" s="5" t="s">
        <v>2328</v>
      </c>
      <c r="B1816" s="11">
        <v>45091.0</v>
      </c>
    </row>
    <row r="1817">
      <c r="A1817" s="5" t="s">
        <v>2330</v>
      </c>
      <c r="B1817" s="11">
        <v>10135.0</v>
      </c>
    </row>
    <row r="1818">
      <c r="A1818" s="5" t="s">
        <v>2331</v>
      </c>
      <c r="B1818" s="11">
        <v>10135.0</v>
      </c>
    </row>
    <row r="1819">
      <c r="A1819" s="5" t="s">
        <v>2334</v>
      </c>
      <c r="B1819" s="11">
        <v>3646.0</v>
      </c>
    </row>
    <row r="1820">
      <c r="A1820" s="5" t="s">
        <v>2335</v>
      </c>
      <c r="B1820" s="11">
        <v>32187.0</v>
      </c>
    </row>
    <row r="1821">
      <c r="A1821" s="5" t="s">
        <v>2337</v>
      </c>
      <c r="B1821" s="11">
        <v>12578.0</v>
      </c>
    </row>
    <row r="1822">
      <c r="A1822" s="5" t="s">
        <v>2340</v>
      </c>
      <c r="B1822" s="11">
        <v>26099.0</v>
      </c>
    </row>
    <row r="1823">
      <c r="A1823" s="5" t="s">
        <v>2342</v>
      </c>
      <c r="B1823" s="11">
        <v>122619.0</v>
      </c>
    </row>
    <row r="1824">
      <c r="A1824" s="5" t="s">
        <v>2343</v>
      </c>
      <c r="B1824" s="11">
        <v>18143.0</v>
      </c>
    </row>
    <row r="1825">
      <c r="A1825" s="5" t="s">
        <v>2345</v>
      </c>
      <c r="B1825" s="11">
        <v>30992.0</v>
      </c>
    </row>
    <row r="1826">
      <c r="A1826" s="5" t="s">
        <v>2347</v>
      </c>
      <c r="B1826" s="11">
        <v>10135.0</v>
      </c>
    </row>
    <row r="1827">
      <c r="A1827" s="5" t="s">
        <v>2349</v>
      </c>
      <c r="B1827" s="11">
        <v>5044.0</v>
      </c>
    </row>
    <row r="1828">
      <c r="A1828" s="5" t="s">
        <v>1535</v>
      </c>
      <c r="B1828" s="11">
        <v>4447.0</v>
      </c>
    </row>
    <row r="1829">
      <c r="A1829" s="5" t="s">
        <v>2352</v>
      </c>
      <c r="B1829" s="11">
        <v>17368.0</v>
      </c>
    </row>
    <row r="1830">
      <c r="A1830" s="5" t="s">
        <v>2354</v>
      </c>
      <c r="B1830" s="11">
        <v>5208.0</v>
      </c>
    </row>
    <row r="1831">
      <c r="A1831" s="5" t="s">
        <v>2355</v>
      </c>
      <c r="B1831" s="11">
        <v>5859.0</v>
      </c>
    </row>
    <row r="1832">
      <c r="A1832" s="5" t="s">
        <v>2357</v>
      </c>
      <c r="B1832" s="11">
        <v>15301.0</v>
      </c>
    </row>
    <row r="1833">
      <c r="A1833" s="5" t="s">
        <v>2359</v>
      </c>
      <c r="B1833" s="11">
        <v>4480.0</v>
      </c>
    </row>
    <row r="1834">
      <c r="A1834" s="5" t="s">
        <v>2361</v>
      </c>
      <c r="B1834" s="11">
        <v>41441.0</v>
      </c>
    </row>
    <row r="1835">
      <c r="A1835" s="5" t="s">
        <v>2362</v>
      </c>
      <c r="B1835" s="11">
        <v>4768.0</v>
      </c>
    </row>
    <row r="1836">
      <c r="A1836" s="5" t="s">
        <v>2364</v>
      </c>
      <c r="B1836" s="11">
        <v>12522.0</v>
      </c>
    </row>
    <row r="1837">
      <c r="A1837" s="5" t="s">
        <v>2366</v>
      </c>
      <c r="B1837" s="11">
        <v>18562.0</v>
      </c>
    </row>
    <row r="1838">
      <c r="A1838" s="5" t="s">
        <v>2368</v>
      </c>
      <c r="B1838" s="11">
        <v>4240.0</v>
      </c>
    </row>
    <row r="1839">
      <c r="A1839" s="5" t="s">
        <v>2370</v>
      </c>
      <c r="B1839" s="11">
        <v>7345.0</v>
      </c>
    </row>
    <row r="1840">
      <c r="A1840" s="5" t="s">
        <v>2372</v>
      </c>
      <c r="B1840" s="11">
        <v>4766.0</v>
      </c>
    </row>
    <row r="1841">
      <c r="A1841" s="5" t="s">
        <v>2374</v>
      </c>
      <c r="B1841" s="11">
        <v>11017.0</v>
      </c>
    </row>
    <row r="1842">
      <c r="A1842" s="5" t="s">
        <v>2376</v>
      </c>
      <c r="B1842" s="11">
        <v>17941.0</v>
      </c>
    </row>
    <row r="1843">
      <c r="A1843" s="5" t="s">
        <v>2377</v>
      </c>
      <c r="B1843" s="11">
        <v>22599.0</v>
      </c>
    </row>
    <row r="1844">
      <c r="A1844" s="5" t="s">
        <v>2379</v>
      </c>
      <c r="B1844" s="11">
        <v>11562.0</v>
      </c>
    </row>
    <row r="1845">
      <c r="A1845" s="5" t="s">
        <v>2380</v>
      </c>
      <c r="B1845" s="11">
        <v>6310.0</v>
      </c>
    </row>
    <row r="1846">
      <c r="A1846" s="5" t="s">
        <v>2381</v>
      </c>
      <c r="B1846" s="11">
        <v>11487.0</v>
      </c>
    </row>
    <row r="1847">
      <c r="A1847" s="5" t="s">
        <v>2382</v>
      </c>
      <c r="B1847" s="11">
        <v>11693.0</v>
      </c>
    </row>
    <row r="1848">
      <c r="A1848" s="5" t="s">
        <v>2383</v>
      </c>
      <c r="B1848" s="11">
        <v>31914.0</v>
      </c>
    </row>
    <row r="1849">
      <c r="A1849" s="12" t="s">
        <v>2384</v>
      </c>
      <c r="B1849" s="11">
        <v>9148.0</v>
      </c>
    </row>
    <row r="1850">
      <c r="A1850" s="5" t="s">
        <v>2385</v>
      </c>
      <c r="B1850" s="11">
        <v>36931.0</v>
      </c>
    </row>
    <row r="1851">
      <c r="A1851" s="5" t="s">
        <v>2386</v>
      </c>
      <c r="B1851" s="11">
        <v>7189.0</v>
      </c>
    </row>
    <row r="1852">
      <c r="A1852" s="5" t="s">
        <v>2387</v>
      </c>
      <c r="B1852" s="11">
        <v>6085.0</v>
      </c>
    </row>
    <row r="1853">
      <c r="A1853" s="5" t="s">
        <v>2388</v>
      </c>
      <c r="B1853" s="11">
        <v>4696.0</v>
      </c>
    </row>
    <row r="1854">
      <c r="A1854" s="5" t="s">
        <v>2389</v>
      </c>
      <c r="B1854" s="11">
        <v>5317.0</v>
      </c>
    </row>
    <row r="1855">
      <c r="A1855" s="5" t="s">
        <v>2390</v>
      </c>
      <c r="B1855" s="11">
        <v>320511.0</v>
      </c>
    </row>
    <row r="1856">
      <c r="A1856" s="12" t="s">
        <v>2391</v>
      </c>
      <c r="B1856" s="11">
        <v>2880.0</v>
      </c>
    </row>
    <row r="1857">
      <c r="A1857" s="12" t="s">
        <v>2392</v>
      </c>
      <c r="B1857" s="11">
        <v>4639.0</v>
      </c>
    </row>
    <row r="1858">
      <c r="A1858" s="12" t="s">
        <v>2393</v>
      </c>
      <c r="B1858" s="11">
        <v>3580.0</v>
      </c>
    </row>
    <row r="1859">
      <c r="A1859" s="12" t="s">
        <v>2394</v>
      </c>
      <c r="B1859" s="11">
        <v>5853.0</v>
      </c>
    </row>
    <row r="1860">
      <c r="A1860" s="12" t="s">
        <v>2395</v>
      </c>
      <c r="B1860" s="11">
        <v>8068.0</v>
      </c>
    </row>
    <row r="1861">
      <c r="A1861" s="12" t="s">
        <v>2396</v>
      </c>
      <c r="B1861" s="11">
        <v>4054.0</v>
      </c>
    </row>
    <row r="1862">
      <c r="A1862" s="5" t="s">
        <v>2397</v>
      </c>
      <c r="B1862" s="11">
        <v>2621.0</v>
      </c>
    </row>
    <row r="1863">
      <c r="A1863" s="5" t="s">
        <v>2398</v>
      </c>
      <c r="B1863" s="11">
        <v>3177.0</v>
      </c>
    </row>
    <row r="1864">
      <c r="A1864" s="5" t="s">
        <v>2399</v>
      </c>
      <c r="B1864" s="11">
        <v>3691.0</v>
      </c>
    </row>
    <row r="1865">
      <c r="A1865" s="5" t="s">
        <v>2400</v>
      </c>
      <c r="B1865" s="11">
        <v>3861.0</v>
      </c>
    </row>
    <row r="1866">
      <c r="A1866" s="5" t="s">
        <v>2401</v>
      </c>
      <c r="B1866" s="11">
        <v>2621.0</v>
      </c>
    </row>
    <row r="1867">
      <c r="A1867" s="5" t="s">
        <v>2402</v>
      </c>
      <c r="B1867" s="11">
        <v>4821.0</v>
      </c>
    </row>
    <row r="1868">
      <c r="A1868" s="5" t="s">
        <v>2403</v>
      </c>
      <c r="B1868" s="11">
        <v>6662.0</v>
      </c>
    </row>
    <row r="1869">
      <c r="A1869" s="5" t="s">
        <v>2404</v>
      </c>
      <c r="B1869" s="11">
        <v>6607.0</v>
      </c>
    </row>
    <row r="1870">
      <c r="A1870" s="5" t="s">
        <v>2405</v>
      </c>
      <c r="B1870" s="11">
        <v>2307.0</v>
      </c>
    </row>
    <row r="1871">
      <c r="A1871" s="5" t="s">
        <v>2406</v>
      </c>
      <c r="B1871" s="11">
        <v>15829.0</v>
      </c>
    </row>
    <row r="1872">
      <c r="A1872" s="5" t="s">
        <v>177</v>
      </c>
      <c r="B1872" s="11">
        <v>12415.0</v>
      </c>
    </row>
    <row r="1873">
      <c r="A1873" s="5" t="s">
        <v>2407</v>
      </c>
      <c r="B1873" s="11">
        <v>54551.0</v>
      </c>
    </row>
    <row r="1874">
      <c r="A1874" s="5" t="s">
        <v>2408</v>
      </c>
      <c r="B1874" s="11">
        <v>18094.0</v>
      </c>
    </row>
    <row r="1875">
      <c r="A1875" s="5" t="s">
        <v>2409</v>
      </c>
      <c r="B1875" s="11">
        <v>85920.0</v>
      </c>
    </row>
    <row r="1876">
      <c r="A1876" s="5" t="s">
        <v>2410</v>
      </c>
      <c r="B1876" s="11">
        <v>12104.0</v>
      </c>
    </row>
    <row r="1877">
      <c r="A1877" s="5" t="s">
        <v>2411</v>
      </c>
      <c r="B1877" s="11">
        <v>96465.0</v>
      </c>
    </row>
    <row r="1878">
      <c r="A1878" s="5" t="s">
        <v>2412</v>
      </c>
      <c r="B1878" s="11">
        <v>22298.0</v>
      </c>
    </row>
    <row r="1879">
      <c r="A1879" s="5" t="s">
        <v>2413</v>
      </c>
      <c r="B1879" s="11">
        <v>2019.0</v>
      </c>
    </row>
    <row r="1880">
      <c r="A1880" s="5" t="s">
        <v>2414</v>
      </c>
      <c r="B1880" s="11">
        <v>21650.0</v>
      </c>
    </row>
    <row r="1881">
      <c r="A1881" s="5" t="s">
        <v>2415</v>
      </c>
      <c r="B1881" s="11">
        <v>3342.0</v>
      </c>
    </row>
    <row r="1882">
      <c r="A1882" s="5" t="s">
        <v>2416</v>
      </c>
      <c r="B1882" s="11">
        <v>27394.0</v>
      </c>
    </row>
    <row r="1883">
      <c r="A1883" s="5" t="s">
        <v>2417</v>
      </c>
      <c r="B1883" s="11">
        <v>128702.0</v>
      </c>
    </row>
    <row r="1884">
      <c r="A1884" s="5" t="s">
        <v>2418</v>
      </c>
      <c r="B1884" s="11">
        <v>4832.0</v>
      </c>
    </row>
    <row r="1885">
      <c r="A1885" s="5" t="s">
        <v>2419</v>
      </c>
      <c r="B1885" s="11">
        <v>0.0</v>
      </c>
    </row>
    <row r="1886">
      <c r="A1886" s="5" t="s">
        <v>2420</v>
      </c>
      <c r="B1886" s="11">
        <v>0.0</v>
      </c>
    </row>
    <row r="1887">
      <c r="A1887" s="5" t="s">
        <v>2421</v>
      </c>
      <c r="B1887" s="11">
        <v>20006.0</v>
      </c>
    </row>
    <row r="1888">
      <c r="A1888" s="5" t="s">
        <v>2422</v>
      </c>
      <c r="B1888" s="11">
        <v>34968.0</v>
      </c>
    </row>
    <row r="1889">
      <c r="A1889" s="5" t="s">
        <v>2423</v>
      </c>
      <c r="B1889" s="11">
        <v>0.0</v>
      </c>
    </row>
    <row r="1890">
      <c r="A1890" s="5" t="s">
        <v>2424</v>
      </c>
      <c r="B1890" s="11">
        <v>0.0</v>
      </c>
    </row>
    <row r="1891">
      <c r="A1891" s="5" t="s">
        <v>2425</v>
      </c>
      <c r="B1891" s="11">
        <v>0.0</v>
      </c>
    </row>
    <row r="1892">
      <c r="A1892" s="5" t="s">
        <v>2426</v>
      </c>
      <c r="B1892" s="11">
        <v>29425.0</v>
      </c>
    </row>
    <row r="1893">
      <c r="A1893" s="5" t="s">
        <v>2427</v>
      </c>
      <c r="B1893" s="11">
        <v>42374.0</v>
      </c>
    </row>
    <row r="1894">
      <c r="A1894" s="5" t="s">
        <v>2428</v>
      </c>
      <c r="B1894" s="11">
        <v>70246.0</v>
      </c>
    </row>
    <row r="1895">
      <c r="A1895" s="5" t="s">
        <v>2429</v>
      </c>
      <c r="B1895" s="11">
        <v>5733.0</v>
      </c>
    </row>
    <row r="1896">
      <c r="A1896" s="5" t="s">
        <v>2430</v>
      </c>
      <c r="B1896" s="11">
        <v>32620.0</v>
      </c>
    </row>
    <row r="1897">
      <c r="A1897" s="5" t="s">
        <v>2431</v>
      </c>
      <c r="B1897" s="11">
        <v>11283.0</v>
      </c>
    </row>
    <row r="1898">
      <c r="A1898" s="5" t="s">
        <v>2432</v>
      </c>
      <c r="B1898" s="11">
        <v>19651.0</v>
      </c>
    </row>
    <row r="1899">
      <c r="A1899" s="5" t="s">
        <v>2433</v>
      </c>
      <c r="B1899" s="11">
        <v>18080.0</v>
      </c>
    </row>
    <row r="1900">
      <c r="A1900" s="5" t="s">
        <v>2434</v>
      </c>
      <c r="B1900" s="11">
        <v>42417.0</v>
      </c>
    </row>
    <row r="1901">
      <c r="A1901" s="5" t="s">
        <v>2435</v>
      </c>
      <c r="B1901" s="11">
        <v>82749.0</v>
      </c>
    </row>
    <row r="1902">
      <c r="A1902" s="5" t="s">
        <v>2436</v>
      </c>
      <c r="B1902" s="11">
        <v>7065.0</v>
      </c>
    </row>
    <row r="1903">
      <c r="A1903" s="5" t="s">
        <v>2437</v>
      </c>
      <c r="B1903" s="11">
        <v>29288.0</v>
      </c>
    </row>
    <row r="1904">
      <c r="A1904" s="5" t="s">
        <v>2438</v>
      </c>
      <c r="B1904" s="11">
        <v>9672.0</v>
      </c>
    </row>
    <row r="1905">
      <c r="A1905" s="5" t="s">
        <v>2439</v>
      </c>
      <c r="B1905" s="11">
        <v>16109.0</v>
      </c>
    </row>
    <row r="1906">
      <c r="A1906" s="5" t="s">
        <v>2440</v>
      </c>
      <c r="B1906" s="11">
        <v>18576.0</v>
      </c>
    </row>
    <row r="1907">
      <c r="A1907" s="5" t="s">
        <v>2441</v>
      </c>
      <c r="B1907" s="11">
        <v>10217.0</v>
      </c>
    </row>
    <row r="1908">
      <c r="A1908" s="5" t="s">
        <v>2442</v>
      </c>
      <c r="B1908" s="11">
        <v>25528.0</v>
      </c>
    </row>
    <row r="1909">
      <c r="A1909" s="5" t="s">
        <v>2443</v>
      </c>
      <c r="B1909" s="11">
        <v>118864.0</v>
      </c>
    </row>
    <row r="1910">
      <c r="A1910" s="5" t="s">
        <v>2444</v>
      </c>
      <c r="B1910" s="11">
        <v>27351.0</v>
      </c>
    </row>
    <row r="1911">
      <c r="A1911" s="5" t="s">
        <v>2445</v>
      </c>
      <c r="B1911" s="11">
        <v>16847.0</v>
      </c>
    </row>
    <row r="1912">
      <c r="A1912" s="5" t="s">
        <v>2446</v>
      </c>
      <c r="B1912" s="11">
        <v>9172.0</v>
      </c>
    </row>
    <row r="1913">
      <c r="A1913" s="5" t="s">
        <v>2447</v>
      </c>
      <c r="B1913" s="11">
        <v>42849.0</v>
      </c>
    </row>
    <row r="1914">
      <c r="A1914" s="5" t="s">
        <v>2448</v>
      </c>
      <c r="B1914" s="11">
        <v>31864.0</v>
      </c>
    </row>
    <row r="1915">
      <c r="A1915" s="5" t="s">
        <v>2449</v>
      </c>
      <c r="B1915" s="11">
        <v>32009.0</v>
      </c>
    </row>
    <row r="1916">
      <c r="A1916" s="5" t="s">
        <v>2450</v>
      </c>
      <c r="B1916" s="28">
        <v>0.0</v>
      </c>
    </row>
    <row r="1917">
      <c r="A1917" s="5" t="s">
        <v>2451</v>
      </c>
      <c r="B1917" s="11">
        <v>5945.0</v>
      </c>
    </row>
    <row r="1918">
      <c r="A1918" s="5" t="s">
        <v>2452</v>
      </c>
      <c r="B1918" s="11">
        <v>7101.0</v>
      </c>
    </row>
    <row r="1919">
      <c r="A1919" s="5" t="s">
        <v>2453</v>
      </c>
      <c r="B1919" s="11">
        <v>35818.0</v>
      </c>
    </row>
    <row r="1920">
      <c r="A1920" s="5" t="s">
        <v>2454</v>
      </c>
      <c r="B1920" s="11">
        <v>5117.0</v>
      </c>
    </row>
    <row r="1921">
      <c r="A1921" s="5" t="s">
        <v>2455</v>
      </c>
      <c r="B1921" s="11">
        <v>39576.0</v>
      </c>
    </row>
    <row r="1922">
      <c r="A1922" s="5" t="s">
        <v>2456</v>
      </c>
      <c r="B1922" s="11">
        <v>6829.0</v>
      </c>
    </row>
    <row r="1923">
      <c r="A1923" s="5" t="s">
        <v>2457</v>
      </c>
      <c r="B1923" s="11">
        <v>32984.0</v>
      </c>
    </row>
    <row r="1924">
      <c r="A1924" s="5" t="s">
        <v>2458</v>
      </c>
      <c r="B1924" s="11">
        <v>7965.0</v>
      </c>
    </row>
    <row r="1925">
      <c r="A1925" s="5" t="s">
        <v>2459</v>
      </c>
      <c r="B1925" s="11">
        <v>36968.0</v>
      </c>
    </row>
    <row r="1926">
      <c r="A1926" s="5" t="s">
        <v>2460</v>
      </c>
      <c r="B1926" s="11">
        <v>6408.0</v>
      </c>
    </row>
    <row r="1927">
      <c r="A1927" s="5" t="s">
        <v>2461</v>
      </c>
      <c r="B1927" s="11">
        <v>30929.0</v>
      </c>
    </row>
    <row r="1928">
      <c r="A1928" s="5" t="s">
        <v>2462</v>
      </c>
      <c r="B1928" s="11">
        <v>53887.0</v>
      </c>
    </row>
    <row r="1929">
      <c r="A1929" s="5" t="s">
        <v>2463</v>
      </c>
      <c r="B1929" s="11">
        <v>53887.0</v>
      </c>
    </row>
    <row r="1930">
      <c r="A1930" s="5" t="s">
        <v>2464</v>
      </c>
      <c r="B1930" s="28">
        <v>12388.0</v>
      </c>
    </row>
    <row r="1931">
      <c r="A1931" s="5" t="s">
        <v>2465</v>
      </c>
      <c r="B1931" s="11">
        <v>3577.0</v>
      </c>
    </row>
    <row r="1932">
      <c r="A1932" s="5" t="s">
        <v>2466</v>
      </c>
      <c r="B1932" s="11">
        <v>36849.0</v>
      </c>
    </row>
    <row r="1933">
      <c r="A1933" s="5" t="s">
        <v>2467</v>
      </c>
      <c r="B1933" s="28">
        <v>34357.0</v>
      </c>
    </row>
    <row r="1934">
      <c r="A1934" s="5" t="s">
        <v>2468</v>
      </c>
      <c r="B1934" s="11">
        <v>31579.0</v>
      </c>
    </row>
    <row r="1935">
      <c r="A1935" s="5" t="s">
        <v>2469</v>
      </c>
      <c r="B1935" s="11">
        <v>38279.0</v>
      </c>
    </row>
    <row r="1936">
      <c r="A1936" s="5" t="s">
        <v>999</v>
      </c>
      <c r="B1936" s="11">
        <v>4253.0</v>
      </c>
    </row>
    <row r="1937">
      <c r="A1937" s="5" t="s">
        <v>2470</v>
      </c>
      <c r="B1937" s="11">
        <v>4760.0</v>
      </c>
    </row>
    <row r="1938">
      <c r="A1938" s="5" t="s">
        <v>2471</v>
      </c>
      <c r="B1938" s="11">
        <v>4672.0</v>
      </c>
    </row>
    <row r="1939">
      <c r="A1939" s="5" t="s">
        <v>2472</v>
      </c>
      <c r="B1939" s="11">
        <v>42878.0</v>
      </c>
    </row>
    <row r="1940">
      <c r="A1940" s="5" t="s">
        <v>2473</v>
      </c>
      <c r="B1940" s="11">
        <v>4259.0</v>
      </c>
    </row>
    <row r="1941">
      <c r="A1941" s="5" t="s">
        <v>2474</v>
      </c>
      <c r="B1941" s="11">
        <v>3646.0</v>
      </c>
    </row>
    <row r="1942">
      <c r="A1942" s="5" t="s">
        <v>2475</v>
      </c>
      <c r="B1942" s="11">
        <v>38678.0</v>
      </c>
    </row>
    <row r="1943">
      <c r="A1943" s="5" t="s">
        <v>2476</v>
      </c>
      <c r="B1943" s="11">
        <v>21790.0</v>
      </c>
    </row>
    <row r="1944">
      <c r="A1944" s="5" t="s">
        <v>2478</v>
      </c>
      <c r="B1944" s="28">
        <v>5465.0</v>
      </c>
    </row>
    <row r="1945">
      <c r="A1945" s="5" t="s">
        <v>2479</v>
      </c>
      <c r="B1945" s="11">
        <v>51502.0</v>
      </c>
    </row>
    <row r="1946">
      <c r="A1946" s="5" t="s">
        <v>993</v>
      </c>
      <c r="B1946" s="11">
        <v>6206.0</v>
      </c>
    </row>
    <row r="1947">
      <c r="A1947" s="5" t="s">
        <v>2480</v>
      </c>
      <c r="B1947" s="11">
        <v>4877.0</v>
      </c>
    </row>
    <row r="1948">
      <c r="A1948" s="5" t="s">
        <v>187</v>
      </c>
      <c r="B1948" s="11">
        <v>4619.0</v>
      </c>
    </row>
    <row r="1949">
      <c r="A1949" s="5" t="s">
        <v>2481</v>
      </c>
      <c r="B1949" s="11">
        <v>4367.0</v>
      </c>
    </row>
    <row r="1950">
      <c r="A1950" s="5" t="s">
        <v>2482</v>
      </c>
      <c r="B1950" s="11">
        <v>5310.0</v>
      </c>
    </row>
    <row r="1951">
      <c r="A1951" s="5" t="s">
        <v>2483</v>
      </c>
      <c r="B1951" s="11">
        <v>20464.0</v>
      </c>
    </row>
    <row r="1952">
      <c r="A1952" s="5" t="s">
        <v>2484</v>
      </c>
      <c r="B1952" s="11">
        <v>4347.0</v>
      </c>
    </row>
    <row r="1953">
      <c r="A1953" s="5" t="s">
        <v>193</v>
      </c>
      <c r="B1953" s="11">
        <v>3703.0</v>
      </c>
    </row>
    <row r="1954">
      <c r="A1954" s="5" t="s">
        <v>2485</v>
      </c>
      <c r="B1954" s="11">
        <v>4725.0</v>
      </c>
    </row>
    <row r="1955">
      <c r="A1955" s="5" t="s">
        <v>2486</v>
      </c>
      <c r="B1955" s="11">
        <v>41344.0</v>
      </c>
    </row>
    <row r="1956">
      <c r="A1956" s="5" t="s">
        <v>2487</v>
      </c>
      <c r="B1956" s="11">
        <v>34111.0</v>
      </c>
    </row>
    <row r="1957">
      <c r="A1957" s="5" t="s">
        <v>2488</v>
      </c>
      <c r="B1957" s="11">
        <v>42512.0</v>
      </c>
    </row>
    <row r="1958">
      <c r="A1958" s="5" t="s">
        <v>2489</v>
      </c>
      <c r="B1958" s="11">
        <v>30480.0</v>
      </c>
    </row>
    <row r="1959">
      <c r="A1959" s="5" t="s">
        <v>2490</v>
      </c>
      <c r="B1959" s="11">
        <v>40569.0</v>
      </c>
    </row>
    <row r="1960">
      <c r="A1960" s="5" t="s">
        <v>2491</v>
      </c>
      <c r="B1960" s="11">
        <v>8518.0</v>
      </c>
    </row>
    <row r="1961">
      <c r="A1961" s="5" t="s">
        <v>2492</v>
      </c>
      <c r="B1961" s="11">
        <v>26260.0</v>
      </c>
    </row>
    <row r="1962">
      <c r="A1962" s="5" t="s">
        <v>2493</v>
      </c>
      <c r="B1962" s="11">
        <v>5466.0</v>
      </c>
    </row>
    <row r="1963">
      <c r="A1963" s="5" t="s">
        <v>2494</v>
      </c>
      <c r="B1963" s="11">
        <v>31504.0</v>
      </c>
    </row>
    <row r="1964">
      <c r="A1964" s="5" t="s">
        <v>2495</v>
      </c>
      <c r="B1964" s="11">
        <v>6517.0</v>
      </c>
    </row>
    <row r="1965">
      <c r="A1965" s="5" t="s">
        <v>2497</v>
      </c>
      <c r="B1965" s="11">
        <v>5281.0</v>
      </c>
    </row>
    <row r="1966">
      <c r="A1966" s="5" t="s">
        <v>2498</v>
      </c>
      <c r="B1966" s="11">
        <v>3507.0</v>
      </c>
    </row>
    <row r="1967">
      <c r="A1967" s="5" t="s">
        <v>2499</v>
      </c>
      <c r="B1967" s="11">
        <v>33795.0</v>
      </c>
    </row>
    <row r="1968">
      <c r="A1968" s="5" t="s">
        <v>2500</v>
      </c>
      <c r="B1968" s="11">
        <v>19882.0</v>
      </c>
    </row>
    <row r="1969">
      <c r="A1969" s="5" t="s">
        <v>2501</v>
      </c>
      <c r="B1969" s="11">
        <v>21746.0</v>
      </c>
    </row>
    <row r="1970">
      <c r="A1970" s="5" t="s">
        <v>2502</v>
      </c>
      <c r="B1970" s="11">
        <v>12511.0</v>
      </c>
    </row>
    <row r="1971">
      <c r="A1971" s="5" t="s">
        <v>2503</v>
      </c>
      <c r="B1971" s="11">
        <v>56582.0</v>
      </c>
    </row>
    <row r="1972">
      <c r="A1972" s="5" t="s">
        <v>2504</v>
      </c>
      <c r="B1972" s="11">
        <v>11629.0</v>
      </c>
    </row>
    <row r="1973">
      <c r="A1973" s="5" t="s">
        <v>2505</v>
      </c>
      <c r="B1973" s="11">
        <v>3696.0</v>
      </c>
    </row>
    <row r="1974">
      <c r="A1974" s="5" t="s">
        <v>2506</v>
      </c>
      <c r="B1974" s="11">
        <v>4556.0</v>
      </c>
    </row>
    <row r="1975">
      <c r="A1975" s="5" t="s">
        <v>2507</v>
      </c>
      <c r="B1975" s="11">
        <v>14146.0</v>
      </c>
    </row>
    <row r="1976">
      <c r="A1976" s="5" t="s">
        <v>1280</v>
      </c>
      <c r="B1976" s="11">
        <v>4099.0</v>
      </c>
    </row>
    <row r="1977">
      <c r="A1977" s="5" t="s">
        <v>2509</v>
      </c>
      <c r="B1977" s="11">
        <v>15578.0</v>
      </c>
    </row>
    <row r="1978">
      <c r="A1978" s="5" t="s">
        <v>2510</v>
      </c>
      <c r="B1978" s="11">
        <v>8712.0</v>
      </c>
    </row>
    <row r="1979">
      <c r="A1979" s="5" t="s">
        <v>2511</v>
      </c>
      <c r="B1979" s="11">
        <v>15090.0</v>
      </c>
    </row>
    <row r="1980">
      <c r="A1980" s="5" t="s">
        <v>2512</v>
      </c>
      <c r="B1980" s="11">
        <v>7898.0</v>
      </c>
    </row>
    <row r="1981">
      <c r="A1981" s="12" t="s">
        <v>2513</v>
      </c>
      <c r="B1981" s="11">
        <v>16692.0</v>
      </c>
    </row>
    <row r="1982">
      <c r="A1982" s="5" t="s">
        <v>199</v>
      </c>
      <c r="B1982" s="11">
        <v>4167.0</v>
      </c>
    </row>
    <row r="1983">
      <c r="A1983" s="12" t="s">
        <v>2514</v>
      </c>
      <c r="B1983" s="11">
        <v>6078.0</v>
      </c>
    </row>
    <row r="1984">
      <c r="A1984" s="12" t="s">
        <v>2515</v>
      </c>
      <c r="B1984" s="11">
        <v>4827.0</v>
      </c>
    </row>
    <row r="1985">
      <c r="A1985" s="12" t="s">
        <v>2516</v>
      </c>
      <c r="B1985" s="11">
        <v>4469.0</v>
      </c>
    </row>
    <row r="1986">
      <c r="A1986" s="12" t="s">
        <v>2517</v>
      </c>
      <c r="B1986" s="11">
        <v>6793.0</v>
      </c>
    </row>
    <row r="1987">
      <c r="A1987" s="12" t="s">
        <v>2518</v>
      </c>
      <c r="B1987" s="11">
        <v>3933.0</v>
      </c>
    </row>
    <row r="1988">
      <c r="A1988" s="5" t="s">
        <v>2519</v>
      </c>
      <c r="B1988" s="11">
        <v>7740.0</v>
      </c>
    </row>
    <row r="1989">
      <c r="A1989" s="5" t="s">
        <v>2520</v>
      </c>
      <c r="B1989" s="11">
        <v>8949.0</v>
      </c>
    </row>
    <row r="1990">
      <c r="A1990" s="5" t="s">
        <v>2521</v>
      </c>
      <c r="B1990" s="11">
        <v>10245.0</v>
      </c>
    </row>
    <row r="1991">
      <c r="A1991" s="5" t="s">
        <v>2522</v>
      </c>
      <c r="B1991" s="11">
        <v>8028.0</v>
      </c>
    </row>
    <row r="1992">
      <c r="A1992" s="5" t="s">
        <v>986</v>
      </c>
      <c r="B1992" s="11">
        <v>6653.0</v>
      </c>
    </row>
    <row r="1993">
      <c r="A1993" s="5" t="s">
        <v>2523</v>
      </c>
      <c r="B1993" s="11">
        <v>21690.0</v>
      </c>
    </row>
    <row r="1994">
      <c r="A1994" s="5" t="s">
        <v>2524</v>
      </c>
      <c r="B1994" s="11">
        <v>12466.0</v>
      </c>
    </row>
    <row r="1995">
      <c r="A1995" s="5" t="s">
        <v>203</v>
      </c>
      <c r="B1995" s="11">
        <v>4431.0</v>
      </c>
    </row>
    <row r="1996">
      <c r="A1996" s="5" t="s">
        <v>2525</v>
      </c>
      <c r="B1996" s="11">
        <v>6566.0</v>
      </c>
    </row>
    <row r="1997">
      <c r="A1997" s="5" t="s">
        <v>2526</v>
      </c>
      <c r="B1997" s="11">
        <v>5091.0</v>
      </c>
    </row>
    <row r="1998">
      <c r="A1998" s="5" t="s">
        <v>2527</v>
      </c>
      <c r="B1998" s="11">
        <v>38875.0</v>
      </c>
    </row>
    <row r="1999">
      <c r="A1999" s="5" t="s">
        <v>210</v>
      </c>
      <c r="B1999" s="11">
        <v>7608.0</v>
      </c>
    </row>
    <row r="2000">
      <c r="A2000" s="5" t="s">
        <v>2528</v>
      </c>
      <c r="B2000" s="11">
        <v>14907.0</v>
      </c>
    </row>
    <row r="2001">
      <c r="A2001" s="5" t="s">
        <v>2529</v>
      </c>
      <c r="B2001" s="11">
        <v>9638.0</v>
      </c>
    </row>
    <row r="2002">
      <c r="A2002" s="5" t="s">
        <v>2530</v>
      </c>
      <c r="B2002" s="11">
        <v>7551.0</v>
      </c>
    </row>
    <row r="2003">
      <c r="A2003" s="5" t="s">
        <v>2531</v>
      </c>
      <c r="B2003" s="11">
        <v>0.0</v>
      </c>
    </row>
    <row r="2004">
      <c r="A2004" s="5" t="s">
        <v>212</v>
      </c>
      <c r="B2004" s="11">
        <v>4134.0</v>
      </c>
    </row>
    <row r="2005">
      <c r="A2005" s="5" t="s">
        <v>2532</v>
      </c>
      <c r="B2005" s="11">
        <v>6345.0</v>
      </c>
    </row>
    <row r="2006">
      <c r="A2006" s="5" t="s">
        <v>2534</v>
      </c>
      <c r="B2006" s="11">
        <v>18243.0</v>
      </c>
    </row>
    <row r="2007">
      <c r="A2007" s="5" t="s">
        <v>2535</v>
      </c>
      <c r="B2007" s="11">
        <v>3193.0</v>
      </c>
    </row>
    <row r="2008">
      <c r="A2008" s="5" t="s">
        <v>2536</v>
      </c>
      <c r="B2008" s="11">
        <v>4619.0</v>
      </c>
    </row>
    <row r="2009">
      <c r="A2009" s="5" t="s">
        <v>2537</v>
      </c>
      <c r="B2009" s="11">
        <v>3439.0</v>
      </c>
    </row>
    <row r="2010">
      <c r="A2010" s="5" t="s">
        <v>2538</v>
      </c>
      <c r="B2010" s="11">
        <v>3142.0</v>
      </c>
    </row>
    <row r="2011">
      <c r="A2011" s="5" t="s">
        <v>2539</v>
      </c>
      <c r="B2011" s="11">
        <v>5633.0</v>
      </c>
    </row>
    <row r="2012">
      <c r="A2012" s="5" t="s">
        <v>664</v>
      </c>
      <c r="B2012" s="11">
        <v>8010.0</v>
      </c>
    </row>
    <row r="2013">
      <c r="A2013" s="5" t="s">
        <v>2540</v>
      </c>
      <c r="B2013" s="11">
        <v>18160.0</v>
      </c>
    </row>
    <row r="2014">
      <c r="A2014" s="5" t="s">
        <v>2541</v>
      </c>
      <c r="B2014" s="11">
        <v>24970.0</v>
      </c>
    </row>
    <row r="2015">
      <c r="A2015" s="5" t="s">
        <v>2542</v>
      </c>
      <c r="B2015" s="11">
        <v>6311.0</v>
      </c>
    </row>
    <row r="2016">
      <c r="A2016" s="5" t="s">
        <v>1531</v>
      </c>
      <c r="B2016" s="11">
        <v>4517.0</v>
      </c>
    </row>
    <row r="2017">
      <c r="A2017" s="5" t="s">
        <v>2543</v>
      </c>
      <c r="B2017" s="11">
        <v>12686.0</v>
      </c>
    </row>
    <row r="2018">
      <c r="A2018" s="5" t="s">
        <v>2544</v>
      </c>
      <c r="B2018" s="11">
        <v>3548.0</v>
      </c>
    </row>
    <row r="2019">
      <c r="A2019" s="5" t="s">
        <v>2545</v>
      </c>
      <c r="B2019" s="11">
        <v>25133.0</v>
      </c>
    </row>
    <row r="2020">
      <c r="A2020" s="5" t="s">
        <v>2546</v>
      </c>
      <c r="B2020" s="11">
        <v>20522.0</v>
      </c>
    </row>
    <row r="2021">
      <c r="A2021" s="5" t="s">
        <v>2547</v>
      </c>
      <c r="B2021" s="11">
        <v>25875.0</v>
      </c>
    </row>
    <row r="2022">
      <c r="A2022" s="5" t="s">
        <v>2548</v>
      </c>
      <c r="B2022" s="11">
        <v>10805.0</v>
      </c>
    </row>
    <row r="2023">
      <c r="A2023" s="5" t="s">
        <v>2549</v>
      </c>
      <c r="B2023" s="11">
        <v>7424.0</v>
      </c>
    </row>
    <row r="2024">
      <c r="A2024" s="5" t="s">
        <v>2550</v>
      </c>
      <c r="B2024" s="11">
        <v>6776.0</v>
      </c>
    </row>
    <row r="2025">
      <c r="A2025" s="5" t="s">
        <v>2551</v>
      </c>
      <c r="B2025" s="11">
        <v>6527.0</v>
      </c>
    </row>
    <row r="2026">
      <c r="A2026" s="5" t="s">
        <v>756</v>
      </c>
      <c r="B2026" s="11">
        <v>7380.0</v>
      </c>
    </row>
    <row r="2027">
      <c r="A2027" s="5" t="s">
        <v>2552</v>
      </c>
      <c r="B2027" s="28">
        <v>19705.0</v>
      </c>
    </row>
    <row r="2028">
      <c r="A2028" s="5" t="s">
        <v>2553</v>
      </c>
      <c r="B2028" s="11">
        <v>3817.0</v>
      </c>
    </row>
    <row r="2029">
      <c r="A2029" s="5" t="s">
        <v>2554</v>
      </c>
      <c r="B2029" s="11">
        <v>16596.0</v>
      </c>
    </row>
    <row r="2030">
      <c r="A2030" s="5" t="s">
        <v>2555</v>
      </c>
      <c r="B2030" s="11">
        <v>5757.0</v>
      </c>
    </row>
    <row r="2031">
      <c r="A2031" s="5" t="s">
        <v>2556</v>
      </c>
      <c r="B2031" s="11">
        <v>33269.0</v>
      </c>
    </row>
    <row r="2032">
      <c r="A2032" s="5" t="s">
        <v>2557</v>
      </c>
      <c r="B2032" s="11">
        <v>12741.0</v>
      </c>
    </row>
    <row r="2033">
      <c r="A2033" s="5" t="s">
        <v>2558</v>
      </c>
      <c r="B2033" s="11">
        <v>5986.0</v>
      </c>
    </row>
    <row r="2034">
      <c r="A2034" s="5" t="s">
        <v>2559</v>
      </c>
      <c r="B2034" s="11">
        <v>12085.0</v>
      </c>
    </row>
    <row r="2035">
      <c r="A2035" s="5" t="s">
        <v>2560</v>
      </c>
      <c r="B2035" s="11">
        <v>6008.0</v>
      </c>
    </row>
    <row r="2036">
      <c r="A2036" s="5" t="s">
        <v>2561</v>
      </c>
      <c r="B2036" s="11">
        <v>22330.0</v>
      </c>
    </row>
    <row r="2037">
      <c r="A2037" s="5" t="s">
        <v>2562</v>
      </c>
      <c r="B2037" s="11">
        <v>0.0</v>
      </c>
    </row>
    <row r="2038">
      <c r="A2038" s="5" t="s">
        <v>2563</v>
      </c>
      <c r="B2038" s="11">
        <v>10385.0</v>
      </c>
    </row>
    <row r="2039">
      <c r="A2039" s="5" t="s">
        <v>2564</v>
      </c>
      <c r="B2039" s="11">
        <v>14340.0</v>
      </c>
    </row>
    <row r="2040">
      <c r="A2040" s="5" t="s">
        <v>2565</v>
      </c>
      <c r="B2040" s="11">
        <v>2248.0</v>
      </c>
    </row>
    <row r="2041">
      <c r="A2041" s="5" t="s">
        <v>2566</v>
      </c>
      <c r="B2041" s="11">
        <v>30805.0</v>
      </c>
    </row>
    <row r="2042">
      <c r="A2042" s="5" t="s">
        <v>2567</v>
      </c>
      <c r="B2042" s="11">
        <v>123220.0</v>
      </c>
    </row>
    <row r="2043">
      <c r="A2043" s="5" t="s">
        <v>2568</v>
      </c>
      <c r="B2043" s="11">
        <v>38018.0</v>
      </c>
    </row>
    <row r="2044">
      <c r="A2044" s="5" t="s">
        <v>2569</v>
      </c>
      <c r="B2044" s="11">
        <v>11906.0</v>
      </c>
    </row>
    <row r="2045">
      <c r="A2045" s="5" t="s">
        <v>2570</v>
      </c>
      <c r="B2045" s="11">
        <v>83372.0</v>
      </c>
    </row>
    <row r="2046">
      <c r="A2046" s="5" t="s">
        <v>2571</v>
      </c>
      <c r="B2046" s="11">
        <v>8219.0</v>
      </c>
    </row>
    <row r="2047">
      <c r="A2047" s="12" t="s">
        <v>2572</v>
      </c>
      <c r="B2047" s="11">
        <v>6974.0</v>
      </c>
    </row>
    <row r="2048">
      <c r="A2048" s="5" t="s">
        <v>2573</v>
      </c>
      <c r="B2048" s="11">
        <v>11551.0</v>
      </c>
    </row>
    <row r="2049">
      <c r="A2049" s="12" t="s">
        <v>2574</v>
      </c>
      <c r="B2049" s="11">
        <v>57677.0</v>
      </c>
    </row>
    <row r="2050">
      <c r="A2050" s="12" t="s">
        <v>2575</v>
      </c>
      <c r="B2050" s="11">
        <v>29076.0</v>
      </c>
    </row>
    <row r="2051">
      <c r="A2051" s="5" t="s">
        <v>2576</v>
      </c>
      <c r="B2051" s="28">
        <v>17200.0</v>
      </c>
    </row>
    <row r="2052">
      <c r="A2052" s="5" t="s">
        <v>2578</v>
      </c>
      <c r="B2052" s="11">
        <v>7332.0</v>
      </c>
    </row>
    <row r="2053">
      <c r="A2053" s="5" t="s">
        <v>2579</v>
      </c>
      <c r="B2053" s="11">
        <v>545212.0</v>
      </c>
    </row>
    <row r="2054">
      <c r="A2054" s="5" t="s">
        <v>2581</v>
      </c>
      <c r="B2054" s="11">
        <v>9414.0</v>
      </c>
    </row>
    <row r="2055">
      <c r="A2055" s="12" t="s">
        <v>2582</v>
      </c>
      <c r="B2055" s="11">
        <v>11114.0</v>
      </c>
    </row>
    <row r="2056">
      <c r="A2056" s="5" t="s">
        <v>2583</v>
      </c>
      <c r="B2056" s="11">
        <v>8430.0</v>
      </c>
    </row>
    <row r="2057">
      <c r="A2057" s="5" t="s">
        <v>2584</v>
      </c>
      <c r="B2057" s="11">
        <v>8205.0</v>
      </c>
    </row>
    <row r="2058">
      <c r="A2058" s="5" t="s">
        <v>2585</v>
      </c>
      <c r="B2058" s="11">
        <v>12126.0</v>
      </c>
    </row>
    <row r="2059">
      <c r="A2059" s="12" t="s">
        <v>2586</v>
      </c>
      <c r="B2059" s="11">
        <v>40037.0</v>
      </c>
    </row>
    <row r="2060">
      <c r="A2060" s="12" t="s">
        <v>2587</v>
      </c>
      <c r="B2060" s="11">
        <v>72796.0</v>
      </c>
    </row>
    <row r="2061">
      <c r="A2061" s="5" t="s">
        <v>2588</v>
      </c>
      <c r="B2061" s="11">
        <v>21299.0</v>
      </c>
    </row>
    <row r="2062">
      <c r="A2062" s="5" t="s">
        <v>2589</v>
      </c>
      <c r="B2062" s="11">
        <v>12164.0</v>
      </c>
    </row>
    <row r="2063">
      <c r="A2063" s="5" t="s">
        <v>2590</v>
      </c>
      <c r="B2063" s="11">
        <v>6667.0</v>
      </c>
    </row>
    <row r="2064">
      <c r="A2064" s="5" t="s">
        <v>2593</v>
      </c>
      <c r="B2064" s="11">
        <v>4513.0</v>
      </c>
    </row>
    <row r="2065">
      <c r="A2065" s="5" t="s">
        <v>2594</v>
      </c>
      <c r="B2065" s="11">
        <v>26911.0</v>
      </c>
    </row>
    <row r="2066">
      <c r="A2066" s="5" t="s">
        <v>2595</v>
      </c>
      <c r="B2066" s="11">
        <v>0.0</v>
      </c>
    </row>
    <row r="2067">
      <c r="A2067" s="5" t="s">
        <v>2596</v>
      </c>
      <c r="B2067" s="11">
        <v>12322.0</v>
      </c>
    </row>
    <row r="2068">
      <c r="A2068" s="12" t="s">
        <v>2597</v>
      </c>
      <c r="B2068" s="11">
        <v>22459.0</v>
      </c>
    </row>
    <row r="2069">
      <c r="A2069" s="5" t="s">
        <v>2598</v>
      </c>
      <c r="B2069" s="11">
        <v>39633.0</v>
      </c>
    </row>
    <row r="2070">
      <c r="A2070" s="5" t="s">
        <v>2599</v>
      </c>
      <c r="B2070" s="11">
        <v>29995.0</v>
      </c>
    </row>
    <row r="2071">
      <c r="A2071" s="5" t="s">
        <v>2600</v>
      </c>
      <c r="B2071" s="11">
        <v>45311.0</v>
      </c>
    </row>
    <row r="2072">
      <c r="A2072" s="5" t="s">
        <v>2601</v>
      </c>
      <c r="B2072" s="11">
        <v>14387.0</v>
      </c>
    </row>
    <row r="2073">
      <c r="A2073" s="5" t="s">
        <v>2602</v>
      </c>
      <c r="B2073" s="11">
        <v>52771.0</v>
      </c>
    </row>
    <row r="2074">
      <c r="A2074" s="5" t="s">
        <v>2603</v>
      </c>
      <c r="B2074" s="11">
        <v>9709.0</v>
      </c>
    </row>
    <row r="2075">
      <c r="A2075" s="5" t="s">
        <v>2604</v>
      </c>
      <c r="B2075" s="11">
        <v>22468.0</v>
      </c>
    </row>
    <row r="2076">
      <c r="A2076" s="5" t="s">
        <v>2605</v>
      </c>
      <c r="B2076" s="11">
        <v>10946.0</v>
      </c>
    </row>
    <row r="2077">
      <c r="A2077" s="5" t="s">
        <v>2606</v>
      </c>
      <c r="B2077" s="11">
        <v>9234.0</v>
      </c>
    </row>
    <row r="2078">
      <c r="A2078" s="5" t="s">
        <v>2607</v>
      </c>
      <c r="B2078" s="11">
        <v>118488.0</v>
      </c>
    </row>
    <row r="2079">
      <c r="A2079" s="5" t="s">
        <v>2608</v>
      </c>
      <c r="B2079" s="11">
        <v>426557.0</v>
      </c>
    </row>
    <row r="2080">
      <c r="A2080" s="5" t="s">
        <v>2609</v>
      </c>
      <c r="B2080" s="11">
        <v>3259.0</v>
      </c>
    </row>
    <row r="2081">
      <c r="A2081" s="5" t="s">
        <v>2610</v>
      </c>
      <c r="B2081" s="11">
        <v>4079.0</v>
      </c>
    </row>
    <row r="2082">
      <c r="A2082" s="5" t="s">
        <v>914</v>
      </c>
      <c r="B2082" s="11">
        <v>50229.0</v>
      </c>
    </row>
    <row r="2083">
      <c r="A2083" s="5" t="s">
        <v>2611</v>
      </c>
      <c r="B2083" s="11">
        <v>35036.0</v>
      </c>
    </row>
    <row r="2084">
      <c r="A2084" s="5" t="s">
        <v>2612</v>
      </c>
      <c r="B2084" s="11">
        <v>58821.0</v>
      </c>
    </row>
    <row r="2085">
      <c r="A2085" s="5" t="s">
        <v>2613</v>
      </c>
      <c r="B2085" s="11">
        <v>4121.0</v>
      </c>
    </row>
    <row r="2086">
      <c r="A2086" s="5" t="s">
        <v>2614</v>
      </c>
      <c r="B2086" s="11">
        <v>2119.0</v>
      </c>
    </row>
    <row r="2087">
      <c r="A2087" s="5" t="s">
        <v>2615</v>
      </c>
      <c r="B2087" s="11">
        <v>4200.0</v>
      </c>
    </row>
    <row r="2088">
      <c r="A2088" s="5" t="s">
        <v>2616</v>
      </c>
      <c r="B2088" s="11">
        <v>2753.0</v>
      </c>
    </row>
    <row r="2089">
      <c r="A2089" s="5" t="s">
        <v>2617</v>
      </c>
      <c r="B2089" s="11">
        <v>31049.0</v>
      </c>
    </row>
    <row r="2090">
      <c r="A2090" s="5" t="s">
        <v>2618</v>
      </c>
      <c r="B2090" s="11">
        <v>5971.0</v>
      </c>
    </row>
    <row r="2091">
      <c r="A2091" s="5" t="s">
        <v>2619</v>
      </c>
      <c r="B2091" s="11">
        <v>6226.0</v>
      </c>
    </row>
    <row r="2092">
      <c r="A2092" s="5" t="s">
        <v>2620</v>
      </c>
      <c r="B2092" s="11">
        <v>5521.0</v>
      </c>
    </row>
    <row r="2093">
      <c r="A2093" s="5" t="s">
        <v>2621</v>
      </c>
      <c r="B2093" s="11">
        <v>1815.0</v>
      </c>
    </row>
    <row r="2094">
      <c r="A2094" s="5" t="s">
        <v>2622</v>
      </c>
      <c r="B2094" s="11">
        <v>3630.0</v>
      </c>
    </row>
    <row r="2095">
      <c r="A2095" s="5" t="s">
        <v>2623</v>
      </c>
      <c r="B2095" s="11">
        <v>3149.0</v>
      </c>
    </row>
    <row r="2096">
      <c r="A2096" s="5" t="s">
        <v>2624</v>
      </c>
      <c r="B2096" s="11">
        <v>2139.0</v>
      </c>
    </row>
    <row r="2097">
      <c r="A2097" s="12" t="s">
        <v>2626</v>
      </c>
      <c r="B2097" s="11">
        <v>1508.0</v>
      </c>
    </row>
    <row r="2098">
      <c r="A2098" s="12" t="s">
        <v>2627</v>
      </c>
      <c r="B2098" s="11">
        <v>2428.0</v>
      </c>
    </row>
    <row r="2099">
      <c r="A2099" s="5" t="s">
        <v>2628</v>
      </c>
      <c r="B2099" s="11">
        <v>32044.0</v>
      </c>
    </row>
    <row r="2100">
      <c r="A2100" s="12" t="s">
        <v>2629</v>
      </c>
      <c r="B2100" s="11">
        <v>3073.0</v>
      </c>
    </row>
    <row r="2101">
      <c r="A2101" s="5" t="s">
        <v>2630</v>
      </c>
      <c r="B2101" s="11">
        <v>54084.0</v>
      </c>
    </row>
    <row r="2102">
      <c r="A2102" s="12" t="s">
        <v>2631</v>
      </c>
      <c r="B2102" s="28">
        <v>1562.0</v>
      </c>
    </row>
    <row r="2103">
      <c r="A2103" s="5" t="s">
        <v>2632</v>
      </c>
      <c r="B2103" s="11">
        <v>1563.0</v>
      </c>
    </row>
    <row r="2104">
      <c r="A2104" s="12" t="s">
        <v>2633</v>
      </c>
      <c r="B2104" s="11">
        <v>2986.0</v>
      </c>
    </row>
    <row r="2105">
      <c r="A2105" s="5" t="s">
        <v>2634</v>
      </c>
      <c r="B2105" s="11">
        <v>13131.0</v>
      </c>
    </row>
    <row r="2106">
      <c r="A2106" s="5" t="s">
        <v>2635</v>
      </c>
      <c r="B2106" s="11">
        <v>3268.0</v>
      </c>
    </row>
    <row r="2107">
      <c r="A2107" s="5" t="s">
        <v>2636</v>
      </c>
      <c r="B2107" s="11">
        <v>294825.0</v>
      </c>
    </row>
    <row r="2108">
      <c r="A2108" s="12" t="s">
        <v>2637</v>
      </c>
      <c r="B2108" s="11">
        <v>10088.0</v>
      </c>
    </row>
    <row r="2109">
      <c r="A2109" s="12" t="s">
        <v>2638</v>
      </c>
      <c r="B2109" s="11">
        <v>10793.0</v>
      </c>
    </row>
    <row r="2110">
      <c r="A2110" s="12" t="s">
        <v>2639</v>
      </c>
      <c r="B2110" s="11">
        <v>10088.0</v>
      </c>
    </row>
    <row r="2111">
      <c r="A2111" s="12" t="s">
        <v>2640</v>
      </c>
      <c r="B2111" s="11">
        <v>15669.0</v>
      </c>
    </row>
    <row r="2112">
      <c r="A2112" s="12" t="s">
        <v>2641</v>
      </c>
      <c r="B2112" s="11">
        <v>18670.0</v>
      </c>
    </row>
    <row r="2113">
      <c r="A2113" s="12" t="s">
        <v>2642</v>
      </c>
      <c r="B2113" s="11">
        <v>10793.0</v>
      </c>
    </row>
    <row r="2114">
      <c r="A2114" s="12" t="s">
        <v>2643</v>
      </c>
      <c r="B2114" s="11">
        <v>11950.0</v>
      </c>
    </row>
    <row r="2115">
      <c r="A2115" s="5" t="s">
        <v>2644</v>
      </c>
      <c r="B2115" s="11">
        <v>8273.0</v>
      </c>
    </row>
    <row r="2116">
      <c r="A2116" s="5" t="s">
        <v>2645</v>
      </c>
      <c r="B2116" s="11">
        <v>0.0</v>
      </c>
    </row>
    <row r="2117">
      <c r="A2117" s="5" t="s">
        <v>2646</v>
      </c>
      <c r="B2117" s="11">
        <v>0.0</v>
      </c>
    </row>
    <row r="2118">
      <c r="A2118" s="5" t="s">
        <v>2647</v>
      </c>
      <c r="B2118" s="11">
        <v>0.0</v>
      </c>
    </row>
    <row r="2119">
      <c r="A2119" s="5" t="s">
        <v>2648</v>
      </c>
      <c r="B2119" s="11">
        <v>0.0</v>
      </c>
    </row>
    <row r="2120">
      <c r="A2120" s="5" t="s">
        <v>2649</v>
      </c>
      <c r="B2120" s="11">
        <v>0.0</v>
      </c>
    </row>
    <row r="2121">
      <c r="A2121" s="12" t="s">
        <v>218</v>
      </c>
      <c r="B2121" s="11">
        <v>2072.0</v>
      </c>
    </row>
    <row r="2122">
      <c r="A2122" s="12" t="s">
        <v>221</v>
      </c>
      <c r="B2122" s="11">
        <v>2286.0</v>
      </c>
    </row>
    <row r="2123">
      <c r="A2123" s="12" t="s">
        <v>224</v>
      </c>
      <c r="B2123" s="11">
        <v>2575.0</v>
      </c>
    </row>
    <row r="2124">
      <c r="A2124" s="12" t="s">
        <v>262</v>
      </c>
      <c r="B2124" s="11">
        <v>2888.0</v>
      </c>
    </row>
    <row r="2125">
      <c r="A2125" s="12" t="s">
        <v>265</v>
      </c>
      <c r="B2125" s="11">
        <v>3899.0</v>
      </c>
    </row>
    <row r="2126">
      <c r="A2126" s="12" t="s">
        <v>228</v>
      </c>
      <c r="B2126" s="11">
        <v>2369.0</v>
      </c>
    </row>
    <row r="2127">
      <c r="A2127" s="12" t="s">
        <v>272</v>
      </c>
      <c r="B2127" s="11">
        <v>4893.0</v>
      </c>
    </row>
    <row r="2128">
      <c r="A2128" s="5" t="s">
        <v>2650</v>
      </c>
      <c r="B2128" s="11">
        <v>0.0</v>
      </c>
    </row>
    <row r="2129">
      <c r="A2129" s="5" t="s">
        <v>2651</v>
      </c>
      <c r="B2129" s="11">
        <v>5679.0</v>
      </c>
    </row>
    <row r="2130">
      <c r="A2130" s="5" t="s">
        <v>2652</v>
      </c>
      <c r="B2130" s="11">
        <v>9893.0</v>
      </c>
    </row>
    <row r="2131">
      <c r="A2131" s="5" t="s">
        <v>2653</v>
      </c>
      <c r="B2131" s="11">
        <v>15150.0</v>
      </c>
    </row>
    <row r="2132">
      <c r="A2132" s="5" t="s">
        <v>2654</v>
      </c>
      <c r="B2132" s="11">
        <v>7681.0</v>
      </c>
    </row>
    <row r="2133">
      <c r="A2133" s="5" t="s">
        <v>2655</v>
      </c>
      <c r="B2133" s="11">
        <v>4803.0</v>
      </c>
    </row>
    <row r="2134">
      <c r="A2134" s="5" t="s">
        <v>1283</v>
      </c>
      <c r="B2134" s="11">
        <v>7732.0</v>
      </c>
    </row>
    <row r="2135">
      <c r="A2135" s="5" t="s">
        <v>2656</v>
      </c>
      <c r="B2135" s="11">
        <v>10115.0</v>
      </c>
    </row>
    <row r="2136">
      <c r="A2136" s="5" t="s">
        <v>2657</v>
      </c>
      <c r="B2136" s="11">
        <v>6580.0</v>
      </c>
    </row>
    <row r="2137">
      <c r="A2137" s="5" t="s">
        <v>2658</v>
      </c>
      <c r="B2137" s="11">
        <v>11538.0</v>
      </c>
    </row>
    <row r="2138">
      <c r="A2138" s="5" t="s">
        <v>2659</v>
      </c>
      <c r="B2138" s="11">
        <v>6593.0</v>
      </c>
    </row>
    <row r="2139">
      <c r="A2139" s="5" t="s">
        <v>2660</v>
      </c>
      <c r="B2139" s="11">
        <v>3634.0</v>
      </c>
    </row>
    <row r="2140">
      <c r="A2140" s="5" t="s">
        <v>2661</v>
      </c>
      <c r="B2140" s="11">
        <v>0.0</v>
      </c>
    </row>
    <row r="2141">
      <c r="A2141" s="12" t="s">
        <v>2662</v>
      </c>
      <c r="B2141" s="11">
        <v>15254.0</v>
      </c>
    </row>
    <row r="2142">
      <c r="A2142" s="12" t="s">
        <v>2663</v>
      </c>
      <c r="B2142" s="11">
        <v>14510.0</v>
      </c>
    </row>
    <row r="2143">
      <c r="A2143" s="5" t="s">
        <v>2664</v>
      </c>
      <c r="B2143" s="11">
        <v>10903.0</v>
      </c>
    </row>
    <row r="2144">
      <c r="A2144" s="5" t="s">
        <v>2665</v>
      </c>
      <c r="B2144" s="11">
        <v>24733.0</v>
      </c>
    </row>
    <row r="2145">
      <c r="A2145" s="5" t="s">
        <v>2666</v>
      </c>
      <c r="B2145" s="11">
        <v>17852.0</v>
      </c>
    </row>
    <row r="2146">
      <c r="A2146" s="5" t="s">
        <v>2667</v>
      </c>
      <c r="B2146" s="11">
        <v>28838.0</v>
      </c>
    </row>
    <row r="2147">
      <c r="A2147" s="5" t="s">
        <v>2668</v>
      </c>
      <c r="B2147" s="11">
        <v>11104.0</v>
      </c>
    </row>
    <row r="2148">
      <c r="A2148" s="5" t="s">
        <v>2669</v>
      </c>
      <c r="B2148" s="11">
        <v>25191.0</v>
      </c>
    </row>
    <row r="2149">
      <c r="A2149" s="5" t="s">
        <v>2670</v>
      </c>
      <c r="B2149" s="11">
        <v>18183.0</v>
      </c>
    </row>
    <row r="2150">
      <c r="A2150" s="5" t="s">
        <v>2671</v>
      </c>
      <c r="B2150" s="11">
        <v>29372.0</v>
      </c>
    </row>
    <row r="2151">
      <c r="A2151" s="5" t="s">
        <v>2672</v>
      </c>
      <c r="B2151" s="11">
        <v>8937.0</v>
      </c>
    </row>
    <row r="2152">
      <c r="A2152" s="5" t="s">
        <v>2673</v>
      </c>
      <c r="B2152" s="11">
        <v>0.0</v>
      </c>
    </row>
    <row r="2153">
      <c r="A2153" s="5" t="s">
        <v>2674</v>
      </c>
      <c r="B2153" s="11">
        <v>10085.0</v>
      </c>
    </row>
    <row r="2154">
      <c r="A2154" s="5" t="s">
        <v>2675</v>
      </c>
      <c r="B2154" s="11">
        <v>5652.0</v>
      </c>
    </row>
    <row r="2155">
      <c r="A2155" s="5" t="s">
        <v>2677</v>
      </c>
      <c r="B2155" s="11">
        <v>6573.0</v>
      </c>
    </row>
    <row r="2156">
      <c r="A2156" s="12" t="s">
        <v>2678</v>
      </c>
      <c r="B2156" s="11">
        <v>6516.0</v>
      </c>
    </row>
    <row r="2157">
      <c r="A2157" s="12" t="s">
        <v>2679</v>
      </c>
      <c r="B2157" s="11">
        <v>6508.0</v>
      </c>
    </row>
    <row r="2158">
      <c r="A2158" s="5" t="s">
        <v>2680</v>
      </c>
      <c r="B2158" s="11">
        <v>7702.0</v>
      </c>
    </row>
    <row r="2159">
      <c r="A2159" s="12" t="s">
        <v>2681</v>
      </c>
      <c r="B2159" s="11">
        <v>7187.0</v>
      </c>
    </row>
    <row r="2160">
      <c r="A2160" s="12" t="s">
        <v>2682</v>
      </c>
      <c r="B2160" s="11">
        <v>6962.0</v>
      </c>
    </row>
    <row r="2161">
      <c r="A2161" s="5" t="s">
        <v>2683</v>
      </c>
      <c r="B2161" s="11">
        <v>4441.0</v>
      </c>
    </row>
    <row r="2162">
      <c r="A2162" s="5" t="s">
        <v>2684</v>
      </c>
      <c r="B2162" s="11">
        <v>13487.0</v>
      </c>
    </row>
    <row r="2163">
      <c r="A2163" s="5" t="s">
        <v>2685</v>
      </c>
      <c r="B2163" s="11">
        <v>2752.0</v>
      </c>
    </row>
    <row r="2164">
      <c r="A2164" s="5" t="s">
        <v>2686</v>
      </c>
      <c r="B2164" s="11">
        <v>4028.0</v>
      </c>
    </row>
    <row r="2165">
      <c r="A2165" s="5" t="s">
        <v>2687</v>
      </c>
      <c r="B2165" s="11">
        <v>1560.0</v>
      </c>
    </row>
    <row r="2166">
      <c r="A2166" s="5" t="s">
        <v>2688</v>
      </c>
      <c r="B2166" s="11">
        <v>1740.0</v>
      </c>
    </row>
    <row r="2167">
      <c r="A2167" s="5" t="s">
        <v>2689</v>
      </c>
      <c r="B2167" s="11">
        <v>1952.0</v>
      </c>
    </row>
    <row r="2168">
      <c r="A2168" s="5" t="s">
        <v>2690</v>
      </c>
      <c r="B2168" s="11">
        <v>2635.0</v>
      </c>
    </row>
    <row r="2169">
      <c r="A2169" s="5" t="s">
        <v>2691</v>
      </c>
      <c r="B2169" s="11">
        <v>3307.0</v>
      </c>
    </row>
    <row r="2170">
      <c r="A2170" s="5" t="s">
        <v>2692</v>
      </c>
      <c r="B2170" s="11">
        <v>1601.0</v>
      </c>
    </row>
    <row r="2171">
      <c r="A2171" s="5" t="s">
        <v>2693</v>
      </c>
      <c r="B2171" s="11">
        <v>3780.0</v>
      </c>
    </row>
    <row r="2172">
      <c r="A2172" s="5" t="s">
        <v>2694</v>
      </c>
      <c r="B2172" s="11">
        <v>11572.0</v>
      </c>
    </row>
    <row r="2173">
      <c r="A2173" s="5" t="s">
        <v>2695</v>
      </c>
      <c r="B2173" s="11">
        <v>8369.0</v>
      </c>
    </row>
    <row r="2174">
      <c r="A2174" s="5" t="s">
        <v>2696</v>
      </c>
      <c r="B2174" s="11">
        <v>8417.0</v>
      </c>
    </row>
    <row r="2175">
      <c r="A2175" s="5" t="s">
        <v>2697</v>
      </c>
      <c r="B2175" s="11">
        <v>14222.0</v>
      </c>
    </row>
    <row r="2176">
      <c r="A2176" s="5" t="s">
        <v>2698</v>
      </c>
      <c r="B2176" s="11">
        <v>21948.0</v>
      </c>
    </row>
    <row r="2177">
      <c r="A2177" s="5" t="s">
        <v>2699</v>
      </c>
      <c r="B2177" s="11">
        <v>4606.0</v>
      </c>
    </row>
    <row r="2178">
      <c r="A2178" s="5" t="s">
        <v>2700</v>
      </c>
      <c r="B2178" s="11">
        <v>44709.0</v>
      </c>
    </row>
    <row r="2179">
      <c r="A2179" s="5" t="s">
        <v>2701</v>
      </c>
      <c r="B2179" s="11">
        <v>20249.0</v>
      </c>
    </row>
    <row r="2180">
      <c r="A2180" s="5" t="s">
        <v>2702</v>
      </c>
      <c r="B2180" s="11">
        <v>4865.0</v>
      </c>
    </row>
    <row r="2181">
      <c r="A2181" s="5" t="s">
        <v>2703</v>
      </c>
      <c r="B2181" s="11">
        <v>32600.0</v>
      </c>
    </row>
    <row r="2182">
      <c r="A2182" s="5" t="s">
        <v>2704</v>
      </c>
      <c r="B2182" s="11">
        <v>7063.0</v>
      </c>
    </row>
    <row r="2183">
      <c r="A2183" s="5" t="s">
        <v>2705</v>
      </c>
      <c r="B2183" s="11">
        <v>15006.0</v>
      </c>
    </row>
    <row r="2184">
      <c r="A2184" s="5" t="s">
        <v>2706</v>
      </c>
      <c r="B2184" s="11">
        <v>4935.0</v>
      </c>
    </row>
    <row r="2185">
      <c r="A2185" s="5" t="s">
        <v>2707</v>
      </c>
      <c r="B2185" s="11">
        <v>2527.0</v>
      </c>
    </row>
    <row r="2186">
      <c r="A2186" s="5" t="s">
        <v>2708</v>
      </c>
      <c r="B2186" s="11">
        <v>2657.0</v>
      </c>
    </row>
    <row r="2187">
      <c r="A2187" s="5" t="s">
        <v>2709</v>
      </c>
      <c r="B2187" s="11">
        <v>2868.0</v>
      </c>
    </row>
    <row r="2188">
      <c r="A2188" s="5" t="s">
        <v>2710</v>
      </c>
      <c r="B2188" s="11">
        <v>2740.0</v>
      </c>
    </row>
    <row r="2189">
      <c r="A2189" s="5" t="s">
        <v>2711</v>
      </c>
      <c r="B2189" s="11">
        <v>7740.0</v>
      </c>
    </row>
    <row r="2190">
      <c r="A2190" s="5" t="s">
        <v>2712</v>
      </c>
      <c r="B2190" s="11">
        <v>3411.0</v>
      </c>
    </row>
    <row r="2191">
      <c r="A2191" s="5" t="s">
        <v>2713</v>
      </c>
      <c r="B2191" s="11">
        <v>13631.0</v>
      </c>
    </row>
    <row r="2192">
      <c r="A2192" s="5" t="s">
        <v>2714</v>
      </c>
      <c r="B2192" s="11">
        <v>4512.0</v>
      </c>
    </row>
    <row r="2193">
      <c r="A2193" s="5" t="s">
        <v>2715</v>
      </c>
      <c r="B2193" s="11">
        <v>33189.0</v>
      </c>
    </row>
    <row r="2194">
      <c r="A2194" s="5" t="s">
        <v>2716</v>
      </c>
      <c r="B2194" s="11">
        <v>7140.0</v>
      </c>
    </row>
    <row r="2195">
      <c r="A2195" s="5" t="s">
        <v>2717</v>
      </c>
      <c r="B2195" s="11">
        <v>37824.0</v>
      </c>
    </row>
    <row r="2196">
      <c r="A2196" s="5" t="s">
        <v>2718</v>
      </c>
      <c r="B2196" s="11">
        <v>15465.0</v>
      </c>
    </row>
    <row r="2197">
      <c r="A2197" s="5" t="s">
        <v>2719</v>
      </c>
      <c r="B2197" s="11">
        <v>9293.0</v>
      </c>
    </row>
    <row r="2198">
      <c r="A2198" s="5" t="s">
        <v>2720</v>
      </c>
      <c r="B2198" s="11">
        <v>9232.0</v>
      </c>
    </row>
    <row r="2199">
      <c r="A2199" s="5" t="s">
        <v>2721</v>
      </c>
      <c r="B2199" s="11">
        <v>7572.0</v>
      </c>
    </row>
    <row r="2200">
      <c r="A2200" s="5" t="s">
        <v>2722</v>
      </c>
      <c r="B2200" s="11">
        <v>3879.0</v>
      </c>
    </row>
    <row r="2201">
      <c r="A2201" s="5" t="s">
        <v>2723</v>
      </c>
      <c r="B2201" s="11">
        <v>5793.0</v>
      </c>
    </row>
    <row r="2202">
      <c r="A2202" s="5" t="s">
        <v>2724</v>
      </c>
      <c r="B2202" s="11">
        <v>23549.0</v>
      </c>
    </row>
    <row r="2203">
      <c r="A2203" s="5" t="s">
        <v>2725</v>
      </c>
      <c r="B2203" s="11">
        <v>29977.0</v>
      </c>
    </row>
    <row r="2204">
      <c r="A2204" s="5" t="s">
        <v>2726</v>
      </c>
      <c r="B2204" s="11">
        <v>15102.0</v>
      </c>
    </row>
    <row r="2205">
      <c r="A2205" s="5" t="s">
        <v>2728</v>
      </c>
      <c r="B2205" s="11">
        <v>10803.0</v>
      </c>
    </row>
    <row r="2206">
      <c r="A2206" s="5" t="s">
        <v>2729</v>
      </c>
      <c r="B2206" s="11">
        <v>14569.0</v>
      </c>
    </row>
    <row r="2207">
      <c r="A2207" s="5" t="s">
        <v>2730</v>
      </c>
      <c r="B2207" s="11">
        <v>20959.0</v>
      </c>
    </row>
    <row r="2208">
      <c r="A2208" s="5" t="s">
        <v>2731</v>
      </c>
      <c r="B2208" s="11">
        <v>3946.0</v>
      </c>
    </row>
    <row r="2209">
      <c r="A2209" s="5" t="s">
        <v>2732</v>
      </c>
      <c r="B2209" s="11">
        <v>32169.0</v>
      </c>
    </row>
    <row r="2210">
      <c r="A2210" s="5" t="s">
        <v>2733</v>
      </c>
      <c r="B2210" s="11">
        <v>14956.0</v>
      </c>
    </row>
    <row r="2211">
      <c r="A2211" s="5" t="s">
        <v>2734</v>
      </c>
      <c r="B2211" s="11">
        <v>21485.0</v>
      </c>
    </row>
    <row r="2212">
      <c r="A2212" s="5" t="s">
        <v>2735</v>
      </c>
      <c r="B2212" s="11">
        <v>38265.0</v>
      </c>
    </row>
    <row r="2213">
      <c r="A2213" s="5" t="s">
        <v>2736</v>
      </c>
      <c r="B2213" s="11">
        <v>10924.0</v>
      </c>
    </row>
    <row r="2214">
      <c r="A2214" s="5" t="s">
        <v>2737</v>
      </c>
      <c r="B2214" s="11">
        <v>4648.0</v>
      </c>
    </row>
    <row r="2215">
      <c r="A2215" s="5" t="s">
        <v>2738</v>
      </c>
      <c r="B2215" s="11">
        <v>17985.0</v>
      </c>
    </row>
    <row r="2216">
      <c r="A2216" s="5" t="s">
        <v>976</v>
      </c>
      <c r="B2216" s="11">
        <v>4662.0</v>
      </c>
    </row>
    <row r="2217">
      <c r="A2217" s="5" t="s">
        <v>238</v>
      </c>
      <c r="B2217" s="11">
        <v>6128.0</v>
      </c>
    </row>
    <row r="2218">
      <c r="A2218" s="5" t="s">
        <v>2739</v>
      </c>
      <c r="B2218" s="11">
        <v>6580.0</v>
      </c>
    </row>
    <row r="2219">
      <c r="A2219" s="5" t="s">
        <v>2740</v>
      </c>
      <c r="B2219" s="11">
        <v>31882.0</v>
      </c>
    </row>
    <row r="2220">
      <c r="A2220" s="5" t="s">
        <v>2741</v>
      </c>
      <c r="B2220" s="11">
        <v>31319.0</v>
      </c>
    </row>
    <row r="2221">
      <c r="A2221" s="5" t="s">
        <v>893</v>
      </c>
      <c r="B2221" s="11">
        <v>4132.0</v>
      </c>
    </row>
    <row r="2222">
      <c r="A2222" s="5" t="s">
        <v>2742</v>
      </c>
      <c r="B2222" s="11">
        <v>11256.0</v>
      </c>
    </row>
    <row r="2223">
      <c r="A2223" s="5" t="s">
        <v>2743</v>
      </c>
      <c r="B2223" s="11">
        <v>3186.0</v>
      </c>
    </row>
    <row r="2224">
      <c r="A2224" s="5" t="s">
        <v>2744</v>
      </c>
      <c r="B2224" s="11">
        <v>7369.0</v>
      </c>
    </row>
    <row r="2225">
      <c r="A2225" s="5" t="s">
        <v>2745</v>
      </c>
      <c r="B2225" s="11">
        <v>5506.0</v>
      </c>
    </row>
    <row r="2226">
      <c r="A2226" s="5" t="s">
        <v>2746</v>
      </c>
      <c r="B2226" s="11">
        <v>3751.0</v>
      </c>
    </row>
    <row r="2227">
      <c r="A2227" s="12" t="s">
        <v>275</v>
      </c>
      <c r="B2227" s="11">
        <v>1312.0</v>
      </c>
    </row>
    <row r="2228">
      <c r="A2228" s="12" t="s">
        <v>279</v>
      </c>
      <c r="B2228" s="11">
        <v>1391.0</v>
      </c>
    </row>
    <row r="2229">
      <c r="A2229" s="12" t="s">
        <v>282</v>
      </c>
      <c r="B2229" s="11">
        <v>1866.0</v>
      </c>
    </row>
    <row r="2230">
      <c r="A2230" s="12" t="s">
        <v>286</v>
      </c>
      <c r="B2230" s="11">
        <v>2093.0</v>
      </c>
    </row>
    <row r="2231">
      <c r="A2231" s="12" t="s">
        <v>2747</v>
      </c>
      <c r="B2231" s="11">
        <v>1541.0</v>
      </c>
    </row>
    <row r="2232">
      <c r="A2232" s="12" t="s">
        <v>2748</v>
      </c>
      <c r="B2232" s="11">
        <v>2483.0</v>
      </c>
    </row>
    <row r="2233">
      <c r="A2233" s="12" t="s">
        <v>290</v>
      </c>
      <c r="B2233" s="11">
        <v>1649.0</v>
      </c>
    </row>
    <row r="2234">
      <c r="A2234" s="5" t="s">
        <v>2749</v>
      </c>
      <c r="B2234" s="11">
        <v>29947.0</v>
      </c>
    </row>
    <row r="2235">
      <c r="A2235" s="5" t="s">
        <v>2750</v>
      </c>
      <c r="B2235" s="11">
        <v>6832.0</v>
      </c>
    </row>
    <row r="2236">
      <c r="A2236" s="12" t="s">
        <v>2751</v>
      </c>
      <c r="B2236" s="11">
        <v>2542.0</v>
      </c>
    </row>
    <row r="2237">
      <c r="A2237" s="5" t="s">
        <v>2752</v>
      </c>
      <c r="B2237" s="11">
        <v>4179.0</v>
      </c>
    </row>
    <row r="2238">
      <c r="A2238" s="5" t="s">
        <v>2753</v>
      </c>
      <c r="B2238" s="11">
        <v>24978.0</v>
      </c>
    </row>
    <row r="2239">
      <c r="A2239" s="5" t="s">
        <v>2754</v>
      </c>
      <c r="B2239" s="11">
        <v>10853.0</v>
      </c>
    </row>
    <row r="2240">
      <c r="A2240" s="5" t="s">
        <v>2755</v>
      </c>
      <c r="B2240" s="11">
        <v>21601.0</v>
      </c>
    </row>
    <row r="2241">
      <c r="A2241" s="5" t="s">
        <v>2756</v>
      </c>
      <c r="B2241" s="11">
        <v>15587.0</v>
      </c>
    </row>
    <row r="2242">
      <c r="A2242" s="5" t="s">
        <v>2757</v>
      </c>
      <c r="B2242" s="11">
        <v>12429.0</v>
      </c>
    </row>
    <row r="2243">
      <c r="A2243" s="5" t="s">
        <v>2758</v>
      </c>
      <c r="B2243" s="11">
        <v>23699.0</v>
      </c>
    </row>
    <row r="2244">
      <c r="A2244" s="5" t="s">
        <v>2759</v>
      </c>
      <c r="B2244" s="11">
        <v>41674.0</v>
      </c>
    </row>
    <row r="2245">
      <c r="A2245" s="5" t="s">
        <v>2760</v>
      </c>
      <c r="B2245" s="11">
        <v>6798.0</v>
      </c>
    </row>
    <row r="2246">
      <c r="A2246" s="5" t="s">
        <v>2761</v>
      </c>
      <c r="B2246" s="11">
        <v>7037.0</v>
      </c>
    </row>
    <row r="2247">
      <c r="A2247" s="5" t="s">
        <v>2762</v>
      </c>
      <c r="B2247" s="11">
        <v>23327.0</v>
      </c>
    </row>
    <row r="2248">
      <c r="A2248" s="5" t="s">
        <v>2763</v>
      </c>
      <c r="B2248" s="11">
        <v>11243.0</v>
      </c>
    </row>
    <row r="2249">
      <c r="A2249" s="5" t="s">
        <v>2764</v>
      </c>
      <c r="B2249" s="11">
        <v>4733.0</v>
      </c>
    </row>
    <row r="2250">
      <c r="A2250" s="5" t="s">
        <v>2765</v>
      </c>
      <c r="B2250" s="11">
        <v>4488.0</v>
      </c>
    </row>
    <row r="2251">
      <c r="A2251" s="5" t="s">
        <v>2766</v>
      </c>
      <c r="B2251" s="11">
        <v>16438.0</v>
      </c>
    </row>
    <row r="2252">
      <c r="A2252" s="5" t="s">
        <v>2767</v>
      </c>
      <c r="B2252" s="28">
        <v>7412.0</v>
      </c>
    </row>
    <row r="2253">
      <c r="A2253" s="5" t="s">
        <v>2768</v>
      </c>
      <c r="B2253" s="11">
        <v>21732.0</v>
      </c>
    </row>
    <row r="2254">
      <c r="A2254" s="5" t="s">
        <v>2769</v>
      </c>
      <c r="B2254" s="11">
        <v>10674.0</v>
      </c>
    </row>
    <row r="2255">
      <c r="A2255" s="5" t="s">
        <v>2770</v>
      </c>
      <c r="B2255" s="11">
        <v>1869.0</v>
      </c>
    </row>
    <row r="2256">
      <c r="A2256" s="5" t="s">
        <v>2771</v>
      </c>
      <c r="B2256" s="11">
        <v>2024.0</v>
      </c>
    </row>
    <row r="2257">
      <c r="A2257" s="5" t="s">
        <v>2772</v>
      </c>
      <c r="B2257" s="11">
        <v>8982.0</v>
      </c>
    </row>
    <row r="2258">
      <c r="A2258" s="5" t="s">
        <v>2773</v>
      </c>
      <c r="B2258" s="11">
        <v>18052.0</v>
      </c>
    </row>
    <row r="2259">
      <c r="A2259" s="5" t="s">
        <v>2774</v>
      </c>
      <c r="B2259" s="11">
        <v>14228.0</v>
      </c>
    </row>
    <row r="2260">
      <c r="A2260" s="12" t="s">
        <v>2775</v>
      </c>
      <c r="B2260" s="11">
        <v>25426.0</v>
      </c>
    </row>
    <row r="2261">
      <c r="A2261" s="5" t="s">
        <v>2776</v>
      </c>
      <c r="B2261" s="11">
        <v>8022.0</v>
      </c>
    </row>
    <row r="2262">
      <c r="A2262" s="5" t="s">
        <v>2777</v>
      </c>
      <c r="B2262" s="11">
        <v>20995.0</v>
      </c>
    </row>
    <row r="2263">
      <c r="A2263" s="5" t="s">
        <v>2778</v>
      </c>
      <c r="B2263" s="11">
        <v>15469.0</v>
      </c>
    </row>
    <row r="2264">
      <c r="A2264" s="5" t="s">
        <v>2779</v>
      </c>
      <c r="B2264" s="11">
        <v>14168.0</v>
      </c>
    </row>
    <row r="2265">
      <c r="A2265" s="5" t="s">
        <v>2780</v>
      </c>
      <c r="B2265" s="11">
        <v>19148.0</v>
      </c>
    </row>
    <row r="2266">
      <c r="A2266" s="5" t="s">
        <v>2781</v>
      </c>
      <c r="B2266" s="11">
        <v>25205.0</v>
      </c>
    </row>
    <row r="2267">
      <c r="A2267" s="5" t="s">
        <v>2782</v>
      </c>
      <c r="B2267" s="11">
        <v>14430.0</v>
      </c>
    </row>
    <row r="2268">
      <c r="A2268" s="5" t="s">
        <v>2783</v>
      </c>
      <c r="B2268" s="11">
        <v>14390.0</v>
      </c>
    </row>
    <row r="2269">
      <c r="A2269" s="5" t="s">
        <v>2784</v>
      </c>
      <c r="B2269" s="11">
        <v>7105.0</v>
      </c>
    </row>
    <row r="2270">
      <c r="A2270" s="5" t="s">
        <v>2785</v>
      </c>
      <c r="B2270" s="11">
        <v>11566.0</v>
      </c>
    </row>
    <row r="2271">
      <c r="A2271" s="12" t="s">
        <v>368</v>
      </c>
      <c r="B2271" s="11">
        <v>12822.0</v>
      </c>
    </row>
    <row r="2272">
      <c r="A2272" s="12" t="s">
        <v>2786</v>
      </c>
      <c r="B2272" s="11">
        <v>10532.0</v>
      </c>
    </row>
    <row r="2273">
      <c r="A2273" s="12" t="s">
        <v>661</v>
      </c>
      <c r="B2273" s="11">
        <v>13855.0</v>
      </c>
    </row>
    <row r="2274">
      <c r="A2274" s="5" t="s">
        <v>2788</v>
      </c>
      <c r="B2274" s="11">
        <v>3994.0</v>
      </c>
    </row>
    <row r="2275">
      <c r="A2275" s="5" t="s">
        <v>2789</v>
      </c>
      <c r="B2275" s="11">
        <v>3720.0</v>
      </c>
    </row>
    <row r="2276">
      <c r="A2276" s="5" t="s">
        <v>2790</v>
      </c>
      <c r="B2276" s="11">
        <v>5777.0</v>
      </c>
    </row>
    <row r="2277">
      <c r="A2277" s="5" t="s">
        <v>2791</v>
      </c>
      <c r="B2277" s="11">
        <v>7347.0</v>
      </c>
    </row>
    <row r="2278">
      <c r="A2278" s="5" t="s">
        <v>2792</v>
      </c>
      <c r="B2278" s="11">
        <v>3346.0</v>
      </c>
    </row>
    <row r="2279">
      <c r="A2279" s="12" t="s">
        <v>2793</v>
      </c>
      <c r="B2279" s="11">
        <v>29495.0</v>
      </c>
    </row>
    <row r="2280">
      <c r="A2280" s="5" t="s">
        <v>2794</v>
      </c>
      <c r="B2280" s="11">
        <v>7918.0</v>
      </c>
    </row>
    <row r="2281">
      <c r="A2281" s="5" t="s">
        <v>2795</v>
      </c>
      <c r="B2281" s="11">
        <v>8772.0</v>
      </c>
    </row>
    <row r="2282">
      <c r="A2282" s="5" t="s">
        <v>2796</v>
      </c>
      <c r="B2282" s="11">
        <v>17406.0</v>
      </c>
    </row>
    <row r="2283">
      <c r="A2283" s="5" t="s">
        <v>2797</v>
      </c>
      <c r="B2283" s="11">
        <v>10845.0</v>
      </c>
    </row>
    <row r="2284">
      <c r="A2284" s="5" t="s">
        <v>2800</v>
      </c>
      <c r="B2284" s="11">
        <v>10181.0</v>
      </c>
    </row>
    <row r="2285">
      <c r="A2285" s="5" t="s">
        <v>2801</v>
      </c>
      <c r="B2285" s="11">
        <v>20657.0</v>
      </c>
    </row>
    <row r="2286">
      <c r="A2286" s="5" t="s">
        <v>2803</v>
      </c>
      <c r="B2286" s="11">
        <v>11442.0</v>
      </c>
    </row>
    <row r="2287">
      <c r="A2287" s="5" t="s">
        <v>2804</v>
      </c>
      <c r="B2287" s="11">
        <v>7552.0</v>
      </c>
    </row>
    <row r="2288">
      <c r="A2288" s="5" t="s">
        <v>248</v>
      </c>
      <c r="B2288" s="11">
        <v>8794.0</v>
      </c>
    </row>
    <row r="2289">
      <c r="A2289" s="5" t="s">
        <v>251</v>
      </c>
      <c r="B2289" s="28">
        <v>7921.0</v>
      </c>
    </row>
    <row r="2290">
      <c r="A2290" s="5" t="s">
        <v>2805</v>
      </c>
      <c r="B2290" s="28">
        <v>13244.0</v>
      </c>
    </row>
    <row r="2291">
      <c r="A2291" s="5" t="s">
        <v>2806</v>
      </c>
      <c r="B2291" s="11">
        <v>12692.0</v>
      </c>
    </row>
    <row r="2292">
      <c r="A2292" s="5" t="s">
        <v>2807</v>
      </c>
      <c r="B2292" s="11">
        <v>17586.0</v>
      </c>
    </row>
    <row r="2293">
      <c r="A2293" s="5" t="s">
        <v>2810</v>
      </c>
      <c r="B2293" s="11">
        <v>22861.0</v>
      </c>
    </row>
    <row r="2294">
      <c r="A2294" s="5" t="s">
        <v>2811</v>
      </c>
      <c r="B2294" s="11">
        <v>39833.0</v>
      </c>
    </row>
    <row r="2295">
      <c r="A2295" s="5" t="s">
        <v>2814</v>
      </c>
      <c r="B2295" s="11">
        <v>66529.0</v>
      </c>
    </row>
    <row r="2296">
      <c r="A2296" s="5" t="s">
        <v>2815</v>
      </c>
      <c r="B2296" s="11">
        <v>302884.0</v>
      </c>
    </row>
    <row r="2297">
      <c r="A2297" s="5" t="s">
        <v>2817</v>
      </c>
      <c r="B2297" s="11">
        <v>8442.0</v>
      </c>
    </row>
    <row r="2298">
      <c r="A2298" s="5" t="s">
        <v>254</v>
      </c>
      <c r="B2298" s="11">
        <v>10913.0</v>
      </c>
    </row>
    <row r="2299">
      <c r="A2299" s="5" t="s">
        <v>2820</v>
      </c>
      <c r="B2299" s="11">
        <v>55719.0</v>
      </c>
    </row>
    <row r="2300">
      <c r="A2300" s="5" t="s">
        <v>2822</v>
      </c>
      <c r="B2300" s="11">
        <v>25104.0</v>
      </c>
    </row>
    <row r="2301">
      <c r="A2301" s="5" t="s">
        <v>2825</v>
      </c>
      <c r="B2301" s="11">
        <v>55719.0</v>
      </c>
    </row>
    <row r="2302">
      <c r="A2302" s="5" t="s">
        <v>2827</v>
      </c>
      <c r="B2302" s="11">
        <v>29263.0</v>
      </c>
    </row>
    <row r="2303">
      <c r="A2303" s="5" t="s">
        <v>2829</v>
      </c>
      <c r="B2303" s="11">
        <v>129215.0</v>
      </c>
    </row>
    <row r="2304">
      <c r="A2304" s="5" t="s">
        <v>2832</v>
      </c>
      <c r="B2304" s="11">
        <v>57110.0</v>
      </c>
    </row>
    <row r="2305">
      <c r="A2305" s="5" t="s">
        <v>2834</v>
      </c>
      <c r="B2305" s="11">
        <v>256155.0</v>
      </c>
    </row>
    <row r="2306">
      <c r="A2306" s="5" t="s">
        <v>2836</v>
      </c>
      <c r="B2306" s="11">
        <v>15067.0</v>
      </c>
    </row>
    <row r="2307">
      <c r="A2307" s="5" t="s">
        <v>2838</v>
      </c>
      <c r="B2307" s="11">
        <v>44150.0</v>
      </c>
    </row>
    <row r="2308">
      <c r="A2308" s="5" t="s">
        <v>2840</v>
      </c>
      <c r="B2308" s="11">
        <v>9893.0</v>
      </c>
    </row>
    <row r="2309">
      <c r="A2309" s="5" t="s">
        <v>2842</v>
      </c>
      <c r="B2309" s="11">
        <v>85159.0</v>
      </c>
    </row>
    <row r="2310">
      <c r="A2310" s="5" t="s">
        <v>2843</v>
      </c>
      <c r="B2310" s="11">
        <v>8174.0</v>
      </c>
    </row>
    <row r="2311">
      <c r="A2311" s="5" t="s">
        <v>2845</v>
      </c>
      <c r="B2311" s="11">
        <v>12591.0</v>
      </c>
    </row>
    <row r="2312">
      <c r="A2312" s="5" t="s">
        <v>2846</v>
      </c>
      <c r="B2312" s="11">
        <v>8550.0</v>
      </c>
    </row>
    <row r="2313">
      <c r="A2313" s="5" t="s">
        <v>2847</v>
      </c>
      <c r="B2313" s="11">
        <v>10770.0</v>
      </c>
    </row>
    <row r="2314">
      <c r="A2314" s="5" t="s">
        <v>2848</v>
      </c>
      <c r="B2314" s="11">
        <v>16402.0</v>
      </c>
    </row>
    <row r="2315">
      <c r="A2315" s="5" t="s">
        <v>2849</v>
      </c>
      <c r="B2315" s="11">
        <v>41059.0</v>
      </c>
    </row>
    <row r="2316">
      <c r="A2316" s="5" t="s">
        <v>2850</v>
      </c>
      <c r="B2316" s="11">
        <v>21421.0</v>
      </c>
    </row>
    <row r="2317">
      <c r="A2317" s="5" t="s">
        <v>2851</v>
      </c>
      <c r="B2317" s="11">
        <v>2575.0</v>
      </c>
    </row>
    <row r="2318">
      <c r="A2318" s="5" t="s">
        <v>294</v>
      </c>
      <c r="B2318" s="11">
        <v>4113.0</v>
      </c>
    </row>
    <row r="2319">
      <c r="A2319" s="5" t="s">
        <v>2852</v>
      </c>
      <c r="B2319" s="11">
        <v>46768.0</v>
      </c>
    </row>
    <row r="2320">
      <c r="A2320" s="5" t="s">
        <v>2853</v>
      </c>
      <c r="B2320" s="11">
        <v>45041.0</v>
      </c>
    </row>
    <row r="2321">
      <c r="A2321" s="5" t="s">
        <v>2854</v>
      </c>
      <c r="B2321" s="11">
        <v>1718.0</v>
      </c>
    </row>
    <row r="2322">
      <c r="A2322" s="5" t="s">
        <v>2855</v>
      </c>
      <c r="B2322" s="11">
        <v>19954.0</v>
      </c>
    </row>
    <row r="2323">
      <c r="A2323" s="5" t="s">
        <v>2856</v>
      </c>
      <c r="B2323" s="11">
        <v>14646.0</v>
      </c>
    </row>
    <row r="2324">
      <c r="A2324" s="5" t="s">
        <v>2857</v>
      </c>
      <c r="B2324" s="11">
        <v>158953.0</v>
      </c>
    </row>
    <row r="2325">
      <c r="A2325" s="5" t="s">
        <v>297</v>
      </c>
      <c r="B2325" s="11">
        <v>5020.0</v>
      </c>
    </row>
    <row r="2326">
      <c r="A2326" s="5" t="s">
        <v>2858</v>
      </c>
      <c r="B2326" s="11">
        <v>11880.0</v>
      </c>
    </row>
    <row r="2327">
      <c r="A2327" s="5" t="s">
        <v>2859</v>
      </c>
      <c r="B2327" s="11">
        <v>23575.0</v>
      </c>
    </row>
    <row r="2328">
      <c r="A2328" s="5" t="s">
        <v>2861</v>
      </c>
      <c r="B2328" s="11">
        <v>40682.0</v>
      </c>
    </row>
    <row r="2329">
      <c r="A2329" s="5" t="s">
        <v>1070</v>
      </c>
      <c r="B2329" s="11">
        <v>2349.0</v>
      </c>
    </row>
    <row r="2330">
      <c r="A2330" s="5" t="s">
        <v>2862</v>
      </c>
      <c r="B2330" s="11">
        <v>18864.0</v>
      </c>
    </row>
    <row r="2331">
      <c r="A2331" s="5" t="s">
        <v>2863</v>
      </c>
      <c r="B2331" s="11">
        <v>20368.0</v>
      </c>
    </row>
    <row r="2332">
      <c r="A2332" s="5" t="s">
        <v>2864</v>
      </c>
      <c r="B2332" s="11">
        <v>27212.0</v>
      </c>
    </row>
    <row r="2333">
      <c r="A2333" s="5" t="s">
        <v>2865</v>
      </c>
      <c r="B2333" s="11">
        <v>31734.0</v>
      </c>
    </row>
    <row r="2334">
      <c r="A2334" s="5" t="s">
        <v>2866</v>
      </c>
      <c r="B2334" s="11">
        <v>20368.0</v>
      </c>
    </row>
    <row r="2335">
      <c r="A2335" s="5" t="s">
        <v>2868</v>
      </c>
      <c r="B2335" s="11">
        <v>27165.0</v>
      </c>
    </row>
    <row r="2336">
      <c r="A2336" s="5" t="s">
        <v>2869</v>
      </c>
      <c r="B2336" s="11">
        <v>19793.0</v>
      </c>
    </row>
    <row r="2337">
      <c r="A2337" s="5" t="s">
        <v>2871</v>
      </c>
      <c r="B2337" s="11">
        <v>29199.0</v>
      </c>
    </row>
    <row r="2338">
      <c r="A2338" s="5" t="s">
        <v>2872</v>
      </c>
      <c r="B2338" s="11">
        <v>117153.0</v>
      </c>
    </row>
    <row r="2339">
      <c r="A2339" s="5" t="s">
        <v>2873</v>
      </c>
      <c r="B2339" s="11">
        <v>20156.0</v>
      </c>
    </row>
    <row r="2340">
      <c r="A2340" s="5" t="s">
        <v>2874</v>
      </c>
      <c r="B2340" s="11">
        <v>91043.0</v>
      </c>
    </row>
    <row r="2341">
      <c r="A2341" s="5" t="s">
        <v>2875</v>
      </c>
      <c r="B2341" s="11">
        <v>8998.0</v>
      </c>
    </row>
    <row r="2342">
      <c r="A2342" s="5" t="s">
        <v>2876</v>
      </c>
      <c r="B2342" s="11">
        <v>8141.0</v>
      </c>
    </row>
    <row r="2343">
      <c r="A2343" s="5" t="s">
        <v>2877</v>
      </c>
      <c r="B2343" s="11">
        <v>13779.0</v>
      </c>
    </row>
    <row r="2344">
      <c r="A2344" s="5" t="s">
        <v>2878</v>
      </c>
      <c r="B2344" s="11">
        <v>10032.0</v>
      </c>
    </row>
    <row r="2345">
      <c r="A2345" s="5" t="s">
        <v>2879</v>
      </c>
      <c r="B2345" s="11">
        <v>11316.0</v>
      </c>
    </row>
    <row r="2346">
      <c r="A2346" s="5" t="s">
        <v>2880</v>
      </c>
      <c r="B2346" s="11">
        <v>12299.0</v>
      </c>
    </row>
    <row r="2347">
      <c r="A2347" s="5" t="s">
        <v>2881</v>
      </c>
      <c r="B2347" s="11">
        <v>8260.0</v>
      </c>
    </row>
    <row r="2348">
      <c r="A2348" s="5" t="s">
        <v>2882</v>
      </c>
      <c r="B2348" s="28">
        <v>10594.0</v>
      </c>
    </row>
    <row r="2349">
      <c r="A2349" s="5" t="s">
        <v>2883</v>
      </c>
      <c r="B2349" s="28">
        <v>13291.0</v>
      </c>
    </row>
    <row r="2350">
      <c r="A2350" s="5" t="s">
        <v>2884</v>
      </c>
      <c r="B2350" s="11">
        <v>18702.0</v>
      </c>
    </row>
    <row r="2351">
      <c r="A2351" s="5" t="s">
        <v>2885</v>
      </c>
      <c r="B2351" s="11">
        <v>12677.0</v>
      </c>
    </row>
    <row r="2352">
      <c r="A2352" s="5" t="s">
        <v>2886</v>
      </c>
      <c r="B2352" s="11">
        <v>6899.0</v>
      </c>
    </row>
    <row r="2353">
      <c r="A2353" s="5" t="s">
        <v>2887</v>
      </c>
      <c r="B2353" s="11">
        <v>11821.0</v>
      </c>
    </row>
    <row r="2354">
      <c r="A2354" s="5" t="s">
        <v>2888</v>
      </c>
      <c r="B2354" s="11">
        <v>8999.0</v>
      </c>
    </row>
    <row r="2355">
      <c r="A2355" s="5" t="s">
        <v>2889</v>
      </c>
      <c r="B2355" s="11">
        <v>11291.0</v>
      </c>
    </row>
    <row r="2356">
      <c r="A2356" s="5" t="s">
        <v>2890</v>
      </c>
      <c r="B2356" s="11">
        <v>11291.0</v>
      </c>
    </row>
    <row r="2357">
      <c r="A2357" s="5" t="s">
        <v>2891</v>
      </c>
      <c r="B2357" s="11">
        <v>8700.0</v>
      </c>
    </row>
    <row r="2358">
      <c r="A2358" s="5" t="s">
        <v>2892</v>
      </c>
      <c r="B2358" s="11">
        <v>14384.0</v>
      </c>
    </row>
    <row r="2359">
      <c r="A2359" s="5" t="s">
        <v>2893</v>
      </c>
      <c r="B2359" s="11">
        <v>11449.0</v>
      </c>
    </row>
    <row r="2360">
      <c r="A2360" s="5" t="s">
        <v>2894</v>
      </c>
      <c r="B2360" s="11">
        <v>10793.0</v>
      </c>
    </row>
    <row r="2361">
      <c r="A2361" s="5" t="s">
        <v>2895</v>
      </c>
      <c r="B2361" s="11">
        <v>11818.0</v>
      </c>
    </row>
    <row r="2362">
      <c r="A2362" s="5" t="s">
        <v>2896</v>
      </c>
      <c r="B2362" s="11">
        <v>10507.0</v>
      </c>
    </row>
    <row r="2363">
      <c r="A2363" s="5" t="s">
        <v>2897</v>
      </c>
      <c r="B2363" s="11">
        <v>6277.0</v>
      </c>
    </row>
    <row r="2364">
      <c r="A2364" s="5" t="s">
        <v>2898</v>
      </c>
      <c r="B2364" s="11">
        <v>7788.0</v>
      </c>
    </row>
    <row r="2365">
      <c r="A2365" s="5" t="s">
        <v>2900</v>
      </c>
      <c r="B2365" s="11">
        <v>5671.0</v>
      </c>
    </row>
    <row r="2366">
      <c r="A2366" s="5" t="s">
        <v>2901</v>
      </c>
      <c r="B2366" s="11">
        <v>20965.0</v>
      </c>
    </row>
    <row r="2367">
      <c r="A2367" s="5" t="s">
        <v>2902</v>
      </c>
      <c r="B2367" s="11">
        <v>3464.0</v>
      </c>
    </row>
    <row r="2368">
      <c r="A2368" s="5" t="s">
        <v>2903</v>
      </c>
      <c r="B2368" s="11">
        <v>12901.0</v>
      </c>
    </row>
    <row r="2369">
      <c r="A2369" s="5" t="s">
        <v>2904</v>
      </c>
      <c r="B2369" s="11">
        <v>13282.0</v>
      </c>
    </row>
    <row r="2370">
      <c r="A2370" s="5" t="s">
        <v>2905</v>
      </c>
      <c r="B2370" s="11">
        <v>36298.0</v>
      </c>
    </row>
    <row r="2371">
      <c r="A2371" s="5" t="s">
        <v>2906</v>
      </c>
      <c r="B2371" s="11">
        <v>7633.0</v>
      </c>
    </row>
    <row r="2372">
      <c r="A2372" s="5" t="s">
        <v>2907</v>
      </c>
      <c r="B2372" s="11">
        <v>35733.0</v>
      </c>
    </row>
    <row r="2373">
      <c r="A2373" s="5" t="s">
        <v>2908</v>
      </c>
      <c r="B2373" s="11">
        <v>14565.0</v>
      </c>
    </row>
    <row r="2374">
      <c r="A2374" s="5" t="s">
        <v>2909</v>
      </c>
      <c r="B2374" s="28">
        <v>25036.0</v>
      </c>
    </row>
    <row r="2375">
      <c r="A2375" s="5" t="s">
        <v>2910</v>
      </c>
      <c r="B2375" s="11">
        <v>10104.0</v>
      </c>
    </row>
    <row r="2376">
      <c r="A2376" s="5" t="s">
        <v>2911</v>
      </c>
      <c r="B2376" s="11">
        <v>56076.0</v>
      </c>
    </row>
    <row r="2377">
      <c r="A2377" s="5" t="s">
        <v>2912</v>
      </c>
      <c r="B2377" s="11">
        <v>20364.0</v>
      </c>
    </row>
    <row r="2378">
      <c r="A2378" s="5" t="s">
        <v>2913</v>
      </c>
      <c r="B2378" s="11">
        <v>0.0</v>
      </c>
    </row>
    <row r="2379">
      <c r="A2379" s="5" t="s">
        <v>2914</v>
      </c>
      <c r="B2379" s="11">
        <v>12683.0</v>
      </c>
    </row>
    <row r="2380">
      <c r="A2380" s="5" t="s">
        <v>2915</v>
      </c>
      <c r="B2380" s="11">
        <v>5173.0</v>
      </c>
    </row>
    <row r="2381">
      <c r="A2381" s="5" t="s">
        <v>2916</v>
      </c>
      <c r="B2381" s="11">
        <v>7403.0</v>
      </c>
    </row>
    <row r="2382">
      <c r="A2382" s="5" t="s">
        <v>2917</v>
      </c>
      <c r="B2382" s="11">
        <v>16183.0</v>
      </c>
    </row>
    <row r="2383">
      <c r="A2383" s="5" t="s">
        <v>2918</v>
      </c>
      <c r="B2383" s="28">
        <v>19452.0</v>
      </c>
    </row>
    <row r="2384">
      <c r="A2384" s="5" t="s">
        <v>2919</v>
      </c>
      <c r="B2384" s="11">
        <v>4774.0</v>
      </c>
    </row>
    <row r="2385">
      <c r="A2385" s="5" t="s">
        <v>2920</v>
      </c>
      <c r="B2385" s="11">
        <v>4984.0</v>
      </c>
    </row>
    <row r="2386">
      <c r="A2386" s="5" t="s">
        <v>2921</v>
      </c>
      <c r="B2386" s="11">
        <v>0.0</v>
      </c>
    </row>
    <row r="2387">
      <c r="A2387" s="5" t="s">
        <v>2922</v>
      </c>
      <c r="B2387" s="11">
        <v>7907.0</v>
      </c>
    </row>
    <row r="2388">
      <c r="A2388" s="5" t="s">
        <v>2923</v>
      </c>
      <c r="B2388" s="11">
        <v>12743.0</v>
      </c>
    </row>
    <row r="2389">
      <c r="A2389" s="5" t="s">
        <v>2924</v>
      </c>
      <c r="B2389" s="11">
        <v>37843.0</v>
      </c>
    </row>
    <row r="2390">
      <c r="A2390" s="5" t="s">
        <v>2925</v>
      </c>
      <c r="B2390" s="11">
        <v>8622.0</v>
      </c>
    </row>
    <row r="2391">
      <c r="A2391" s="5" t="s">
        <v>2926</v>
      </c>
      <c r="B2391" s="11">
        <v>35443.0</v>
      </c>
    </row>
    <row r="2392">
      <c r="A2392" s="5" t="s">
        <v>2927</v>
      </c>
      <c r="B2392" s="11">
        <v>7876.0</v>
      </c>
    </row>
    <row r="2393">
      <c r="A2393" s="5" t="s">
        <v>2928</v>
      </c>
      <c r="B2393" s="11">
        <v>5210.0</v>
      </c>
    </row>
    <row r="2394">
      <c r="A2394" s="5" t="s">
        <v>2929</v>
      </c>
      <c r="B2394" s="11">
        <v>24630.0</v>
      </c>
    </row>
    <row r="2395">
      <c r="A2395" s="5" t="s">
        <v>2930</v>
      </c>
      <c r="B2395" s="11">
        <v>5453.0</v>
      </c>
    </row>
    <row r="2396">
      <c r="A2396" s="5" t="s">
        <v>2931</v>
      </c>
      <c r="B2396" s="11">
        <v>12828.0</v>
      </c>
    </row>
    <row r="2397">
      <c r="A2397" s="5" t="s">
        <v>2932</v>
      </c>
      <c r="B2397" s="11">
        <v>6584.0</v>
      </c>
    </row>
    <row r="2398">
      <c r="A2398" s="5" t="s">
        <v>2933</v>
      </c>
      <c r="B2398" s="11">
        <v>9339.0</v>
      </c>
    </row>
    <row r="2399">
      <c r="A2399" s="5" t="s">
        <v>2934</v>
      </c>
      <c r="B2399" s="11">
        <v>32639.0</v>
      </c>
    </row>
    <row r="2400">
      <c r="A2400" s="5" t="s">
        <v>2935</v>
      </c>
      <c r="B2400" s="11">
        <v>17272.0</v>
      </c>
    </row>
    <row r="2401">
      <c r="A2401" s="5" t="s">
        <v>2936</v>
      </c>
      <c r="B2401" s="11">
        <v>19466.0</v>
      </c>
    </row>
    <row r="2402">
      <c r="A2402" s="5" t="s">
        <v>2937</v>
      </c>
      <c r="B2402" s="11">
        <v>1469.0</v>
      </c>
    </row>
    <row r="2403">
      <c r="A2403" s="5" t="s">
        <v>2938</v>
      </c>
      <c r="B2403" s="11">
        <v>7737.0</v>
      </c>
    </row>
    <row r="2404">
      <c r="A2404" s="5" t="s">
        <v>2939</v>
      </c>
      <c r="B2404" s="11">
        <v>13102.0</v>
      </c>
    </row>
    <row r="2405">
      <c r="A2405" s="12" t="s">
        <v>2940</v>
      </c>
      <c r="B2405" s="11">
        <v>32531.0</v>
      </c>
    </row>
    <row r="2406">
      <c r="A2406" s="5" t="s">
        <v>2941</v>
      </c>
      <c r="B2406" s="11">
        <v>20382.0</v>
      </c>
    </row>
    <row r="2407">
      <c r="A2407" s="5" t="s">
        <v>2942</v>
      </c>
      <c r="B2407" s="11">
        <v>18219.0</v>
      </c>
    </row>
    <row r="2408">
      <c r="A2408" s="12" t="s">
        <v>2943</v>
      </c>
      <c r="B2408" s="11">
        <v>27502.0</v>
      </c>
    </row>
    <row r="2409">
      <c r="A2409" s="12" t="s">
        <v>2944</v>
      </c>
      <c r="B2409" s="11">
        <v>19915.0</v>
      </c>
    </row>
    <row r="2410">
      <c r="A2410" s="5" t="s">
        <v>2945</v>
      </c>
      <c r="B2410" s="11">
        <v>64607.0</v>
      </c>
    </row>
    <row r="2411">
      <c r="A2411" s="5" t="s">
        <v>2946</v>
      </c>
      <c r="B2411" s="11">
        <v>62143.0</v>
      </c>
    </row>
    <row r="2412">
      <c r="A2412" s="5" t="s">
        <v>2947</v>
      </c>
      <c r="B2412" s="11">
        <v>253550.0</v>
      </c>
    </row>
    <row r="2413">
      <c r="A2413" s="5" t="s">
        <v>2948</v>
      </c>
      <c r="B2413" s="11">
        <v>10647.0</v>
      </c>
    </row>
    <row r="2414">
      <c r="A2414" s="5" t="s">
        <v>2949</v>
      </c>
      <c r="B2414" s="11">
        <v>82662.0</v>
      </c>
    </row>
    <row r="2415">
      <c r="A2415" s="5" t="s">
        <v>2950</v>
      </c>
      <c r="B2415" s="11">
        <v>55456.0</v>
      </c>
    </row>
    <row r="2416">
      <c r="A2416" s="5" t="s">
        <v>2951</v>
      </c>
      <c r="B2416" s="11">
        <v>68998.0</v>
      </c>
    </row>
    <row r="2417">
      <c r="A2417" s="5" t="s">
        <v>2952</v>
      </c>
      <c r="B2417" s="11">
        <v>81306.0</v>
      </c>
    </row>
    <row r="2418">
      <c r="A2418" s="5" t="s">
        <v>2953</v>
      </c>
      <c r="B2418" s="11">
        <v>309104.0</v>
      </c>
    </row>
    <row r="2419">
      <c r="A2419" s="5" t="s">
        <v>2954</v>
      </c>
      <c r="B2419" s="11">
        <v>66352.0</v>
      </c>
    </row>
    <row r="2420">
      <c r="A2420" s="5" t="s">
        <v>2955</v>
      </c>
      <c r="B2420" s="11">
        <v>2159.0</v>
      </c>
    </row>
    <row r="2421">
      <c r="A2421" s="5" t="s">
        <v>2956</v>
      </c>
      <c r="B2421" s="11">
        <v>4914.0</v>
      </c>
    </row>
    <row r="2422">
      <c r="A2422" s="5" t="s">
        <v>2957</v>
      </c>
      <c r="B2422" s="11">
        <v>107874.0</v>
      </c>
    </row>
    <row r="2423">
      <c r="A2423" s="5" t="s">
        <v>2958</v>
      </c>
      <c r="B2423" s="11">
        <v>126404.0</v>
      </c>
    </row>
    <row r="2424">
      <c r="A2424" s="5" t="s">
        <v>2959</v>
      </c>
      <c r="B2424" s="11">
        <v>6093.0</v>
      </c>
    </row>
    <row r="2425">
      <c r="A2425" s="5" t="s">
        <v>2960</v>
      </c>
      <c r="B2425" s="11">
        <v>23235.0</v>
      </c>
    </row>
    <row r="2426">
      <c r="A2426" s="5" t="s">
        <v>2961</v>
      </c>
      <c r="B2426" s="11">
        <v>24069.0</v>
      </c>
    </row>
    <row r="2427">
      <c r="A2427" s="12" t="s">
        <v>2962</v>
      </c>
      <c r="B2427" s="11">
        <v>47149.0</v>
      </c>
    </row>
    <row r="2428">
      <c r="A2428" s="5" t="s">
        <v>2963</v>
      </c>
      <c r="B2428" s="11">
        <v>0.0</v>
      </c>
    </row>
    <row r="2429">
      <c r="A2429" s="5" t="s">
        <v>2964</v>
      </c>
      <c r="B2429" s="11">
        <v>72707.0</v>
      </c>
    </row>
    <row r="2430">
      <c r="A2430" s="5" t="s">
        <v>2965</v>
      </c>
      <c r="B2430" s="11">
        <v>6898.0</v>
      </c>
    </row>
    <row r="2431">
      <c r="A2431" s="5" t="s">
        <v>2966</v>
      </c>
      <c r="B2431" s="11">
        <v>50450.0</v>
      </c>
    </row>
    <row r="2432">
      <c r="A2432" s="5" t="s">
        <v>2967</v>
      </c>
      <c r="B2432" s="11">
        <v>14880.0</v>
      </c>
    </row>
    <row r="2433">
      <c r="A2433" s="5" t="s">
        <v>2968</v>
      </c>
      <c r="B2433" s="11">
        <v>20933.0</v>
      </c>
    </row>
    <row r="2434">
      <c r="A2434" s="5" t="s">
        <v>2969</v>
      </c>
      <c r="B2434" s="11">
        <v>94700.0</v>
      </c>
    </row>
    <row r="2435">
      <c r="A2435" s="5" t="s">
        <v>2970</v>
      </c>
      <c r="B2435" s="11">
        <v>142191.0</v>
      </c>
    </row>
    <row r="2436">
      <c r="A2436" s="5" t="s">
        <v>2971</v>
      </c>
      <c r="B2436" s="11">
        <v>35881.0</v>
      </c>
    </row>
    <row r="2437">
      <c r="A2437" s="5" t="s">
        <v>2972</v>
      </c>
      <c r="B2437" s="11">
        <v>562113.0</v>
      </c>
    </row>
    <row r="2438">
      <c r="A2438" s="5" t="s">
        <v>2973</v>
      </c>
      <c r="B2438" s="11">
        <v>2730261.0</v>
      </c>
    </row>
    <row r="2439">
      <c r="A2439" s="5" t="s">
        <v>2974</v>
      </c>
      <c r="B2439" s="11">
        <v>87909.0</v>
      </c>
    </row>
    <row r="2440">
      <c r="A2440" s="5" t="s">
        <v>2975</v>
      </c>
      <c r="B2440" s="11">
        <v>169032.0</v>
      </c>
    </row>
    <row r="2441">
      <c r="A2441" s="5" t="s">
        <v>2976</v>
      </c>
      <c r="B2441" s="11">
        <v>150956.0</v>
      </c>
    </row>
    <row r="2442">
      <c r="A2442" s="5" t="s">
        <v>2977</v>
      </c>
      <c r="B2442" s="11">
        <v>302240.0</v>
      </c>
    </row>
    <row r="2443">
      <c r="A2443" s="5" t="s">
        <v>2978</v>
      </c>
      <c r="B2443" s="11">
        <v>61599.0</v>
      </c>
    </row>
    <row r="2444">
      <c r="A2444" s="5" t="s">
        <v>2979</v>
      </c>
      <c r="B2444" s="11">
        <v>17785.0</v>
      </c>
    </row>
    <row r="2445">
      <c r="A2445" s="5" t="s">
        <v>2980</v>
      </c>
      <c r="B2445" s="11">
        <v>57329.0</v>
      </c>
    </row>
    <row r="2446">
      <c r="A2446" s="5" t="s">
        <v>2981</v>
      </c>
      <c r="B2446" s="11">
        <v>103666.0</v>
      </c>
    </row>
    <row r="2447">
      <c r="A2447" s="5" t="s">
        <v>2982</v>
      </c>
      <c r="B2447" s="11">
        <v>4871.0</v>
      </c>
    </row>
    <row r="2448">
      <c r="A2448" s="5" t="s">
        <v>2983</v>
      </c>
      <c r="B2448" s="11">
        <v>13954.0</v>
      </c>
    </row>
    <row r="2449">
      <c r="A2449" s="5" t="s">
        <v>2984</v>
      </c>
      <c r="B2449" s="11">
        <v>4437.0</v>
      </c>
    </row>
    <row r="2450">
      <c r="A2450" s="5" t="s">
        <v>2985</v>
      </c>
      <c r="B2450" s="11">
        <v>0.0</v>
      </c>
    </row>
    <row r="2451">
      <c r="A2451" s="5" t="s">
        <v>2986</v>
      </c>
      <c r="B2451" s="11">
        <v>19784.0</v>
      </c>
    </row>
    <row r="2452">
      <c r="A2452" s="5" t="s">
        <v>2987</v>
      </c>
      <c r="B2452" s="11">
        <v>104692.0</v>
      </c>
    </row>
    <row r="2453">
      <c r="A2453" s="5" t="s">
        <v>2988</v>
      </c>
      <c r="B2453" s="11">
        <v>85860.0</v>
      </c>
    </row>
    <row r="2454">
      <c r="A2454" s="12" t="s">
        <v>2989</v>
      </c>
      <c r="B2454" s="11">
        <v>106343.0</v>
      </c>
    </row>
    <row r="2455">
      <c r="A2455" s="12" t="s">
        <v>2990</v>
      </c>
      <c r="B2455" s="11">
        <v>50616.0</v>
      </c>
    </row>
    <row r="2456">
      <c r="A2456" s="12" t="s">
        <v>2991</v>
      </c>
      <c r="B2456" s="11">
        <v>39253.0</v>
      </c>
    </row>
    <row r="2457">
      <c r="A2457" s="5" t="s">
        <v>2992</v>
      </c>
      <c r="B2457" s="11">
        <v>109056.0</v>
      </c>
    </row>
    <row r="2458">
      <c r="A2458" s="5" t="s">
        <v>2993</v>
      </c>
      <c r="B2458" s="11">
        <v>22700.0</v>
      </c>
    </row>
    <row r="2459">
      <c r="A2459" s="5" t="s">
        <v>2994</v>
      </c>
      <c r="B2459" s="11">
        <v>2630.0</v>
      </c>
    </row>
    <row r="2460">
      <c r="A2460" s="12" t="s">
        <v>2995</v>
      </c>
      <c r="B2460" s="11">
        <v>25081.0</v>
      </c>
    </row>
    <row r="2461">
      <c r="A2461" s="5" t="s">
        <v>2996</v>
      </c>
      <c r="B2461" s="11">
        <v>21867.0</v>
      </c>
    </row>
    <row r="2462">
      <c r="A2462" s="12" t="s">
        <v>1388</v>
      </c>
      <c r="B2462" s="11">
        <v>21539.0</v>
      </c>
    </row>
    <row r="2463">
      <c r="A2463" s="12" t="s">
        <v>2997</v>
      </c>
      <c r="B2463" s="11">
        <v>29418.0</v>
      </c>
    </row>
    <row r="2464">
      <c r="A2464" s="12" t="s">
        <v>2998</v>
      </c>
      <c r="B2464" s="11">
        <v>19777.0</v>
      </c>
    </row>
    <row r="2465">
      <c r="A2465" s="12" t="s">
        <v>2999</v>
      </c>
      <c r="B2465" s="11">
        <v>32183.0</v>
      </c>
    </row>
    <row r="2466">
      <c r="A2466" s="12" t="s">
        <v>3000</v>
      </c>
      <c r="B2466" s="11">
        <v>20912.0</v>
      </c>
    </row>
    <row r="2467">
      <c r="A2467" s="12" t="s">
        <v>3001</v>
      </c>
      <c r="B2467" s="11">
        <v>35018.0</v>
      </c>
    </row>
    <row r="2468">
      <c r="A2468" s="5" t="s">
        <v>3002</v>
      </c>
      <c r="B2468" s="11">
        <v>45077.0</v>
      </c>
    </row>
    <row r="2469">
      <c r="A2469" s="5" t="s">
        <v>3003</v>
      </c>
      <c r="B2469" s="11">
        <v>0.0</v>
      </c>
    </row>
    <row r="2470">
      <c r="A2470" s="5" t="s">
        <v>3004</v>
      </c>
      <c r="B2470" s="11">
        <v>0.0</v>
      </c>
    </row>
    <row r="2471">
      <c r="A2471" s="12" t="s">
        <v>3005</v>
      </c>
      <c r="B2471" s="11">
        <v>7043.0</v>
      </c>
    </row>
    <row r="2472">
      <c r="A2472" s="5" t="s">
        <v>3006</v>
      </c>
      <c r="B2472" s="11">
        <v>31819.0</v>
      </c>
    </row>
    <row r="2473">
      <c r="A2473" s="5" t="s">
        <v>3007</v>
      </c>
      <c r="B2473" s="11">
        <v>65176.0</v>
      </c>
    </row>
    <row r="2474">
      <c r="A2474" s="5" t="s">
        <v>3008</v>
      </c>
      <c r="B2474" s="11">
        <v>14841.0</v>
      </c>
    </row>
    <row r="2475">
      <c r="A2475" s="5" t="s">
        <v>3009</v>
      </c>
      <c r="B2475" s="11">
        <v>3966.0</v>
      </c>
    </row>
    <row r="2476">
      <c r="A2476" s="5" t="s">
        <v>3010</v>
      </c>
      <c r="B2476" s="11">
        <v>11914.0</v>
      </c>
    </row>
    <row r="2477">
      <c r="A2477" s="5" t="s">
        <v>3011</v>
      </c>
      <c r="B2477" s="11">
        <v>7090.0</v>
      </c>
    </row>
    <row r="2478">
      <c r="A2478" s="5" t="s">
        <v>3012</v>
      </c>
      <c r="B2478" s="11">
        <v>6665.0</v>
      </c>
    </row>
    <row r="2479">
      <c r="A2479" s="12" t="s">
        <v>350</v>
      </c>
      <c r="B2479" s="11">
        <v>7703.0</v>
      </c>
    </row>
    <row r="2480">
      <c r="A2480" s="5" t="s">
        <v>3013</v>
      </c>
      <c r="B2480" s="11">
        <v>4815.0</v>
      </c>
    </row>
    <row r="2481">
      <c r="A2481" s="5" t="s">
        <v>3014</v>
      </c>
      <c r="B2481" s="11">
        <v>8464.0</v>
      </c>
    </row>
    <row r="2482">
      <c r="A2482" s="5" t="s">
        <v>3015</v>
      </c>
      <c r="B2482" s="11">
        <v>31285.0</v>
      </c>
    </row>
    <row r="2483">
      <c r="A2483" s="5" t="s">
        <v>3016</v>
      </c>
      <c r="B2483" s="11">
        <v>7473.0</v>
      </c>
    </row>
    <row r="2484">
      <c r="A2484" s="5" t="s">
        <v>3017</v>
      </c>
      <c r="B2484" s="11">
        <v>10237.0</v>
      </c>
    </row>
    <row r="2485">
      <c r="A2485" s="5" t="s">
        <v>3018</v>
      </c>
      <c r="B2485" s="11">
        <v>23302.0</v>
      </c>
    </row>
    <row r="2486">
      <c r="A2486" s="5" t="s">
        <v>3019</v>
      </c>
      <c r="B2486" s="11">
        <v>15879.0</v>
      </c>
    </row>
    <row r="2487">
      <c r="A2487" s="5" t="s">
        <v>3020</v>
      </c>
      <c r="B2487" s="11">
        <v>9937.0</v>
      </c>
    </row>
    <row r="2488">
      <c r="A2488" s="5" t="s">
        <v>3021</v>
      </c>
      <c r="B2488" s="11">
        <v>9258.0</v>
      </c>
    </row>
    <row r="2489">
      <c r="A2489" s="5" t="s">
        <v>3022</v>
      </c>
      <c r="B2489" s="11">
        <v>14232.0</v>
      </c>
    </row>
    <row r="2490">
      <c r="A2490" s="5" t="s">
        <v>3023</v>
      </c>
      <c r="B2490" s="11">
        <v>9921.0</v>
      </c>
    </row>
    <row r="2491">
      <c r="A2491" s="12" t="s">
        <v>3024</v>
      </c>
      <c r="B2491" s="11">
        <v>4734.0</v>
      </c>
    </row>
    <row r="2492">
      <c r="A2492" s="12" t="s">
        <v>3025</v>
      </c>
      <c r="B2492" s="11">
        <v>6745.0</v>
      </c>
    </row>
    <row r="2493">
      <c r="A2493" s="5" t="s">
        <v>3026</v>
      </c>
      <c r="B2493" s="11">
        <v>9937.0</v>
      </c>
    </row>
    <row r="2494">
      <c r="A2494" s="5" t="s">
        <v>3027</v>
      </c>
      <c r="B2494" s="28">
        <v>14872.0</v>
      </c>
    </row>
    <row r="2495">
      <c r="A2495" s="5" t="s">
        <v>3028</v>
      </c>
      <c r="B2495" s="11">
        <v>16129.0</v>
      </c>
    </row>
    <row r="2496">
      <c r="A2496" s="5" t="s">
        <v>3029</v>
      </c>
      <c r="B2496" s="11">
        <v>11549.0</v>
      </c>
    </row>
    <row r="2497">
      <c r="A2497" s="5" t="s">
        <v>3030</v>
      </c>
      <c r="B2497" s="11">
        <v>13932.0</v>
      </c>
    </row>
    <row r="2498">
      <c r="A2498" s="5" t="s">
        <v>3031</v>
      </c>
      <c r="B2498" s="11">
        <v>12771.0</v>
      </c>
    </row>
    <row r="2499">
      <c r="A2499" s="5" t="s">
        <v>3032</v>
      </c>
      <c r="B2499" s="11">
        <v>20140.0</v>
      </c>
    </row>
    <row r="2500">
      <c r="A2500" s="12" t="s">
        <v>3033</v>
      </c>
      <c r="B2500" s="11">
        <v>4830.0</v>
      </c>
    </row>
    <row r="2501">
      <c r="A2501" s="5" t="s">
        <v>3034</v>
      </c>
      <c r="B2501" s="11">
        <v>4431.0</v>
      </c>
    </row>
    <row r="2502">
      <c r="A2502" s="5" t="s">
        <v>3035</v>
      </c>
      <c r="B2502" s="11">
        <v>8735.0</v>
      </c>
    </row>
    <row r="2503">
      <c r="A2503" s="5" t="s">
        <v>3036</v>
      </c>
      <c r="B2503" s="11">
        <v>8367.0</v>
      </c>
    </row>
    <row r="2504">
      <c r="A2504" s="5" t="s">
        <v>3037</v>
      </c>
      <c r="B2504" s="11">
        <v>17433.0</v>
      </c>
    </row>
    <row r="2505">
      <c r="A2505" s="5" t="s">
        <v>3038</v>
      </c>
      <c r="B2505" s="11">
        <v>8915.0</v>
      </c>
    </row>
    <row r="2506">
      <c r="A2506" s="5" t="s">
        <v>3039</v>
      </c>
      <c r="B2506" s="11">
        <v>9858.0</v>
      </c>
    </row>
    <row r="2507">
      <c r="A2507" s="5" t="s">
        <v>3040</v>
      </c>
      <c r="B2507" s="11">
        <v>9987.0</v>
      </c>
    </row>
    <row r="2508">
      <c r="A2508" s="5" t="s">
        <v>3041</v>
      </c>
      <c r="B2508" s="11">
        <v>14132.0</v>
      </c>
    </row>
    <row r="2509">
      <c r="A2509" s="5" t="s">
        <v>3042</v>
      </c>
      <c r="B2509" s="11">
        <v>0.0</v>
      </c>
    </row>
    <row r="2510">
      <c r="A2510" s="5" t="s">
        <v>3043</v>
      </c>
      <c r="B2510" s="11">
        <v>2487.0</v>
      </c>
    </row>
    <row r="2511">
      <c r="A2511" s="5" t="s">
        <v>3044</v>
      </c>
      <c r="B2511" s="11">
        <v>4273.0</v>
      </c>
    </row>
    <row r="2512">
      <c r="A2512" s="5" t="s">
        <v>768</v>
      </c>
      <c r="B2512" s="11">
        <v>8712.0</v>
      </c>
    </row>
    <row r="2513">
      <c r="A2513" s="5" t="s">
        <v>3045</v>
      </c>
      <c r="B2513" s="11">
        <v>31591.0</v>
      </c>
    </row>
    <row r="2514">
      <c r="A2514" s="5" t="s">
        <v>3046</v>
      </c>
      <c r="B2514" s="11">
        <v>8712.0</v>
      </c>
    </row>
    <row r="2515">
      <c r="A2515" s="5" t="s">
        <v>3047</v>
      </c>
      <c r="B2515" s="11">
        <v>31591.0</v>
      </c>
    </row>
    <row r="2516">
      <c r="A2516" s="5" t="s">
        <v>3048</v>
      </c>
      <c r="B2516" s="11">
        <v>8712.0</v>
      </c>
    </row>
    <row r="2517">
      <c r="A2517" s="5" t="s">
        <v>3049</v>
      </c>
      <c r="B2517" s="11">
        <v>31591.0</v>
      </c>
    </row>
    <row r="2518">
      <c r="A2518" s="5" t="s">
        <v>3050</v>
      </c>
      <c r="B2518" s="11">
        <v>56571.0</v>
      </c>
    </row>
    <row r="2519">
      <c r="A2519" s="5" t="s">
        <v>3051</v>
      </c>
      <c r="B2519" s="11">
        <v>14528.0</v>
      </c>
    </row>
    <row r="2520">
      <c r="A2520" s="5" t="s">
        <v>3052</v>
      </c>
      <c r="B2520" s="11">
        <v>7761.0</v>
      </c>
    </row>
    <row r="2521">
      <c r="A2521" s="5" t="s">
        <v>3053</v>
      </c>
      <c r="B2521" s="11">
        <v>14235.0</v>
      </c>
    </row>
    <row r="2522">
      <c r="A2522" s="5" t="s">
        <v>3054</v>
      </c>
      <c r="B2522" s="11">
        <v>7006.0</v>
      </c>
    </row>
    <row r="2523">
      <c r="A2523" s="5" t="s">
        <v>3055</v>
      </c>
      <c r="B2523" s="11">
        <v>6916.0</v>
      </c>
    </row>
    <row r="2524">
      <c r="A2524" s="5" t="s">
        <v>3056</v>
      </c>
      <c r="B2524" s="11">
        <v>8712.0</v>
      </c>
    </row>
    <row r="2525">
      <c r="A2525" s="5" t="s">
        <v>3057</v>
      </c>
      <c r="B2525" s="11">
        <v>31591.0</v>
      </c>
    </row>
    <row r="2526">
      <c r="A2526" s="5" t="s">
        <v>3058</v>
      </c>
      <c r="B2526" s="11">
        <v>7088.0</v>
      </c>
    </row>
    <row r="2527">
      <c r="A2527" s="5" t="s">
        <v>3059</v>
      </c>
      <c r="B2527" s="11">
        <v>72071.0</v>
      </c>
    </row>
    <row r="2528">
      <c r="A2528" s="5" t="s">
        <v>3060</v>
      </c>
      <c r="B2528" s="11">
        <v>7088.0</v>
      </c>
    </row>
    <row r="2529">
      <c r="A2529" s="5" t="s">
        <v>3061</v>
      </c>
      <c r="B2529" s="11">
        <v>72071.0</v>
      </c>
    </row>
    <row r="2530">
      <c r="A2530" s="5" t="s">
        <v>3062</v>
      </c>
      <c r="B2530" s="11">
        <v>7138.0</v>
      </c>
    </row>
    <row r="2531">
      <c r="A2531" s="5" t="s">
        <v>3063</v>
      </c>
      <c r="B2531" s="11">
        <v>72777.0</v>
      </c>
    </row>
    <row r="2532">
      <c r="A2532" s="5" t="s">
        <v>3064</v>
      </c>
      <c r="B2532" s="11">
        <v>28299.0</v>
      </c>
    </row>
    <row r="2533">
      <c r="A2533" s="5" t="s">
        <v>3065</v>
      </c>
      <c r="B2533" s="11">
        <v>83452.0</v>
      </c>
    </row>
    <row r="2534">
      <c r="A2534" s="5" t="s">
        <v>3066</v>
      </c>
      <c r="B2534" s="11">
        <v>139087.0</v>
      </c>
    </row>
    <row r="2535">
      <c r="A2535" s="5" t="s">
        <v>3067</v>
      </c>
      <c r="B2535" s="11">
        <v>0.0</v>
      </c>
    </row>
    <row r="2536">
      <c r="A2536" s="5" t="s">
        <v>3068</v>
      </c>
      <c r="B2536" s="11">
        <v>4629.0</v>
      </c>
    </row>
    <row r="2537">
      <c r="A2537" s="5" t="s">
        <v>3069</v>
      </c>
      <c r="B2537" s="11">
        <v>39730.0</v>
      </c>
    </row>
    <row r="2538">
      <c r="A2538" s="5" t="s">
        <v>3070</v>
      </c>
      <c r="B2538" s="11">
        <v>4561.0</v>
      </c>
    </row>
    <row r="2539">
      <c r="A2539" s="5" t="s">
        <v>3071</v>
      </c>
      <c r="B2539" s="11">
        <v>3734.0</v>
      </c>
    </row>
    <row r="2540">
      <c r="A2540" s="5" t="s">
        <v>3072</v>
      </c>
      <c r="B2540" s="11">
        <v>7052.0</v>
      </c>
    </row>
    <row r="2541">
      <c r="A2541" s="5" t="s">
        <v>3074</v>
      </c>
      <c r="B2541" s="11">
        <v>12442.0</v>
      </c>
    </row>
    <row r="2542">
      <c r="A2542" s="5" t="s">
        <v>3076</v>
      </c>
      <c r="B2542" s="11">
        <v>4148.0</v>
      </c>
    </row>
    <row r="2543">
      <c r="A2543" s="12" t="s">
        <v>371</v>
      </c>
      <c r="B2543" s="11">
        <v>1783.0</v>
      </c>
    </row>
    <row r="2544">
      <c r="A2544" s="12" t="s">
        <v>375</v>
      </c>
      <c r="B2544" s="11">
        <v>1634.0</v>
      </c>
    </row>
    <row r="2545">
      <c r="A2545" s="12" t="s">
        <v>379</v>
      </c>
      <c r="B2545" s="11">
        <v>2155.0</v>
      </c>
    </row>
    <row r="2546">
      <c r="A2546" s="12" t="s">
        <v>382</v>
      </c>
      <c r="B2546" s="11">
        <v>1569.0</v>
      </c>
    </row>
    <row r="2547">
      <c r="A2547" s="12" t="s">
        <v>385</v>
      </c>
      <c r="B2547" s="11">
        <v>1683.0</v>
      </c>
    </row>
    <row r="2548">
      <c r="A2548" s="12" t="s">
        <v>389</v>
      </c>
      <c r="B2548" s="11">
        <v>2382.0</v>
      </c>
    </row>
    <row r="2549">
      <c r="A2549" s="5" t="s">
        <v>3078</v>
      </c>
      <c r="B2549" s="11">
        <v>7433.0</v>
      </c>
    </row>
    <row r="2550">
      <c r="A2550" s="5" t="s">
        <v>3079</v>
      </c>
      <c r="B2550" s="11">
        <v>4510.0</v>
      </c>
    </row>
    <row r="2551">
      <c r="A2551" s="5" t="s">
        <v>3080</v>
      </c>
      <c r="B2551" s="11">
        <v>7553.0</v>
      </c>
    </row>
    <row r="2552">
      <c r="A2552" s="5" t="s">
        <v>3081</v>
      </c>
      <c r="B2552" s="11">
        <v>6047.0</v>
      </c>
    </row>
    <row r="2553">
      <c r="A2553" s="5" t="s">
        <v>3082</v>
      </c>
      <c r="B2553" s="11">
        <v>15593.0</v>
      </c>
    </row>
    <row r="2554">
      <c r="A2554" s="5" t="s">
        <v>3083</v>
      </c>
      <c r="B2554" s="11">
        <v>8817.0</v>
      </c>
    </row>
    <row r="2555">
      <c r="A2555" s="5" t="s">
        <v>3084</v>
      </c>
      <c r="B2555" s="11">
        <v>10073.0</v>
      </c>
    </row>
    <row r="2556">
      <c r="A2556" s="5" t="s">
        <v>3085</v>
      </c>
      <c r="B2556" s="11">
        <v>8712.0</v>
      </c>
    </row>
    <row r="2557">
      <c r="A2557" s="5" t="s">
        <v>3086</v>
      </c>
      <c r="B2557" s="11">
        <v>31591.0</v>
      </c>
    </row>
    <row r="2558">
      <c r="A2558" s="5" t="s">
        <v>3087</v>
      </c>
      <c r="B2558" s="11">
        <v>8871.0</v>
      </c>
    </row>
    <row r="2559">
      <c r="A2559" s="5" t="s">
        <v>3088</v>
      </c>
      <c r="B2559" s="11">
        <v>1448.0</v>
      </c>
    </row>
    <row r="2560">
      <c r="A2560" s="5" t="s">
        <v>3089</v>
      </c>
      <c r="B2560" s="11">
        <v>8712.0</v>
      </c>
    </row>
    <row r="2561">
      <c r="A2561" s="5" t="s">
        <v>3090</v>
      </c>
      <c r="B2561" s="11">
        <v>31591.0</v>
      </c>
    </row>
    <row r="2562">
      <c r="A2562" s="5" t="s">
        <v>3091</v>
      </c>
      <c r="B2562" s="11">
        <v>10026.0</v>
      </c>
    </row>
    <row r="2563">
      <c r="A2563" s="5" t="s">
        <v>3092</v>
      </c>
      <c r="B2563" s="11">
        <v>15521.0</v>
      </c>
    </row>
    <row r="2564">
      <c r="A2564" s="5" t="s">
        <v>3093</v>
      </c>
      <c r="B2564" s="11">
        <v>15783.0</v>
      </c>
    </row>
    <row r="2565">
      <c r="A2565" s="12" t="s">
        <v>979</v>
      </c>
      <c r="B2565" s="11">
        <v>5466.0</v>
      </c>
    </row>
    <row r="2566">
      <c r="A2566" s="5" t="s">
        <v>3094</v>
      </c>
      <c r="B2566" s="11">
        <v>65005.0</v>
      </c>
    </row>
    <row r="2567">
      <c r="A2567" s="5" t="s">
        <v>3095</v>
      </c>
      <c r="B2567" s="11">
        <v>5487.0</v>
      </c>
    </row>
    <row r="2568">
      <c r="A2568" s="5" t="s">
        <v>307</v>
      </c>
      <c r="B2568" s="11">
        <v>5694.0</v>
      </c>
    </row>
    <row r="2569">
      <c r="A2569" s="12" t="s">
        <v>3096</v>
      </c>
      <c r="B2569" s="11">
        <v>5214.0</v>
      </c>
    </row>
    <row r="2570">
      <c r="A2570" s="5" t="s">
        <v>3097</v>
      </c>
      <c r="B2570" s="11">
        <v>54764.0</v>
      </c>
    </row>
    <row r="2571">
      <c r="A2571" s="5" t="s">
        <v>3098</v>
      </c>
      <c r="B2571" s="11">
        <v>13435.0</v>
      </c>
    </row>
    <row r="2572">
      <c r="A2572" s="5" t="s">
        <v>3099</v>
      </c>
      <c r="B2572" s="11">
        <v>14908.0</v>
      </c>
    </row>
    <row r="2573">
      <c r="A2573" s="5" t="s">
        <v>311</v>
      </c>
      <c r="B2573" s="11">
        <v>6128.0</v>
      </c>
    </row>
    <row r="2574">
      <c r="A2574" s="12" t="s">
        <v>3100</v>
      </c>
      <c r="B2574" s="11">
        <v>5298.0</v>
      </c>
    </row>
    <row r="2575">
      <c r="A2575" s="5" t="s">
        <v>3101</v>
      </c>
      <c r="B2575" s="11">
        <v>54212.0</v>
      </c>
    </row>
    <row r="2576">
      <c r="A2576" s="5" t="s">
        <v>3102</v>
      </c>
      <c r="B2576" s="11">
        <v>15614.0</v>
      </c>
    </row>
    <row r="2577">
      <c r="A2577" s="5" t="s">
        <v>3103</v>
      </c>
      <c r="B2577" s="11">
        <v>5645.0</v>
      </c>
    </row>
    <row r="2578">
      <c r="A2578" s="5" t="s">
        <v>3104</v>
      </c>
      <c r="B2578" s="11">
        <v>62862.0</v>
      </c>
    </row>
    <row r="2579">
      <c r="A2579" s="5" t="s">
        <v>3105</v>
      </c>
      <c r="B2579" s="11">
        <v>13867.0</v>
      </c>
    </row>
    <row r="2580">
      <c r="A2580" s="5" t="s">
        <v>3106</v>
      </c>
      <c r="B2580" s="11">
        <v>5406.0</v>
      </c>
    </row>
    <row r="2581">
      <c r="A2581" s="5" t="s">
        <v>3107</v>
      </c>
      <c r="B2581" s="11">
        <v>47522.0</v>
      </c>
    </row>
    <row r="2582">
      <c r="A2582" s="5" t="s">
        <v>3108</v>
      </c>
      <c r="B2582" s="11">
        <v>43918.0</v>
      </c>
    </row>
    <row r="2583">
      <c r="A2583" s="5" t="s">
        <v>3109</v>
      </c>
      <c r="B2583" s="11">
        <v>16098.0</v>
      </c>
    </row>
    <row r="2584">
      <c r="A2584" s="12" t="s">
        <v>921</v>
      </c>
      <c r="B2584" s="11">
        <v>5683.0</v>
      </c>
    </row>
    <row r="2585">
      <c r="A2585" s="5" t="s">
        <v>3110</v>
      </c>
      <c r="B2585" s="11">
        <v>65762.0</v>
      </c>
    </row>
    <row r="2586">
      <c r="A2586" s="5" t="s">
        <v>3111</v>
      </c>
      <c r="B2586" s="11">
        <v>9025.0</v>
      </c>
    </row>
    <row r="2587">
      <c r="A2587" s="5" t="s">
        <v>3112</v>
      </c>
      <c r="B2587" s="11">
        <v>5757.0</v>
      </c>
    </row>
    <row r="2588">
      <c r="A2588" s="5" t="s">
        <v>3113</v>
      </c>
      <c r="B2588" s="11">
        <v>57153.0</v>
      </c>
    </row>
    <row r="2589">
      <c r="A2589" s="5" t="s">
        <v>3114</v>
      </c>
      <c r="B2589" s="11">
        <v>5757.0</v>
      </c>
    </row>
    <row r="2590">
      <c r="A2590" s="5" t="s">
        <v>3115</v>
      </c>
      <c r="B2590" s="11">
        <v>14932.0</v>
      </c>
    </row>
    <row r="2591">
      <c r="A2591" s="5" t="s">
        <v>3116</v>
      </c>
      <c r="B2591" s="11">
        <v>5757.0</v>
      </c>
    </row>
    <row r="2592">
      <c r="A2592" s="5" t="s">
        <v>3117</v>
      </c>
      <c r="B2592" s="11">
        <v>57153.0</v>
      </c>
    </row>
    <row r="2593">
      <c r="A2593" s="12" t="s">
        <v>315</v>
      </c>
      <c r="B2593" s="11">
        <v>4932.0</v>
      </c>
    </row>
    <row r="2594">
      <c r="A2594" s="5" t="s">
        <v>3118</v>
      </c>
      <c r="B2594" s="11">
        <v>45607.0</v>
      </c>
    </row>
    <row r="2595">
      <c r="A2595" s="5" t="s">
        <v>3119</v>
      </c>
      <c r="B2595" s="11">
        <v>7147.0</v>
      </c>
    </row>
    <row r="2596">
      <c r="A2596" s="5" t="s">
        <v>3120</v>
      </c>
      <c r="B2596" s="11">
        <v>76199.0</v>
      </c>
    </row>
    <row r="2597">
      <c r="A2597" s="5" t="s">
        <v>317</v>
      </c>
      <c r="B2597" s="11">
        <v>5169.0</v>
      </c>
    </row>
    <row r="2598">
      <c r="A2598" s="5" t="s">
        <v>3121</v>
      </c>
      <c r="B2598" s="11">
        <v>46579.0</v>
      </c>
    </row>
    <row r="2599">
      <c r="A2599" s="5" t="s">
        <v>3122</v>
      </c>
      <c r="B2599" s="11">
        <v>12466.0</v>
      </c>
    </row>
    <row r="2600">
      <c r="A2600" s="5" t="s">
        <v>320</v>
      </c>
      <c r="B2600" s="11">
        <v>5169.0</v>
      </c>
    </row>
    <row r="2601">
      <c r="A2601" s="5" t="s">
        <v>3123</v>
      </c>
      <c r="B2601" s="11">
        <v>9414.0</v>
      </c>
    </row>
    <row r="2602">
      <c r="A2602" s="5" t="s">
        <v>3124</v>
      </c>
      <c r="B2602" s="11">
        <v>115905.0</v>
      </c>
    </row>
    <row r="2603">
      <c r="A2603" s="5" t="s">
        <v>3125</v>
      </c>
      <c r="B2603" s="11">
        <v>6257.0</v>
      </c>
    </row>
    <row r="2604">
      <c r="A2604" s="5" t="s">
        <v>3126</v>
      </c>
      <c r="B2604" s="11">
        <v>61191.0</v>
      </c>
    </row>
    <row r="2605">
      <c r="A2605" s="5" t="s">
        <v>3127</v>
      </c>
      <c r="B2605" s="11">
        <v>5757.0</v>
      </c>
    </row>
    <row r="2606">
      <c r="A2606" s="5" t="s">
        <v>3128</v>
      </c>
      <c r="B2606" s="11">
        <v>53960.0</v>
      </c>
    </row>
    <row r="2607">
      <c r="A2607" s="5" t="s">
        <v>3129</v>
      </c>
      <c r="B2607" s="11">
        <v>5621.0</v>
      </c>
    </row>
    <row r="2608">
      <c r="A2608" s="5" t="s">
        <v>3130</v>
      </c>
      <c r="B2608" s="11">
        <v>6925.0</v>
      </c>
    </row>
    <row r="2609">
      <c r="A2609" s="5" t="s">
        <v>3131</v>
      </c>
      <c r="B2609" s="11">
        <v>92872.0</v>
      </c>
    </row>
    <row r="2610">
      <c r="A2610" s="5" t="s">
        <v>3132</v>
      </c>
      <c r="B2610" s="11">
        <v>14447.0</v>
      </c>
    </row>
    <row r="2611">
      <c r="A2611" s="12" t="s">
        <v>762</v>
      </c>
      <c r="B2611" s="11">
        <v>5281.0</v>
      </c>
    </row>
    <row r="2612">
      <c r="A2612" s="5" t="s">
        <v>3133</v>
      </c>
      <c r="B2612" s="11">
        <v>56129.0</v>
      </c>
    </row>
    <row r="2613">
      <c r="A2613" s="5" t="s">
        <v>3134</v>
      </c>
      <c r="B2613" s="11">
        <v>6108.0</v>
      </c>
    </row>
    <row r="2614">
      <c r="A2614" s="5" t="s">
        <v>3135</v>
      </c>
      <c r="B2614" s="11">
        <v>8712.0</v>
      </c>
    </row>
    <row r="2615">
      <c r="A2615" s="5" t="s">
        <v>3136</v>
      </c>
      <c r="B2615" s="11">
        <v>31591.0</v>
      </c>
    </row>
    <row r="2616">
      <c r="A2616" s="5" t="s">
        <v>3137</v>
      </c>
      <c r="B2616" s="11">
        <v>1633.0</v>
      </c>
    </row>
    <row r="2617">
      <c r="A2617" s="5" t="s">
        <v>3138</v>
      </c>
      <c r="B2617" s="11">
        <v>46700.0</v>
      </c>
    </row>
    <row r="2618">
      <c r="A2618" s="5" t="s">
        <v>3139</v>
      </c>
      <c r="B2618" s="11">
        <v>5963.0</v>
      </c>
    </row>
    <row r="2619">
      <c r="A2619" s="5" t="s">
        <v>3140</v>
      </c>
      <c r="B2619" s="11">
        <v>3524.0</v>
      </c>
    </row>
    <row r="2620">
      <c r="A2620" s="5" t="s">
        <v>3141</v>
      </c>
      <c r="B2620" s="11">
        <v>19847.0</v>
      </c>
    </row>
    <row r="2621">
      <c r="A2621" s="5" t="s">
        <v>3142</v>
      </c>
      <c r="B2621" s="11">
        <v>149870.0</v>
      </c>
    </row>
    <row r="2622">
      <c r="A2622" s="5" t="s">
        <v>3143</v>
      </c>
      <c r="B2622" s="11">
        <v>29757.0</v>
      </c>
    </row>
    <row r="2623">
      <c r="A2623" s="5" t="s">
        <v>3144</v>
      </c>
      <c r="B2623" s="11">
        <v>21235.0</v>
      </c>
    </row>
    <row r="2624">
      <c r="A2624" s="5" t="s">
        <v>3145</v>
      </c>
      <c r="B2624" s="11">
        <v>32376.0</v>
      </c>
    </row>
    <row r="2625">
      <c r="A2625" s="5" t="s">
        <v>3146</v>
      </c>
      <c r="B2625" s="11">
        <v>13782.0</v>
      </c>
    </row>
    <row r="2626">
      <c r="A2626" s="5" t="s">
        <v>3147</v>
      </c>
      <c r="B2626" s="11">
        <v>28291.0</v>
      </c>
    </row>
    <row r="2627">
      <c r="A2627" s="5" t="s">
        <v>3148</v>
      </c>
      <c r="B2627" s="11">
        <v>52781.0</v>
      </c>
    </row>
    <row r="2628">
      <c r="A2628" s="5" t="s">
        <v>3149</v>
      </c>
      <c r="B2628" s="11">
        <v>14793.0</v>
      </c>
    </row>
    <row r="2629">
      <c r="A2629" s="5" t="s">
        <v>3150</v>
      </c>
      <c r="B2629" s="11">
        <v>2264.0</v>
      </c>
    </row>
    <row r="2630">
      <c r="A2630" s="5" t="s">
        <v>3151</v>
      </c>
      <c r="B2630" s="11">
        <v>12247.0</v>
      </c>
    </row>
    <row r="2631">
      <c r="A2631" s="5" t="s">
        <v>3152</v>
      </c>
      <c r="B2631" s="11">
        <v>146956.0</v>
      </c>
    </row>
    <row r="2632">
      <c r="A2632" s="5" t="s">
        <v>3153</v>
      </c>
      <c r="B2632" s="11">
        <v>41715.0</v>
      </c>
    </row>
    <row r="2633">
      <c r="A2633" s="5" t="s">
        <v>3154</v>
      </c>
      <c r="B2633" s="11">
        <v>14913.0</v>
      </c>
    </row>
    <row r="2634">
      <c r="A2634" s="5" t="s">
        <v>3155</v>
      </c>
      <c r="B2634" s="11">
        <v>34005.0</v>
      </c>
    </row>
    <row r="2635">
      <c r="A2635" s="5" t="s">
        <v>3156</v>
      </c>
      <c r="B2635" s="11">
        <v>5078.0</v>
      </c>
    </row>
    <row r="2636">
      <c r="A2636" s="12" t="s">
        <v>3157</v>
      </c>
      <c r="B2636" s="11">
        <v>12900.0</v>
      </c>
    </row>
    <row r="2637">
      <c r="A2637" s="5" t="s">
        <v>3158</v>
      </c>
      <c r="B2637" s="11">
        <v>52073.0</v>
      </c>
    </row>
    <row r="2638">
      <c r="A2638" s="5" t="s">
        <v>3159</v>
      </c>
      <c r="B2638" s="11">
        <v>9709.0</v>
      </c>
    </row>
    <row r="2639">
      <c r="A2639" s="5" t="s">
        <v>3160</v>
      </c>
      <c r="B2639" s="11">
        <v>24136.0</v>
      </c>
    </row>
    <row r="2640">
      <c r="A2640" s="5" t="s">
        <v>3161</v>
      </c>
      <c r="B2640" s="11">
        <v>9109.0</v>
      </c>
    </row>
    <row r="2641">
      <c r="A2641" s="5" t="s">
        <v>3162</v>
      </c>
      <c r="B2641" s="11">
        <v>9709.0</v>
      </c>
    </row>
    <row r="2642">
      <c r="A2642" s="5" t="s">
        <v>3163</v>
      </c>
      <c r="B2642" s="11">
        <v>22328.0</v>
      </c>
    </row>
    <row r="2643">
      <c r="A2643" s="12" t="s">
        <v>3164</v>
      </c>
      <c r="B2643" s="11">
        <v>21604.0</v>
      </c>
    </row>
    <row r="2644">
      <c r="A2644" s="12" t="s">
        <v>3165</v>
      </c>
      <c r="B2644" s="11">
        <v>21604.0</v>
      </c>
    </row>
    <row r="2645">
      <c r="A2645" s="12" t="s">
        <v>3166</v>
      </c>
      <c r="B2645" s="11">
        <v>21604.0</v>
      </c>
    </row>
    <row r="2646">
      <c r="A2646" s="12" t="s">
        <v>3167</v>
      </c>
      <c r="B2646" s="11">
        <v>21604.0</v>
      </c>
    </row>
    <row r="2647">
      <c r="A2647" s="5" t="s">
        <v>3168</v>
      </c>
      <c r="B2647" s="11">
        <v>30010.0</v>
      </c>
    </row>
    <row r="2648">
      <c r="A2648" s="5" t="s">
        <v>3169</v>
      </c>
      <c r="B2648" s="11">
        <v>30010.0</v>
      </c>
    </row>
    <row r="2649">
      <c r="A2649" s="5" t="s">
        <v>3170</v>
      </c>
      <c r="B2649" s="11">
        <v>30010.0</v>
      </c>
    </row>
    <row r="2650">
      <c r="A2650" s="5" t="s">
        <v>3171</v>
      </c>
      <c r="B2650" s="11">
        <v>30010.0</v>
      </c>
    </row>
    <row r="2651">
      <c r="A2651" s="5" t="s">
        <v>3172</v>
      </c>
      <c r="B2651" s="11">
        <v>80406.0</v>
      </c>
    </row>
    <row r="2652">
      <c r="A2652" s="5" t="s">
        <v>3173</v>
      </c>
      <c r="B2652" s="11">
        <v>40655.0</v>
      </c>
    </row>
    <row r="2653">
      <c r="A2653" s="5" t="s">
        <v>3174</v>
      </c>
      <c r="B2653" s="28">
        <v>247506.0</v>
      </c>
    </row>
    <row r="2654">
      <c r="A2654" s="5" t="s">
        <v>3175</v>
      </c>
      <c r="B2654" s="28">
        <v>89883.0</v>
      </c>
    </row>
    <row r="2655">
      <c r="A2655" s="5" t="s">
        <v>3176</v>
      </c>
      <c r="B2655" s="11">
        <v>43271.0</v>
      </c>
    </row>
    <row r="2656">
      <c r="A2656" s="5" t="s">
        <v>3177</v>
      </c>
      <c r="B2656" s="11">
        <v>11155.0</v>
      </c>
    </row>
    <row r="2657">
      <c r="A2657" s="5" t="s">
        <v>3178</v>
      </c>
      <c r="B2657" s="11">
        <v>24066.0</v>
      </c>
    </row>
    <row r="2658">
      <c r="A2658" s="5" t="s">
        <v>3179</v>
      </c>
      <c r="B2658" s="11">
        <v>108003.0</v>
      </c>
    </row>
    <row r="2659">
      <c r="A2659" s="5" t="s">
        <v>3180</v>
      </c>
      <c r="B2659" s="11">
        <v>11505.0</v>
      </c>
    </row>
    <row r="2660">
      <c r="A2660" s="5" t="s">
        <v>3181</v>
      </c>
      <c r="B2660" s="11">
        <v>25827.0</v>
      </c>
    </row>
    <row r="2661">
      <c r="A2661" s="5" t="s">
        <v>3182</v>
      </c>
      <c r="B2661" s="11">
        <v>122677.0</v>
      </c>
    </row>
    <row r="2662">
      <c r="A2662" s="5" t="s">
        <v>3183</v>
      </c>
      <c r="B2662" s="11">
        <v>7631.0</v>
      </c>
    </row>
    <row r="2663">
      <c r="A2663" s="5" t="s">
        <v>3184</v>
      </c>
      <c r="B2663" s="11">
        <v>17609.0</v>
      </c>
    </row>
    <row r="2664">
      <c r="A2664" s="5" t="s">
        <v>3185</v>
      </c>
      <c r="B2664" s="11">
        <v>78654.0</v>
      </c>
    </row>
    <row r="2665">
      <c r="A2665" s="5" t="s">
        <v>3186</v>
      </c>
      <c r="B2665" s="11">
        <v>68089.0</v>
      </c>
    </row>
    <row r="2666">
      <c r="A2666" s="5" t="s">
        <v>3187</v>
      </c>
      <c r="B2666" s="11">
        <v>31109.0</v>
      </c>
    </row>
    <row r="2667">
      <c r="A2667" s="5" t="s">
        <v>3188</v>
      </c>
      <c r="B2667" s="11">
        <v>34338.0</v>
      </c>
    </row>
    <row r="2668">
      <c r="A2668" s="5" t="s">
        <v>3189</v>
      </c>
      <c r="B2668" s="11">
        <v>9626.0</v>
      </c>
    </row>
    <row r="2669">
      <c r="A2669" s="5" t="s">
        <v>3190</v>
      </c>
      <c r="B2669" s="11">
        <v>70202.0</v>
      </c>
    </row>
    <row r="2670">
      <c r="A2670" s="5" t="s">
        <v>3191</v>
      </c>
      <c r="B2670" s="11">
        <v>26648.0</v>
      </c>
    </row>
    <row r="2671">
      <c r="A2671" s="5" t="s">
        <v>3192</v>
      </c>
      <c r="B2671" s="11">
        <v>6929.0</v>
      </c>
    </row>
    <row r="2672">
      <c r="A2672" s="12" t="s">
        <v>3193</v>
      </c>
      <c r="B2672" s="11">
        <v>23532.0</v>
      </c>
    </row>
    <row r="2673">
      <c r="A2673" s="12" t="s">
        <v>3194</v>
      </c>
      <c r="B2673" s="11">
        <v>6118.0</v>
      </c>
    </row>
    <row r="2674">
      <c r="A2674" s="5" t="s">
        <v>3195</v>
      </c>
      <c r="B2674" s="11">
        <v>4113.0</v>
      </c>
    </row>
    <row r="2675">
      <c r="A2675" s="5" t="s">
        <v>3196</v>
      </c>
      <c r="B2675" s="11">
        <v>8570.0</v>
      </c>
    </row>
    <row r="2676">
      <c r="A2676" s="5" t="s">
        <v>3197</v>
      </c>
      <c r="B2676" s="11">
        <v>8100.0</v>
      </c>
    </row>
    <row r="2677">
      <c r="A2677" s="5" t="s">
        <v>3198</v>
      </c>
      <c r="B2677" s="11">
        <v>8805.0</v>
      </c>
    </row>
    <row r="2678">
      <c r="A2678" s="5" t="s">
        <v>3199</v>
      </c>
      <c r="B2678" s="11">
        <v>10988.0</v>
      </c>
    </row>
    <row r="2679">
      <c r="A2679" s="5" t="s">
        <v>3200</v>
      </c>
      <c r="B2679" s="11">
        <v>21131.0</v>
      </c>
    </row>
    <row r="2680">
      <c r="A2680" s="5" t="s">
        <v>3201</v>
      </c>
      <c r="B2680" s="11">
        <v>5494.0</v>
      </c>
    </row>
    <row r="2681">
      <c r="A2681" s="12" t="s">
        <v>3202</v>
      </c>
      <c r="B2681" s="11">
        <v>11419.0</v>
      </c>
    </row>
    <row r="2682">
      <c r="A2682" s="12" t="s">
        <v>3203</v>
      </c>
      <c r="B2682" s="11">
        <v>5654.0</v>
      </c>
    </row>
    <row r="2683">
      <c r="A2683" s="5" t="s">
        <v>3204</v>
      </c>
      <c r="B2683" s="11">
        <v>15261.0</v>
      </c>
    </row>
    <row r="2684">
      <c r="A2684" s="5" t="s">
        <v>3205</v>
      </c>
      <c r="B2684" s="11">
        <v>6501.0</v>
      </c>
    </row>
    <row r="2685">
      <c r="A2685" s="5" t="s">
        <v>3206</v>
      </c>
      <c r="B2685" s="11">
        <v>25005.0</v>
      </c>
    </row>
    <row r="2686">
      <c r="A2686" s="5" t="s">
        <v>3207</v>
      </c>
      <c r="B2686" s="11">
        <v>32870.0</v>
      </c>
    </row>
    <row r="2687">
      <c r="A2687" s="5" t="s">
        <v>3208</v>
      </c>
      <c r="B2687" s="11">
        <v>8546.0</v>
      </c>
    </row>
    <row r="2688">
      <c r="A2688" s="12" t="s">
        <v>3209</v>
      </c>
      <c r="B2688" s="11">
        <v>12268.0</v>
      </c>
    </row>
    <row r="2689">
      <c r="A2689" s="5" t="s">
        <v>3210</v>
      </c>
      <c r="B2689" s="11">
        <v>17022.0</v>
      </c>
    </row>
    <row r="2690">
      <c r="A2690" s="5" t="s">
        <v>3211</v>
      </c>
      <c r="B2690" s="11">
        <v>13327.0</v>
      </c>
    </row>
    <row r="2691">
      <c r="A2691" s="5" t="s">
        <v>3212</v>
      </c>
      <c r="B2691" s="11">
        <v>8805.0</v>
      </c>
    </row>
    <row r="2692">
      <c r="A2692" s="5" t="s">
        <v>3213</v>
      </c>
      <c r="B2692" s="11">
        <v>3648.0</v>
      </c>
    </row>
    <row r="2693">
      <c r="A2693" s="5" t="s">
        <v>3214</v>
      </c>
      <c r="B2693" s="11">
        <v>22980.0</v>
      </c>
    </row>
    <row r="2694">
      <c r="A2694" s="5" t="s">
        <v>3215</v>
      </c>
      <c r="B2694" s="11">
        <v>72952.0</v>
      </c>
    </row>
    <row r="2695">
      <c r="A2695" s="5" t="s">
        <v>3216</v>
      </c>
      <c r="B2695" s="11">
        <v>13689.0</v>
      </c>
    </row>
    <row r="2696">
      <c r="A2696" s="5" t="s">
        <v>3217</v>
      </c>
      <c r="B2696" s="11">
        <v>8085.0</v>
      </c>
    </row>
    <row r="2697">
      <c r="A2697" s="5" t="s">
        <v>3218</v>
      </c>
      <c r="B2697" s="11">
        <v>69305.0</v>
      </c>
    </row>
    <row r="2698">
      <c r="A2698" s="5" t="s">
        <v>3219</v>
      </c>
      <c r="B2698" s="11">
        <v>15595.0</v>
      </c>
    </row>
    <row r="2699">
      <c r="A2699" s="5" t="s">
        <v>3220</v>
      </c>
      <c r="B2699" s="11">
        <v>5823.0</v>
      </c>
    </row>
    <row r="2700">
      <c r="A2700" s="5" t="s">
        <v>3221</v>
      </c>
      <c r="B2700" s="11">
        <v>13941.0</v>
      </c>
    </row>
    <row r="2701">
      <c r="A2701" s="5" t="s">
        <v>3222</v>
      </c>
      <c r="B2701" s="11">
        <v>5107.0</v>
      </c>
    </row>
    <row r="2702">
      <c r="A2702" s="5" t="s">
        <v>3223</v>
      </c>
      <c r="B2702" s="11">
        <v>14834.0</v>
      </c>
    </row>
    <row r="2703">
      <c r="A2703" s="5" t="s">
        <v>3224</v>
      </c>
      <c r="B2703" s="11">
        <v>16233.0</v>
      </c>
    </row>
    <row r="2704">
      <c r="A2704" s="5" t="s">
        <v>3225</v>
      </c>
      <c r="B2704" s="11">
        <v>34044.0</v>
      </c>
    </row>
    <row r="2705">
      <c r="A2705" s="5" t="s">
        <v>3226</v>
      </c>
      <c r="B2705" s="11">
        <v>3170.0</v>
      </c>
    </row>
    <row r="2706">
      <c r="A2706" s="5" t="s">
        <v>3227</v>
      </c>
      <c r="B2706" s="11">
        <v>2423.0</v>
      </c>
    </row>
    <row r="2707">
      <c r="A2707" s="5" t="s">
        <v>3228</v>
      </c>
      <c r="B2707" s="11">
        <v>5591.0</v>
      </c>
    </row>
    <row r="2708">
      <c r="A2708" s="5" t="s">
        <v>3229</v>
      </c>
      <c r="B2708" s="11">
        <v>10475.0</v>
      </c>
    </row>
    <row r="2709">
      <c r="A2709" s="5" t="s">
        <v>3230</v>
      </c>
      <c r="B2709" s="11">
        <v>2649.0</v>
      </c>
    </row>
    <row r="2710">
      <c r="A2710" s="5" t="s">
        <v>3231</v>
      </c>
      <c r="B2710" s="11">
        <v>9990.0</v>
      </c>
    </row>
    <row r="2711">
      <c r="A2711" s="5" t="s">
        <v>3232</v>
      </c>
      <c r="B2711" s="11">
        <v>22129.0</v>
      </c>
    </row>
    <row r="2712">
      <c r="A2712" s="5" t="s">
        <v>925</v>
      </c>
      <c r="B2712" s="11">
        <v>1853.0</v>
      </c>
    </row>
    <row r="2713">
      <c r="A2713" s="5" t="s">
        <v>928</v>
      </c>
      <c r="B2713" s="11">
        <v>1935.0</v>
      </c>
    </row>
    <row r="2714">
      <c r="A2714" s="5" t="s">
        <v>932</v>
      </c>
      <c r="B2714" s="11">
        <v>2940.0</v>
      </c>
    </row>
    <row r="2715">
      <c r="A2715" s="5" t="s">
        <v>935</v>
      </c>
      <c r="B2715" s="11">
        <v>3714.0</v>
      </c>
    </row>
    <row r="2716">
      <c r="A2716" s="5" t="s">
        <v>939</v>
      </c>
      <c r="B2716" s="11">
        <v>4951.0</v>
      </c>
    </row>
    <row r="2717">
      <c r="A2717" s="5" t="s">
        <v>942</v>
      </c>
      <c r="B2717" s="11">
        <v>6418.0</v>
      </c>
    </row>
    <row r="2718">
      <c r="A2718" s="5" t="s">
        <v>946</v>
      </c>
      <c r="B2718" s="11">
        <v>8355.0</v>
      </c>
    </row>
    <row r="2719">
      <c r="A2719" s="5" t="s">
        <v>3233</v>
      </c>
      <c r="B2719" s="11">
        <v>30485.0</v>
      </c>
    </row>
    <row r="2720">
      <c r="A2720" s="5" t="s">
        <v>3234</v>
      </c>
      <c r="B2720" s="11">
        <v>1813.0</v>
      </c>
    </row>
    <row r="2721">
      <c r="A2721" s="5" t="s">
        <v>3235</v>
      </c>
      <c r="B2721" s="11">
        <v>2401.0</v>
      </c>
    </row>
    <row r="2722">
      <c r="A2722" s="5" t="s">
        <v>3236</v>
      </c>
      <c r="B2722" s="11">
        <v>1930.0</v>
      </c>
    </row>
    <row r="2723">
      <c r="A2723" s="5" t="s">
        <v>3237</v>
      </c>
      <c r="B2723" s="11">
        <v>2340.0</v>
      </c>
    </row>
    <row r="2724">
      <c r="A2724" s="5" t="s">
        <v>3238</v>
      </c>
      <c r="B2724" s="11">
        <v>2340.0</v>
      </c>
    </row>
    <row r="2725">
      <c r="A2725" s="5" t="s">
        <v>3239</v>
      </c>
      <c r="B2725" s="11">
        <v>2533.0</v>
      </c>
    </row>
    <row r="2726">
      <c r="A2726" s="5" t="s">
        <v>3240</v>
      </c>
      <c r="B2726" s="11">
        <v>1951.0</v>
      </c>
    </row>
    <row r="2727">
      <c r="A2727" s="5" t="s">
        <v>3241</v>
      </c>
      <c r="B2727" s="11">
        <v>2963.0</v>
      </c>
    </row>
    <row r="2728">
      <c r="A2728" s="5" t="s">
        <v>3242</v>
      </c>
      <c r="B2728" s="11">
        <v>2789.0</v>
      </c>
    </row>
    <row r="2729">
      <c r="A2729" s="5" t="s">
        <v>3243</v>
      </c>
      <c r="B2729" s="11">
        <v>12534.0</v>
      </c>
    </row>
    <row r="2730">
      <c r="A2730" s="5" t="s">
        <v>3244</v>
      </c>
      <c r="B2730" s="11">
        <v>11517.0</v>
      </c>
    </row>
    <row r="2731">
      <c r="A2731" s="5" t="s">
        <v>3245</v>
      </c>
      <c r="B2731" s="11">
        <v>902.0</v>
      </c>
    </row>
    <row r="2732">
      <c r="A2732" s="5" t="s">
        <v>3246</v>
      </c>
      <c r="B2732" s="11">
        <v>902.0</v>
      </c>
    </row>
    <row r="2733">
      <c r="A2733" s="5" t="s">
        <v>3247</v>
      </c>
      <c r="B2733" s="11">
        <v>902.0</v>
      </c>
    </row>
    <row r="2734">
      <c r="A2734" s="5" t="s">
        <v>3248</v>
      </c>
      <c r="B2734" s="11">
        <v>4366.0</v>
      </c>
    </row>
    <row r="2735">
      <c r="A2735" s="5" t="s">
        <v>3249</v>
      </c>
      <c r="B2735" s="11">
        <v>4205.0</v>
      </c>
    </row>
    <row r="2736">
      <c r="A2736" s="5" t="s">
        <v>3250</v>
      </c>
      <c r="B2736" s="11">
        <v>4157.0</v>
      </c>
    </row>
    <row r="2737">
      <c r="A2737" s="5" t="s">
        <v>3251</v>
      </c>
      <c r="B2737" s="11">
        <v>272.0</v>
      </c>
    </row>
    <row r="2738">
      <c r="A2738" s="5" t="s">
        <v>3252</v>
      </c>
      <c r="B2738" s="11">
        <v>272.0</v>
      </c>
    </row>
    <row r="2739">
      <c r="A2739" s="5" t="s">
        <v>3253</v>
      </c>
      <c r="B2739" s="11">
        <v>272.0</v>
      </c>
    </row>
    <row r="2740">
      <c r="A2740" s="5" t="s">
        <v>3254</v>
      </c>
      <c r="B2740" s="11">
        <v>309.0</v>
      </c>
    </row>
    <row r="2741">
      <c r="A2741" s="5" t="s">
        <v>3255</v>
      </c>
      <c r="B2741" s="11">
        <v>6781.0</v>
      </c>
    </row>
    <row r="2742">
      <c r="A2742" s="5" t="s">
        <v>3256</v>
      </c>
      <c r="B2742" s="11">
        <v>16968.0</v>
      </c>
    </row>
    <row r="2743">
      <c r="A2743" s="5" t="s">
        <v>3257</v>
      </c>
      <c r="B2743" s="11">
        <v>4210.0</v>
      </c>
    </row>
    <row r="2744">
      <c r="A2744" s="5" t="s">
        <v>3258</v>
      </c>
      <c r="B2744" s="11">
        <v>4184.0</v>
      </c>
    </row>
    <row r="2745">
      <c r="A2745" s="5" t="s">
        <v>3259</v>
      </c>
      <c r="B2745" s="11">
        <v>16727.0</v>
      </c>
    </row>
    <row r="2746">
      <c r="A2746" s="12" t="s">
        <v>3260</v>
      </c>
      <c r="B2746" s="11">
        <v>4644.0</v>
      </c>
    </row>
    <row r="2747">
      <c r="A2747" s="5" t="s">
        <v>3261</v>
      </c>
      <c r="B2747" s="11">
        <v>4918.0</v>
      </c>
    </row>
    <row r="2748">
      <c r="A2748" s="5" t="s">
        <v>3262</v>
      </c>
      <c r="B2748" s="11">
        <v>4918.0</v>
      </c>
    </row>
    <row r="2749">
      <c r="A2749" s="12" t="s">
        <v>3263</v>
      </c>
      <c r="B2749" s="11">
        <v>4644.0</v>
      </c>
    </row>
    <row r="2750">
      <c r="A2750" s="12" t="s">
        <v>3264</v>
      </c>
      <c r="B2750" s="11">
        <v>4644.0</v>
      </c>
    </row>
    <row r="2751">
      <c r="A2751" s="12" t="s">
        <v>3265</v>
      </c>
      <c r="B2751" s="11">
        <v>4577.0</v>
      </c>
    </row>
    <row r="2752">
      <c r="A2752" s="5" t="s">
        <v>3266</v>
      </c>
      <c r="B2752" s="11">
        <v>4849.0</v>
      </c>
    </row>
    <row r="2753">
      <c r="A2753" s="12" t="s">
        <v>3267</v>
      </c>
      <c r="B2753" s="11">
        <v>4581.0</v>
      </c>
    </row>
    <row r="2754">
      <c r="A2754" s="12" t="s">
        <v>3268</v>
      </c>
      <c r="B2754" s="11">
        <v>4582.0</v>
      </c>
    </row>
    <row r="2755">
      <c r="A2755" s="5" t="s">
        <v>3269</v>
      </c>
      <c r="B2755" s="11">
        <v>4983.0</v>
      </c>
    </row>
    <row r="2756">
      <c r="A2756" s="5" t="s">
        <v>3270</v>
      </c>
      <c r="B2756" s="11">
        <v>4983.0</v>
      </c>
    </row>
    <row r="2757">
      <c r="A2757" s="5" t="s">
        <v>3271</v>
      </c>
      <c r="B2757" s="11">
        <v>4983.0</v>
      </c>
    </row>
    <row r="2758">
      <c r="A2758" s="5" t="s">
        <v>3272</v>
      </c>
      <c r="B2758" s="11">
        <v>22943.0</v>
      </c>
    </row>
    <row r="2759">
      <c r="A2759" s="5" t="s">
        <v>3273</v>
      </c>
      <c r="B2759" s="11">
        <v>23621.0</v>
      </c>
    </row>
    <row r="2760">
      <c r="A2760" s="5" t="s">
        <v>3274</v>
      </c>
      <c r="B2760" s="11">
        <v>26277.0</v>
      </c>
    </row>
    <row r="2761">
      <c r="A2761" s="5" t="s">
        <v>3275</v>
      </c>
      <c r="B2761" s="11">
        <v>29169.0</v>
      </c>
    </row>
    <row r="2762">
      <c r="A2762" s="5" t="s">
        <v>3276</v>
      </c>
      <c r="B2762" s="11">
        <v>0.0</v>
      </c>
    </row>
    <row r="2763">
      <c r="A2763" s="5" t="s">
        <v>3277</v>
      </c>
      <c r="B2763" s="11">
        <v>156.0</v>
      </c>
    </row>
    <row r="2764">
      <c r="A2764" s="5" t="s">
        <v>3279</v>
      </c>
      <c r="B2764" s="11">
        <v>54.0</v>
      </c>
    </row>
    <row r="2765">
      <c r="A2765" s="5" t="s">
        <v>3280</v>
      </c>
      <c r="B2765" s="11">
        <v>55.0</v>
      </c>
    </row>
    <row r="2766">
      <c r="A2766" s="5" t="s">
        <v>3281</v>
      </c>
      <c r="B2766" s="11">
        <v>62.0</v>
      </c>
    </row>
    <row r="2767">
      <c r="A2767" s="5" t="s">
        <v>3282</v>
      </c>
      <c r="B2767" s="11">
        <v>92.0</v>
      </c>
    </row>
    <row r="2768">
      <c r="A2768" s="5" t="s">
        <v>3283</v>
      </c>
      <c r="B2768" s="11">
        <v>158.0</v>
      </c>
    </row>
    <row r="2769">
      <c r="A2769" s="5" t="s">
        <v>3284</v>
      </c>
      <c r="B2769" s="11">
        <v>255.0</v>
      </c>
    </row>
    <row r="2770">
      <c r="A2770" s="5" t="s">
        <v>3285</v>
      </c>
      <c r="B2770" s="11">
        <v>365.0</v>
      </c>
    </row>
    <row r="2771">
      <c r="A2771" s="5" t="s">
        <v>3286</v>
      </c>
      <c r="B2771" s="11">
        <v>2105.0</v>
      </c>
    </row>
    <row r="2772">
      <c r="A2772" s="5" t="s">
        <v>3287</v>
      </c>
      <c r="B2772" s="11">
        <v>2584.0</v>
      </c>
    </row>
    <row r="2773">
      <c r="A2773" s="5" t="s">
        <v>3288</v>
      </c>
      <c r="B2773" s="11">
        <v>345.0</v>
      </c>
    </row>
    <row r="2774">
      <c r="A2774" s="5" t="s">
        <v>3289</v>
      </c>
      <c r="B2774" s="11">
        <v>327.0</v>
      </c>
    </row>
    <row r="2775">
      <c r="A2775" s="5" t="s">
        <v>3290</v>
      </c>
      <c r="B2775" s="11">
        <v>304.0</v>
      </c>
    </row>
    <row r="2776">
      <c r="A2776" s="5" t="s">
        <v>3291</v>
      </c>
      <c r="B2776" s="11">
        <v>0.0</v>
      </c>
    </row>
    <row r="2777">
      <c r="A2777" s="5" t="s">
        <v>3292</v>
      </c>
      <c r="B2777" s="11">
        <v>6518.0</v>
      </c>
    </row>
    <row r="2778">
      <c r="A2778" s="5" t="s">
        <v>3293</v>
      </c>
      <c r="B2778" s="11">
        <v>7345.0</v>
      </c>
    </row>
    <row r="2779">
      <c r="A2779" s="5" t="s">
        <v>3294</v>
      </c>
      <c r="B2779" s="11">
        <v>3570.0</v>
      </c>
    </row>
    <row r="2780">
      <c r="A2780" s="5" t="s">
        <v>3295</v>
      </c>
      <c r="B2780" s="11">
        <v>2128.0</v>
      </c>
    </row>
    <row r="2781">
      <c r="A2781" s="5" t="s">
        <v>3296</v>
      </c>
      <c r="B2781" s="11">
        <v>2809.0</v>
      </c>
    </row>
    <row r="2782">
      <c r="A2782" s="5" t="s">
        <v>3297</v>
      </c>
      <c r="B2782" s="11">
        <v>3411.0</v>
      </c>
    </row>
    <row r="2783">
      <c r="A2783" s="5" t="s">
        <v>3298</v>
      </c>
      <c r="B2783" s="11">
        <v>84840.0</v>
      </c>
    </row>
    <row r="2784">
      <c r="A2784" s="5" t="s">
        <v>3299</v>
      </c>
      <c r="B2784" s="11">
        <v>0.0</v>
      </c>
    </row>
    <row r="2785">
      <c r="A2785" s="12" t="s">
        <v>3300</v>
      </c>
      <c r="B2785" s="11">
        <v>107275.0</v>
      </c>
    </row>
    <row r="2786">
      <c r="A2786" s="5" t="s">
        <v>3301</v>
      </c>
      <c r="B2786" s="11">
        <v>107542.0</v>
      </c>
    </row>
    <row r="2787">
      <c r="A2787" s="5" t="s">
        <v>3302</v>
      </c>
      <c r="B2787" s="11">
        <v>37391.0</v>
      </c>
    </row>
    <row r="2788">
      <c r="A2788" s="5" t="s">
        <v>3303</v>
      </c>
      <c r="B2788" s="11">
        <v>89665.0</v>
      </c>
    </row>
    <row r="2789">
      <c r="A2789" s="5" t="s">
        <v>3304</v>
      </c>
      <c r="B2789" s="11">
        <v>21373.0</v>
      </c>
    </row>
    <row r="2790">
      <c r="A2790" s="5" t="s">
        <v>3305</v>
      </c>
      <c r="B2790" s="11">
        <v>38546.0</v>
      </c>
    </row>
    <row r="2791">
      <c r="A2791" s="5" t="s">
        <v>3306</v>
      </c>
      <c r="B2791" s="11">
        <v>35666.0</v>
      </c>
    </row>
    <row r="2792">
      <c r="A2792" s="5" t="s">
        <v>3307</v>
      </c>
      <c r="B2792" s="11">
        <v>50758.0</v>
      </c>
    </row>
    <row r="2793">
      <c r="A2793" s="12" t="s">
        <v>3308</v>
      </c>
      <c r="B2793" s="11">
        <v>21422.0</v>
      </c>
    </row>
    <row r="2794">
      <c r="A2794" s="5" t="s">
        <v>3309</v>
      </c>
      <c r="B2794" s="11">
        <v>95742.0</v>
      </c>
    </row>
    <row r="2795">
      <c r="A2795" s="5" t="s">
        <v>3310</v>
      </c>
      <c r="B2795" s="11">
        <v>14262.0</v>
      </c>
    </row>
    <row r="2796">
      <c r="A2796" s="5" t="s">
        <v>3311</v>
      </c>
      <c r="B2796" s="11">
        <v>80786.0</v>
      </c>
    </row>
    <row r="2797">
      <c r="A2797" s="5" t="s">
        <v>3312</v>
      </c>
      <c r="B2797" s="11">
        <v>0.0</v>
      </c>
    </row>
    <row r="2798">
      <c r="A2798" s="5" t="s">
        <v>3313</v>
      </c>
      <c r="B2798" s="11">
        <v>44243.0</v>
      </c>
    </row>
    <row r="2799">
      <c r="A2799" s="5" t="s">
        <v>3314</v>
      </c>
      <c r="B2799" s="11">
        <v>5682.0</v>
      </c>
    </row>
    <row r="2800">
      <c r="A2800" s="5" t="s">
        <v>3315</v>
      </c>
      <c r="B2800" s="11">
        <v>11853.0</v>
      </c>
    </row>
    <row r="2801">
      <c r="A2801" s="12" t="s">
        <v>3316</v>
      </c>
      <c r="B2801" s="11">
        <v>5996.0</v>
      </c>
    </row>
    <row r="2802">
      <c r="A2802" s="5" t="s">
        <v>3317</v>
      </c>
      <c r="B2802" s="11">
        <v>31611.0</v>
      </c>
    </row>
    <row r="2803">
      <c r="A2803" s="5" t="s">
        <v>3318</v>
      </c>
      <c r="B2803" s="11">
        <v>117168.0</v>
      </c>
    </row>
    <row r="2804">
      <c r="A2804" s="5" t="s">
        <v>3319</v>
      </c>
      <c r="B2804" s="11">
        <v>31846.0</v>
      </c>
    </row>
    <row r="2805">
      <c r="A2805" s="5" t="s">
        <v>3320</v>
      </c>
      <c r="B2805" s="11">
        <v>27147.0</v>
      </c>
    </row>
    <row r="2806">
      <c r="A2806" s="12" t="s">
        <v>3321</v>
      </c>
      <c r="B2806" s="11">
        <v>20045.0</v>
      </c>
    </row>
    <row r="2807">
      <c r="A2807" s="5" t="s">
        <v>3322</v>
      </c>
      <c r="B2807" s="11">
        <v>10150.0</v>
      </c>
    </row>
    <row r="2808">
      <c r="A2808" s="5" t="s">
        <v>3323</v>
      </c>
      <c r="B2808" s="11">
        <v>15703.0</v>
      </c>
    </row>
    <row r="2809">
      <c r="A2809" s="5" t="s">
        <v>3324</v>
      </c>
      <c r="B2809" s="11">
        <v>10506.0</v>
      </c>
    </row>
    <row r="2810">
      <c r="A2810" s="5" t="s">
        <v>3325</v>
      </c>
      <c r="B2810" s="11">
        <v>13004.0</v>
      </c>
    </row>
    <row r="2811">
      <c r="A2811" s="5" t="s">
        <v>3326</v>
      </c>
      <c r="B2811" s="11">
        <v>56136.0</v>
      </c>
    </row>
    <row r="2812">
      <c r="A2812" s="5" t="s">
        <v>3327</v>
      </c>
      <c r="B2812" s="11">
        <v>9931.0</v>
      </c>
    </row>
    <row r="2813">
      <c r="A2813" s="12" t="s">
        <v>3328</v>
      </c>
      <c r="B2813" s="11">
        <v>36231.0</v>
      </c>
    </row>
    <row r="2814">
      <c r="A2814" s="5" t="s">
        <v>3329</v>
      </c>
      <c r="B2814" s="11">
        <v>8175.0</v>
      </c>
    </row>
    <row r="2815">
      <c r="A2815" s="5" t="s">
        <v>3330</v>
      </c>
      <c r="B2815" s="11">
        <v>8566.0</v>
      </c>
    </row>
    <row r="2816">
      <c r="A2816" s="5" t="s">
        <v>3331</v>
      </c>
      <c r="B2816" s="11">
        <v>23923.0</v>
      </c>
    </row>
    <row r="2817">
      <c r="A2817" s="5" t="s">
        <v>3332</v>
      </c>
      <c r="B2817" s="11">
        <v>46542.0</v>
      </c>
    </row>
    <row r="2818">
      <c r="A2818" s="5" t="s">
        <v>3333</v>
      </c>
      <c r="B2818" s="11">
        <v>0.0</v>
      </c>
    </row>
    <row r="2819">
      <c r="A2819" s="5" t="s">
        <v>3334</v>
      </c>
      <c r="B2819" s="11">
        <v>30137.0</v>
      </c>
    </row>
    <row r="2820">
      <c r="A2820" s="5" t="s">
        <v>3335</v>
      </c>
      <c r="B2820" s="11">
        <v>8989.0</v>
      </c>
    </row>
    <row r="2821">
      <c r="A2821" s="12" t="s">
        <v>3336</v>
      </c>
      <c r="B2821" s="11">
        <v>21349.0</v>
      </c>
    </row>
    <row r="2822">
      <c r="A2822" s="5" t="s">
        <v>3337</v>
      </c>
      <c r="B2822" s="11">
        <v>18412.0</v>
      </c>
    </row>
    <row r="2823">
      <c r="A2823" s="5" t="s">
        <v>3338</v>
      </c>
      <c r="B2823" s="11">
        <v>19656.0</v>
      </c>
    </row>
    <row r="2824">
      <c r="A2824" s="5" t="s">
        <v>3339</v>
      </c>
      <c r="B2824" s="11">
        <v>22467.0</v>
      </c>
    </row>
    <row r="2825">
      <c r="A2825" s="5" t="s">
        <v>3340</v>
      </c>
      <c r="B2825" s="11">
        <v>24551.0</v>
      </c>
    </row>
    <row r="2826">
      <c r="A2826" s="5" t="s">
        <v>3341</v>
      </c>
      <c r="B2826" s="11">
        <v>37445.0</v>
      </c>
    </row>
    <row r="2827">
      <c r="A2827" s="5" t="s">
        <v>3342</v>
      </c>
      <c r="B2827" s="11">
        <v>12454.0</v>
      </c>
    </row>
    <row r="2828">
      <c r="A2828" s="5" t="s">
        <v>3343</v>
      </c>
      <c r="B2828" s="11">
        <v>30918.0</v>
      </c>
    </row>
    <row r="2829">
      <c r="A2829" s="5" t="s">
        <v>3344</v>
      </c>
      <c r="B2829" s="11">
        <v>34351.0</v>
      </c>
    </row>
    <row r="2830">
      <c r="A2830" s="5" t="s">
        <v>3345</v>
      </c>
      <c r="B2830" s="11">
        <v>14782.0</v>
      </c>
    </row>
    <row r="2831">
      <c r="A2831" s="5" t="s">
        <v>3346</v>
      </c>
      <c r="B2831" s="11">
        <v>3165.0</v>
      </c>
    </row>
    <row r="2832">
      <c r="A2832" s="5" t="s">
        <v>3347</v>
      </c>
      <c r="B2832" s="11">
        <v>5475.0</v>
      </c>
    </row>
    <row r="2833">
      <c r="A2833" s="5" t="s">
        <v>3348</v>
      </c>
      <c r="B2833" s="11">
        <v>4092.0</v>
      </c>
    </row>
    <row r="2834">
      <c r="A2834" s="5" t="s">
        <v>3349</v>
      </c>
      <c r="B2834" s="11">
        <v>3708.0</v>
      </c>
    </row>
    <row r="2835">
      <c r="A2835" s="5" t="s">
        <v>3350</v>
      </c>
      <c r="B2835" s="11">
        <v>5524.0</v>
      </c>
    </row>
    <row r="2836">
      <c r="A2836" s="5" t="s">
        <v>3351</v>
      </c>
      <c r="B2836" s="11">
        <v>6755.0</v>
      </c>
    </row>
    <row r="2837">
      <c r="A2837" s="12" t="s">
        <v>3352</v>
      </c>
      <c r="B2837" s="11">
        <v>60572.0</v>
      </c>
    </row>
    <row r="2838">
      <c r="A2838" s="12" t="s">
        <v>3353</v>
      </c>
      <c r="B2838" s="11">
        <v>35546.0</v>
      </c>
    </row>
    <row r="2839">
      <c r="A2839" s="5" t="s">
        <v>3354</v>
      </c>
      <c r="B2839" s="11">
        <v>3962.0</v>
      </c>
    </row>
    <row r="2840">
      <c r="A2840" s="5" t="s">
        <v>3355</v>
      </c>
      <c r="B2840" s="11">
        <v>25454.0</v>
      </c>
    </row>
    <row r="2841">
      <c r="A2841" s="5" t="s">
        <v>3356</v>
      </c>
      <c r="B2841" s="11">
        <v>8236.0</v>
      </c>
    </row>
    <row r="2842">
      <c r="A2842" s="5" t="s">
        <v>3357</v>
      </c>
      <c r="B2842" s="11">
        <v>13247.0</v>
      </c>
    </row>
    <row r="2843">
      <c r="A2843" s="5" t="s">
        <v>3358</v>
      </c>
      <c r="B2843" s="11">
        <v>9604.0</v>
      </c>
    </row>
    <row r="2844">
      <c r="A2844" s="5" t="s">
        <v>3359</v>
      </c>
      <c r="B2844" s="11">
        <v>41866.0</v>
      </c>
    </row>
    <row r="2845">
      <c r="A2845" s="5" t="s">
        <v>3360</v>
      </c>
      <c r="B2845" s="11">
        <v>50798.0</v>
      </c>
    </row>
    <row r="2846">
      <c r="A2846" s="5" t="s">
        <v>3361</v>
      </c>
      <c r="B2846" s="11">
        <v>0.0</v>
      </c>
    </row>
    <row r="2847">
      <c r="A2847" s="5" t="s">
        <v>3362</v>
      </c>
      <c r="B2847" s="11">
        <v>60172.0</v>
      </c>
    </row>
    <row r="2848">
      <c r="A2848" s="5" t="s">
        <v>3363</v>
      </c>
      <c r="B2848" s="11">
        <v>9890.0</v>
      </c>
    </row>
    <row r="2849">
      <c r="A2849" s="5" t="s">
        <v>3364</v>
      </c>
      <c r="B2849" s="11">
        <v>49109.0</v>
      </c>
    </row>
    <row r="2850">
      <c r="A2850" s="5" t="s">
        <v>3365</v>
      </c>
      <c r="B2850" s="11">
        <v>29739.0</v>
      </c>
    </row>
    <row r="2851">
      <c r="A2851" s="5" t="s">
        <v>3366</v>
      </c>
      <c r="B2851" s="11">
        <v>42188.0</v>
      </c>
    </row>
    <row r="2852">
      <c r="A2852" s="5" t="s">
        <v>3367</v>
      </c>
      <c r="B2852" s="11">
        <v>9938.0</v>
      </c>
    </row>
    <row r="2853">
      <c r="A2853" s="5" t="s">
        <v>3368</v>
      </c>
      <c r="B2853" s="11">
        <v>10993.0</v>
      </c>
    </row>
    <row r="2854">
      <c r="A2854" s="5" t="s">
        <v>3369</v>
      </c>
      <c r="B2854" s="11">
        <v>8001.0</v>
      </c>
    </row>
    <row r="2855">
      <c r="A2855" s="5" t="s">
        <v>3370</v>
      </c>
      <c r="B2855" s="11">
        <v>5245.0</v>
      </c>
    </row>
    <row r="2856">
      <c r="A2856" s="5" t="s">
        <v>3371</v>
      </c>
      <c r="B2856" s="11">
        <v>5869.0</v>
      </c>
    </row>
    <row r="2857">
      <c r="A2857" s="5" t="s">
        <v>3372</v>
      </c>
      <c r="B2857" s="11">
        <v>6733.0</v>
      </c>
    </row>
    <row r="2858">
      <c r="A2858" s="5" t="s">
        <v>3373</v>
      </c>
      <c r="B2858" s="11">
        <v>7449.0</v>
      </c>
    </row>
    <row r="2859">
      <c r="A2859" s="5" t="s">
        <v>3374</v>
      </c>
      <c r="B2859" s="11">
        <v>21828.0</v>
      </c>
    </row>
    <row r="2860">
      <c r="A2860" s="5" t="s">
        <v>3375</v>
      </c>
      <c r="B2860" s="11">
        <v>69569.0</v>
      </c>
    </row>
    <row r="2861">
      <c r="A2861" s="5" t="s">
        <v>3376</v>
      </c>
      <c r="B2861" s="11">
        <v>22630.0</v>
      </c>
    </row>
    <row r="2862">
      <c r="A2862" s="5" t="s">
        <v>3377</v>
      </c>
      <c r="B2862" s="11">
        <v>27121.0</v>
      </c>
    </row>
    <row r="2863">
      <c r="A2863" s="5" t="s">
        <v>3378</v>
      </c>
      <c r="B2863" s="11">
        <v>13920.0</v>
      </c>
    </row>
    <row r="2864">
      <c r="A2864" s="5" t="s">
        <v>3379</v>
      </c>
      <c r="B2864" s="11">
        <v>13693.0</v>
      </c>
    </row>
    <row r="2865">
      <c r="A2865" s="5" t="s">
        <v>3380</v>
      </c>
      <c r="B2865" s="11">
        <v>16835.0</v>
      </c>
    </row>
    <row r="2866">
      <c r="A2866" s="5" t="s">
        <v>3381</v>
      </c>
      <c r="B2866" s="11">
        <v>8055.0</v>
      </c>
    </row>
    <row r="2867">
      <c r="A2867" s="5" t="s">
        <v>3382</v>
      </c>
      <c r="B2867" s="11">
        <v>12345.0</v>
      </c>
    </row>
    <row r="2868">
      <c r="A2868" s="5" t="s">
        <v>3383</v>
      </c>
      <c r="B2868" s="11">
        <v>60699.0</v>
      </c>
    </row>
    <row r="2869">
      <c r="A2869" s="5" t="s">
        <v>3384</v>
      </c>
      <c r="B2869" s="11">
        <v>64948.0</v>
      </c>
    </row>
    <row r="2870">
      <c r="A2870" s="5" t="s">
        <v>3385</v>
      </c>
      <c r="B2870" s="11">
        <v>35598.0</v>
      </c>
    </row>
    <row r="2871">
      <c r="A2871" s="5" t="s">
        <v>3386</v>
      </c>
      <c r="B2871" s="11">
        <v>27622.0</v>
      </c>
    </row>
    <row r="2872">
      <c r="A2872" s="5" t="s">
        <v>3387</v>
      </c>
      <c r="B2872" s="11">
        <v>9141.0</v>
      </c>
    </row>
    <row r="2873">
      <c r="A2873" s="5" t="s">
        <v>3388</v>
      </c>
      <c r="B2873" s="11">
        <v>25385.0</v>
      </c>
    </row>
    <row r="2874">
      <c r="A2874" s="5" t="s">
        <v>3389</v>
      </c>
      <c r="B2874" s="11">
        <v>11685.0</v>
      </c>
    </row>
    <row r="2875">
      <c r="A2875" s="5" t="s">
        <v>3390</v>
      </c>
      <c r="B2875" s="11">
        <v>21608.0</v>
      </c>
    </row>
    <row r="2876">
      <c r="A2876" s="5" t="s">
        <v>3391</v>
      </c>
      <c r="B2876" s="11">
        <v>193.0</v>
      </c>
    </row>
    <row r="2877">
      <c r="A2877" s="5" t="s">
        <v>3392</v>
      </c>
      <c r="B2877" s="11">
        <v>877.0</v>
      </c>
    </row>
    <row r="2878">
      <c r="A2878" s="5" t="s">
        <v>3393</v>
      </c>
      <c r="B2878" s="11">
        <v>592.0</v>
      </c>
    </row>
    <row r="2879">
      <c r="A2879" s="5" t="s">
        <v>3394</v>
      </c>
      <c r="B2879" s="11">
        <v>451.0</v>
      </c>
    </row>
    <row r="2880">
      <c r="A2880" s="5" t="s">
        <v>3396</v>
      </c>
      <c r="B2880" s="11">
        <v>265.0</v>
      </c>
    </row>
    <row r="2881">
      <c r="A2881" s="5" t="s">
        <v>3397</v>
      </c>
      <c r="B2881" s="11">
        <v>3719.0</v>
      </c>
    </row>
    <row r="2882">
      <c r="A2882" s="5" t="s">
        <v>3398</v>
      </c>
      <c r="B2882" s="11">
        <v>1657.0</v>
      </c>
    </row>
    <row r="2883">
      <c r="A2883" s="5" t="s">
        <v>3399</v>
      </c>
      <c r="B2883" s="11">
        <v>76614.0</v>
      </c>
    </row>
    <row r="2884">
      <c r="A2884" s="5" t="s">
        <v>3400</v>
      </c>
      <c r="B2884" s="11">
        <v>76614.0</v>
      </c>
    </row>
    <row r="2885">
      <c r="A2885" s="5" t="s">
        <v>3401</v>
      </c>
      <c r="B2885" s="11">
        <v>3409.0</v>
      </c>
    </row>
    <row r="2886">
      <c r="A2886" s="5" t="s">
        <v>3402</v>
      </c>
      <c r="B2886" s="11">
        <v>3409.0</v>
      </c>
    </row>
    <row r="2887">
      <c r="A2887" s="5" t="s">
        <v>3403</v>
      </c>
      <c r="B2887" s="11">
        <v>3409.0</v>
      </c>
    </row>
    <row r="2888">
      <c r="A2888" s="12" t="s">
        <v>3404</v>
      </c>
      <c r="B2888" s="11">
        <v>15950.0</v>
      </c>
    </row>
    <row r="2889">
      <c r="A2889" s="12" t="s">
        <v>3405</v>
      </c>
      <c r="B2889" s="11">
        <v>25105.0</v>
      </c>
    </row>
    <row r="2890">
      <c r="A2890" s="12" t="s">
        <v>3406</v>
      </c>
      <c r="B2890" s="11">
        <v>39872.0</v>
      </c>
    </row>
    <row r="2891">
      <c r="A2891" s="12" t="s">
        <v>3407</v>
      </c>
      <c r="B2891" s="11">
        <v>23924.0</v>
      </c>
    </row>
    <row r="2892">
      <c r="A2892" s="12" t="s">
        <v>3408</v>
      </c>
      <c r="B2892" s="11">
        <v>39872.0</v>
      </c>
    </row>
    <row r="2893">
      <c r="A2893" s="12" t="s">
        <v>3409</v>
      </c>
      <c r="B2893" s="11">
        <v>59809.0</v>
      </c>
    </row>
    <row r="2894">
      <c r="A2894" s="5" t="s">
        <v>3410</v>
      </c>
      <c r="B2894" s="11">
        <v>6461.0</v>
      </c>
    </row>
    <row r="2895">
      <c r="A2895" s="5" t="s">
        <v>3411</v>
      </c>
      <c r="B2895" s="11">
        <v>13040.0</v>
      </c>
    </row>
    <row r="2896">
      <c r="A2896" s="5" t="s">
        <v>3412</v>
      </c>
      <c r="B2896" s="11">
        <v>36220.0</v>
      </c>
    </row>
    <row r="2897">
      <c r="A2897" s="5" t="s">
        <v>3413</v>
      </c>
      <c r="B2897" s="11">
        <v>48194.0</v>
      </c>
    </row>
    <row r="2898">
      <c r="A2898" s="5" t="s">
        <v>3414</v>
      </c>
      <c r="B2898" s="11">
        <v>63163.0</v>
      </c>
    </row>
    <row r="2899">
      <c r="A2899" s="5" t="s">
        <v>3415</v>
      </c>
      <c r="B2899" s="11">
        <v>12262.0</v>
      </c>
    </row>
    <row r="2900">
      <c r="A2900" s="5" t="s">
        <v>3416</v>
      </c>
      <c r="B2900" s="11">
        <v>18256.0</v>
      </c>
    </row>
    <row r="2901">
      <c r="A2901" s="5" t="s">
        <v>3417</v>
      </c>
      <c r="B2901" s="11">
        <v>33818.0</v>
      </c>
    </row>
    <row r="2902">
      <c r="A2902" s="5" t="s">
        <v>3418</v>
      </c>
      <c r="B2902" s="11">
        <v>15376.0</v>
      </c>
    </row>
    <row r="2903">
      <c r="A2903" s="5" t="s">
        <v>3419</v>
      </c>
      <c r="B2903" s="11">
        <v>94580.0</v>
      </c>
    </row>
    <row r="2904">
      <c r="A2904" s="5" t="s">
        <v>3420</v>
      </c>
      <c r="B2904" s="11">
        <v>8036.0</v>
      </c>
    </row>
    <row r="2905">
      <c r="A2905" s="5" t="s">
        <v>3421</v>
      </c>
      <c r="B2905" s="11">
        <v>4881.0</v>
      </c>
    </row>
    <row r="2906">
      <c r="A2906" s="5" t="s">
        <v>3422</v>
      </c>
      <c r="B2906" s="11">
        <v>3931.0</v>
      </c>
    </row>
    <row r="2907">
      <c r="A2907" s="5" t="s">
        <v>3423</v>
      </c>
      <c r="B2907" s="11">
        <v>1991.0</v>
      </c>
    </row>
    <row r="2908">
      <c r="A2908" s="5" t="s">
        <v>3424</v>
      </c>
      <c r="B2908" s="11">
        <v>6220.0</v>
      </c>
    </row>
    <row r="2909">
      <c r="A2909" s="5" t="s">
        <v>3425</v>
      </c>
      <c r="B2909" s="11">
        <v>6639.0</v>
      </c>
    </row>
    <row r="2910">
      <c r="A2910" s="5" t="s">
        <v>3426</v>
      </c>
      <c r="B2910" s="11">
        <v>26732.0</v>
      </c>
    </row>
    <row r="2911">
      <c r="A2911" s="5" t="s">
        <v>3427</v>
      </c>
      <c r="B2911" s="11">
        <v>26255.0</v>
      </c>
    </row>
    <row r="2912">
      <c r="A2912" s="5" t="s">
        <v>3428</v>
      </c>
      <c r="B2912" s="11">
        <v>2004.0</v>
      </c>
    </row>
    <row r="2913">
      <c r="A2913" s="12" t="s">
        <v>3429</v>
      </c>
      <c r="B2913" s="11">
        <v>14457.0</v>
      </c>
    </row>
    <row r="2914">
      <c r="A2914" s="5" t="s">
        <v>3430</v>
      </c>
      <c r="B2914" s="11">
        <v>0.0</v>
      </c>
    </row>
    <row r="2915">
      <c r="A2915" s="5" t="s">
        <v>3431</v>
      </c>
      <c r="B2915" s="11">
        <v>0.0</v>
      </c>
    </row>
    <row r="2916">
      <c r="A2916" s="5" t="s">
        <v>3432</v>
      </c>
      <c r="B2916" s="11">
        <v>14868.0</v>
      </c>
    </row>
    <row r="2917">
      <c r="A2917" s="5" t="s">
        <v>3433</v>
      </c>
      <c r="B2917" s="11">
        <v>10621.0</v>
      </c>
    </row>
    <row r="2918">
      <c r="A2918" s="5" t="s">
        <v>3434</v>
      </c>
      <c r="B2918" s="11">
        <v>35853.0</v>
      </c>
    </row>
    <row r="2919">
      <c r="A2919" s="5" t="s">
        <v>3435</v>
      </c>
      <c r="B2919" s="11">
        <v>20135.0</v>
      </c>
    </row>
    <row r="2920">
      <c r="A2920" s="12" t="s">
        <v>3436</v>
      </c>
      <c r="B2920" s="11">
        <v>16411.0</v>
      </c>
    </row>
    <row r="2921">
      <c r="A2921" s="12" t="s">
        <v>3437</v>
      </c>
      <c r="B2921" s="11">
        <v>1290.0</v>
      </c>
    </row>
    <row r="2922">
      <c r="A2922" s="12" t="s">
        <v>3438</v>
      </c>
      <c r="B2922" s="11">
        <v>1511.0</v>
      </c>
    </row>
    <row r="2923">
      <c r="A2923" s="5" t="s">
        <v>3439</v>
      </c>
      <c r="B2923" s="11">
        <v>4057.0</v>
      </c>
    </row>
    <row r="2924">
      <c r="A2924" s="5" t="s">
        <v>3440</v>
      </c>
      <c r="B2924" s="11">
        <v>19276.0</v>
      </c>
    </row>
    <row r="2925">
      <c r="A2925" s="5" t="s">
        <v>3441</v>
      </c>
      <c r="B2925" s="11">
        <v>42152.0</v>
      </c>
    </row>
    <row r="2926">
      <c r="A2926" s="5" t="s">
        <v>3442</v>
      </c>
      <c r="B2926" s="11">
        <v>7353.0</v>
      </c>
    </row>
    <row r="2927">
      <c r="A2927" s="5" t="s">
        <v>3443</v>
      </c>
      <c r="B2927" s="11">
        <v>7502.0</v>
      </c>
    </row>
    <row r="2928">
      <c r="A2928" s="5" t="s">
        <v>3444</v>
      </c>
      <c r="B2928" s="11">
        <v>38076.0</v>
      </c>
    </row>
    <row r="2929">
      <c r="A2929" s="5" t="s">
        <v>3445</v>
      </c>
      <c r="B2929" s="11">
        <v>81062.0</v>
      </c>
    </row>
    <row r="2930">
      <c r="A2930" s="5" t="s">
        <v>3446</v>
      </c>
      <c r="B2930" s="11">
        <v>35401.0</v>
      </c>
    </row>
    <row r="2931">
      <c r="A2931" s="5" t="s">
        <v>3447</v>
      </c>
      <c r="B2931" s="11">
        <v>147928.0</v>
      </c>
    </row>
    <row r="2932">
      <c r="A2932" s="5" t="s">
        <v>3448</v>
      </c>
      <c r="B2932" s="11">
        <v>11270.0</v>
      </c>
    </row>
    <row r="2933">
      <c r="A2933" s="5" t="s">
        <v>3449</v>
      </c>
      <c r="B2933" s="11">
        <v>6099.0</v>
      </c>
    </row>
    <row r="2934">
      <c r="A2934" s="12" t="s">
        <v>3450</v>
      </c>
      <c r="B2934" s="11">
        <v>12044.0</v>
      </c>
    </row>
    <row r="2935">
      <c r="A2935" s="5" t="s">
        <v>3451</v>
      </c>
      <c r="B2935" s="11">
        <v>14446.0</v>
      </c>
    </row>
    <row r="2936">
      <c r="A2936" s="5" t="s">
        <v>3452</v>
      </c>
      <c r="B2936" s="11">
        <v>12600.0</v>
      </c>
    </row>
    <row r="2937">
      <c r="A2937" s="5" t="s">
        <v>3453</v>
      </c>
      <c r="B2937" s="11">
        <v>12697.0</v>
      </c>
    </row>
    <row r="2938">
      <c r="A2938" s="5" t="s">
        <v>3454</v>
      </c>
      <c r="B2938" s="11">
        <v>4804.0</v>
      </c>
    </row>
    <row r="2939">
      <c r="A2939" s="12" t="s">
        <v>3455</v>
      </c>
      <c r="B2939" s="11">
        <v>15578.0</v>
      </c>
    </row>
    <row r="2940">
      <c r="A2940" s="12" t="s">
        <v>3456</v>
      </c>
      <c r="B2940" s="11">
        <v>18513.0</v>
      </c>
    </row>
    <row r="2941">
      <c r="A2941" s="5" t="s">
        <v>3457</v>
      </c>
      <c r="B2941" s="11">
        <v>30404.0</v>
      </c>
    </row>
    <row r="2942">
      <c r="A2942" s="5" t="s">
        <v>3458</v>
      </c>
      <c r="B2942" s="11">
        <v>7786.0</v>
      </c>
    </row>
    <row r="2943">
      <c r="A2943" s="5" t="s">
        <v>3459</v>
      </c>
      <c r="B2943" s="11">
        <v>19413.0</v>
      </c>
    </row>
    <row r="2944">
      <c r="A2944" s="5" t="s">
        <v>3460</v>
      </c>
      <c r="B2944" s="11">
        <v>15580.0</v>
      </c>
    </row>
    <row r="2945">
      <c r="A2945" s="5" t="s">
        <v>3461</v>
      </c>
      <c r="B2945" s="11">
        <v>128102.0</v>
      </c>
    </row>
    <row r="2946">
      <c r="A2946" s="5" t="s">
        <v>3462</v>
      </c>
      <c r="B2946" s="11">
        <v>22752.0</v>
      </c>
    </row>
    <row r="2947">
      <c r="A2947" s="5" t="s">
        <v>3463</v>
      </c>
      <c r="B2947" s="11">
        <v>4333.0</v>
      </c>
    </row>
    <row r="2948">
      <c r="A2948" s="12" t="s">
        <v>3464</v>
      </c>
      <c r="B2948" s="11">
        <v>31703.0</v>
      </c>
    </row>
    <row r="2949">
      <c r="A2949" s="12" t="s">
        <v>3465</v>
      </c>
      <c r="B2949" s="11">
        <v>127642.0</v>
      </c>
    </row>
    <row r="2950">
      <c r="A2950" s="5" t="s">
        <v>3466</v>
      </c>
      <c r="B2950" s="11">
        <v>6031.0</v>
      </c>
    </row>
    <row r="2951">
      <c r="A2951" s="5" t="s">
        <v>3467</v>
      </c>
      <c r="B2951" s="11">
        <v>25277.0</v>
      </c>
    </row>
    <row r="2952">
      <c r="A2952" s="5" t="s">
        <v>3468</v>
      </c>
      <c r="B2952" s="11">
        <v>24041.0</v>
      </c>
    </row>
    <row r="2953">
      <c r="A2953" s="5" t="s">
        <v>3469</v>
      </c>
      <c r="B2953" s="11">
        <v>11763.0</v>
      </c>
    </row>
    <row r="2954">
      <c r="A2954" s="5" t="s">
        <v>3470</v>
      </c>
      <c r="B2954" s="28">
        <v>21369.0</v>
      </c>
    </row>
    <row r="2955">
      <c r="A2955" s="5" t="s">
        <v>3471</v>
      </c>
      <c r="B2955" s="28">
        <v>67723.0</v>
      </c>
    </row>
    <row r="2956">
      <c r="A2956" s="5" t="s">
        <v>3472</v>
      </c>
      <c r="B2956" s="28">
        <v>161998.0</v>
      </c>
    </row>
    <row r="2957">
      <c r="A2957" s="5" t="s">
        <v>3473</v>
      </c>
      <c r="B2957" s="28">
        <v>42161.0</v>
      </c>
    </row>
    <row r="2958">
      <c r="A2958" s="12" t="s">
        <v>3474</v>
      </c>
      <c r="B2958" s="28">
        <v>4805.0</v>
      </c>
    </row>
    <row r="2959">
      <c r="A2959" s="12" t="s">
        <v>3475</v>
      </c>
      <c r="B2959" s="28">
        <v>3734.0</v>
      </c>
    </row>
    <row r="2960">
      <c r="A2960" s="5" t="s">
        <v>3476</v>
      </c>
      <c r="B2960" s="28">
        <v>3118.0</v>
      </c>
    </row>
    <row r="2961">
      <c r="A2961" s="5" t="s">
        <v>3477</v>
      </c>
      <c r="B2961" s="28">
        <v>4389.0</v>
      </c>
    </row>
    <row r="2962">
      <c r="A2962" s="5" t="s">
        <v>3478</v>
      </c>
      <c r="B2962" s="28">
        <v>23061.0</v>
      </c>
    </row>
    <row r="2963">
      <c r="A2963" s="5" t="s">
        <v>3479</v>
      </c>
      <c r="B2963" s="28">
        <v>24930.0</v>
      </c>
    </row>
    <row r="2964">
      <c r="A2964" s="5" t="s">
        <v>3480</v>
      </c>
      <c r="B2964" s="28">
        <v>12348.0</v>
      </c>
    </row>
    <row r="2965">
      <c r="A2965" s="5" t="s">
        <v>3481</v>
      </c>
      <c r="B2965" s="28">
        <v>8498.0</v>
      </c>
    </row>
    <row r="2966">
      <c r="A2966" s="5" t="s">
        <v>3482</v>
      </c>
      <c r="B2966" s="28">
        <v>9103.0</v>
      </c>
    </row>
    <row r="2967">
      <c r="A2967" s="5" t="s">
        <v>3483</v>
      </c>
      <c r="B2967" s="28">
        <v>4886.0</v>
      </c>
    </row>
    <row r="2968">
      <c r="A2968" s="5" t="s">
        <v>3484</v>
      </c>
      <c r="B2968" s="28">
        <v>8741.0</v>
      </c>
    </row>
    <row r="2969">
      <c r="A2969" s="5" t="s">
        <v>3485</v>
      </c>
      <c r="B2969" s="28">
        <v>31987.0</v>
      </c>
    </row>
    <row r="2970">
      <c r="A2970" s="5" t="s">
        <v>3486</v>
      </c>
      <c r="B2970" s="28">
        <v>5198.0</v>
      </c>
    </row>
    <row r="2971">
      <c r="A2971" s="5" t="s">
        <v>3487</v>
      </c>
      <c r="B2971" s="28">
        <v>15701.0</v>
      </c>
    </row>
    <row r="2972">
      <c r="A2972" s="5" t="s">
        <v>3488</v>
      </c>
      <c r="B2972" s="28">
        <v>4318.0</v>
      </c>
    </row>
    <row r="2973">
      <c r="A2973" s="5" t="s">
        <v>3489</v>
      </c>
      <c r="B2973" s="28">
        <v>4360.0</v>
      </c>
    </row>
    <row r="2974">
      <c r="A2974" s="5" t="s">
        <v>3490</v>
      </c>
      <c r="B2974" s="28">
        <v>10095.0</v>
      </c>
    </row>
    <row r="2975">
      <c r="A2975" s="5" t="s">
        <v>3491</v>
      </c>
      <c r="B2975" s="28">
        <v>14473.0</v>
      </c>
    </row>
    <row r="2976">
      <c r="A2976" s="5" t="s">
        <v>3492</v>
      </c>
      <c r="B2976" s="28">
        <v>23019.0</v>
      </c>
    </row>
    <row r="2977">
      <c r="A2977" s="5" t="s">
        <v>3493</v>
      </c>
      <c r="B2977" s="28">
        <v>10319.0</v>
      </c>
    </row>
    <row r="2978">
      <c r="A2978" s="5" t="s">
        <v>3494</v>
      </c>
      <c r="B2978" s="28">
        <v>6221.0</v>
      </c>
    </row>
    <row r="2979">
      <c r="A2979" s="5" t="s">
        <v>3495</v>
      </c>
      <c r="B2979" s="28">
        <v>6147.0</v>
      </c>
    </row>
    <row r="2980">
      <c r="A2980" s="5" t="s">
        <v>3496</v>
      </c>
      <c r="B2980" s="28">
        <v>10447.0</v>
      </c>
    </row>
    <row r="2981">
      <c r="A2981" s="5" t="s">
        <v>3497</v>
      </c>
      <c r="B2981" s="28">
        <v>3694.0</v>
      </c>
    </row>
    <row r="2982">
      <c r="A2982" s="5" t="s">
        <v>3498</v>
      </c>
      <c r="B2982" s="28">
        <v>5267.0</v>
      </c>
    </row>
    <row r="2983">
      <c r="A2983" s="5" t="s">
        <v>3499</v>
      </c>
      <c r="B2983" s="28">
        <v>4549.0</v>
      </c>
    </row>
    <row r="2984">
      <c r="A2984" s="5" t="s">
        <v>3500</v>
      </c>
      <c r="B2984" s="28">
        <v>2886.0</v>
      </c>
    </row>
    <row r="2985">
      <c r="A2985" s="5" t="s">
        <v>3501</v>
      </c>
      <c r="B2985" s="28">
        <v>6623.0</v>
      </c>
    </row>
    <row r="2986">
      <c r="A2986" s="5" t="s">
        <v>3502</v>
      </c>
      <c r="B2986" s="28">
        <v>12643.0</v>
      </c>
    </row>
    <row r="2987">
      <c r="A2987" s="5" t="s">
        <v>3503</v>
      </c>
      <c r="B2987" s="28">
        <v>5175.0</v>
      </c>
    </row>
    <row r="2988">
      <c r="A2988" s="5" t="s">
        <v>3504</v>
      </c>
      <c r="B2988" s="28">
        <v>16097.0</v>
      </c>
    </row>
    <row r="2989">
      <c r="A2989" s="5" t="s">
        <v>3505</v>
      </c>
      <c r="B2989" s="28">
        <v>3619.0</v>
      </c>
    </row>
    <row r="2990">
      <c r="A2990" s="5" t="s">
        <v>3506</v>
      </c>
      <c r="B2990" s="28">
        <v>19438.0</v>
      </c>
    </row>
    <row r="2991">
      <c r="A2991" s="5" t="s">
        <v>3507</v>
      </c>
      <c r="B2991" s="28">
        <v>7572.0</v>
      </c>
    </row>
    <row r="2992">
      <c r="A2992" s="5" t="s">
        <v>3508</v>
      </c>
      <c r="B2992" s="28">
        <v>3794.0</v>
      </c>
    </row>
    <row r="2993">
      <c r="A2993" s="5" t="s">
        <v>3509</v>
      </c>
      <c r="B2993" s="28">
        <v>5337.0</v>
      </c>
    </row>
    <row r="2994">
      <c r="A2994" s="5" t="s">
        <v>3510</v>
      </c>
      <c r="B2994" s="28">
        <v>7064.0</v>
      </c>
    </row>
    <row r="2995">
      <c r="A2995" s="5" t="s">
        <v>3511</v>
      </c>
      <c r="B2995" s="28">
        <v>44722.0</v>
      </c>
    </row>
    <row r="2996">
      <c r="A2996" s="5" t="s">
        <v>3512</v>
      </c>
      <c r="B2996" s="28">
        <v>10499.0</v>
      </c>
    </row>
    <row r="2997">
      <c r="A2997" s="5" t="s">
        <v>3513</v>
      </c>
      <c r="B2997" s="28">
        <v>57804.0</v>
      </c>
    </row>
    <row r="2998">
      <c r="A2998" s="5" t="s">
        <v>3514</v>
      </c>
      <c r="B2998" s="28">
        <v>4867.0</v>
      </c>
    </row>
    <row r="2999">
      <c r="A2999" s="5" t="s">
        <v>3515</v>
      </c>
      <c r="B2999" s="28">
        <v>3376.0</v>
      </c>
    </row>
    <row r="3000">
      <c r="A3000" s="5" t="s">
        <v>3516</v>
      </c>
      <c r="B3000" s="28">
        <v>7817.0</v>
      </c>
    </row>
    <row r="3001">
      <c r="A3001" s="5" t="s">
        <v>3517</v>
      </c>
      <c r="B3001" s="28">
        <v>21515.0</v>
      </c>
    </row>
    <row r="3002">
      <c r="A3002" s="5" t="s">
        <v>3518</v>
      </c>
      <c r="B3002" s="28">
        <v>6183.0</v>
      </c>
    </row>
    <row r="3003">
      <c r="A3003" s="5" t="s">
        <v>3519</v>
      </c>
      <c r="B3003" s="28">
        <v>4411.0</v>
      </c>
    </row>
    <row r="3004">
      <c r="A3004" s="5" t="s">
        <v>996</v>
      </c>
      <c r="B3004" s="28">
        <v>2750.0</v>
      </c>
    </row>
    <row r="3005">
      <c r="A3005" s="5" t="s">
        <v>3520</v>
      </c>
      <c r="B3005" s="28">
        <v>24183.0</v>
      </c>
    </row>
    <row r="3006">
      <c r="A3006" s="5" t="s">
        <v>3521</v>
      </c>
      <c r="B3006" s="28">
        <v>88311.0</v>
      </c>
    </row>
    <row r="3007">
      <c r="A3007" s="5" t="s">
        <v>3522</v>
      </c>
      <c r="B3007" s="28">
        <v>9070.0</v>
      </c>
    </row>
    <row r="3008">
      <c r="A3008" s="5" t="s">
        <v>3523</v>
      </c>
      <c r="B3008" s="28">
        <v>7110.0</v>
      </c>
    </row>
    <row r="3009">
      <c r="A3009" s="5" t="s">
        <v>3524</v>
      </c>
      <c r="B3009" s="28">
        <v>8561.0</v>
      </c>
    </row>
    <row r="3010">
      <c r="A3010" s="5" t="s">
        <v>3525</v>
      </c>
      <c r="B3010" s="28">
        <v>41101.0</v>
      </c>
    </row>
    <row r="3011">
      <c r="A3011" s="5" t="s">
        <v>3526</v>
      </c>
      <c r="B3011" s="28">
        <v>3235.0</v>
      </c>
    </row>
    <row r="3012">
      <c r="A3012" s="5" t="s">
        <v>3527</v>
      </c>
      <c r="B3012" s="28">
        <v>6183.0</v>
      </c>
    </row>
    <row r="3013">
      <c r="A3013" s="5" t="s">
        <v>3528</v>
      </c>
      <c r="B3013" s="28">
        <v>22563.0</v>
      </c>
    </row>
    <row r="3014">
      <c r="A3014" s="5" t="s">
        <v>3529</v>
      </c>
      <c r="B3014" s="28">
        <v>22563.0</v>
      </c>
    </row>
    <row r="3015">
      <c r="A3015" s="5" t="s">
        <v>3530</v>
      </c>
      <c r="B3015" s="28">
        <v>31240.0</v>
      </c>
    </row>
    <row r="3016">
      <c r="A3016" s="5" t="s">
        <v>3531</v>
      </c>
      <c r="B3016" s="28">
        <v>18458.0</v>
      </c>
    </row>
    <row r="3017">
      <c r="A3017" s="5" t="s">
        <v>3532</v>
      </c>
      <c r="B3017" s="28">
        <v>19798.0</v>
      </c>
    </row>
    <row r="3018">
      <c r="A3018" s="5" t="s">
        <v>3533</v>
      </c>
      <c r="B3018" s="28">
        <v>18181.0</v>
      </c>
    </row>
    <row r="3019">
      <c r="A3019" s="5" t="s">
        <v>3534</v>
      </c>
      <c r="B3019" s="28">
        <v>29598.0</v>
      </c>
    </row>
    <row r="3020">
      <c r="A3020" s="5" t="s">
        <v>3535</v>
      </c>
      <c r="B3020" s="28">
        <v>21576.0</v>
      </c>
    </row>
    <row r="3021">
      <c r="A3021" s="5" t="s">
        <v>3536</v>
      </c>
      <c r="B3021" s="28">
        <v>76509.0</v>
      </c>
    </row>
    <row r="3022">
      <c r="A3022" s="5" t="s">
        <v>3537</v>
      </c>
      <c r="B3022" s="28">
        <v>21703.0</v>
      </c>
    </row>
    <row r="3023">
      <c r="A3023" s="5" t="s">
        <v>3538</v>
      </c>
      <c r="B3023" s="28">
        <v>16461.0</v>
      </c>
    </row>
    <row r="3024">
      <c r="A3024" s="12" t="s">
        <v>3539</v>
      </c>
      <c r="B3024" s="28">
        <v>2462.0</v>
      </c>
    </row>
    <row r="3025">
      <c r="A3025" s="5" t="s">
        <v>3540</v>
      </c>
      <c r="B3025" s="28">
        <v>8436.0</v>
      </c>
    </row>
    <row r="3026">
      <c r="A3026" s="12" t="s">
        <v>3541</v>
      </c>
      <c r="B3026" s="28">
        <v>2317.0</v>
      </c>
    </row>
    <row r="3027">
      <c r="A3027" s="12" t="s">
        <v>3542</v>
      </c>
      <c r="B3027" s="28">
        <v>2671.0</v>
      </c>
    </row>
    <row r="3028">
      <c r="A3028" s="5" t="s">
        <v>3543</v>
      </c>
      <c r="B3028" s="28">
        <v>13876.0</v>
      </c>
    </row>
    <row r="3029">
      <c r="A3029" s="12" t="s">
        <v>3544</v>
      </c>
      <c r="B3029" s="28">
        <v>13589.0</v>
      </c>
    </row>
    <row r="3030">
      <c r="A3030" s="5" t="s">
        <v>3545</v>
      </c>
      <c r="B3030" s="28">
        <v>0.0</v>
      </c>
    </row>
    <row r="3031">
      <c r="A3031" s="12" t="s">
        <v>3546</v>
      </c>
      <c r="B3031" s="28">
        <v>5938.0</v>
      </c>
    </row>
    <row r="3032">
      <c r="A3032" s="12" t="s">
        <v>3547</v>
      </c>
      <c r="B3032" s="28">
        <v>2850.0</v>
      </c>
    </row>
    <row r="3033">
      <c r="A3033" s="5" t="s">
        <v>3548</v>
      </c>
      <c r="B3033" s="28">
        <v>14342.0</v>
      </c>
    </row>
    <row r="3034">
      <c r="A3034" s="5" t="s">
        <v>3549</v>
      </c>
      <c r="B3034" s="28">
        <v>34421.0</v>
      </c>
    </row>
    <row r="3035">
      <c r="A3035" s="5" t="s">
        <v>3550</v>
      </c>
      <c r="B3035" s="28">
        <v>10282.0</v>
      </c>
    </row>
    <row r="3036">
      <c r="A3036" s="5" t="s">
        <v>3551</v>
      </c>
      <c r="B3036" s="28">
        <v>24677.0</v>
      </c>
    </row>
    <row r="3037">
      <c r="A3037" s="5" t="s">
        <v>3552</v>
      </c>
      <c r="B3037" s="28">
        <v>51120.0</v>
      </c>
    </row>
    <row r="3038">
      <c r="A3038" s="5" t="s">
        <v>3553</v>
      </c>
      <c r="B3038" s="28">
        <v>24834.0</v>
      </c>
    </row>
    <row r="3039">
      <c r="A3039" s="5" t="s">
        <v>3554</v>
      </c>
      <c r="B3039" s="28">
        <v>49668.0</v>
      </c>
    </row>
    <row r="3040">
      <c r="A3040" s="5" t="s">
        <v>3555</v>
      </c>
      <c r="B3040" s="28">
        <v>13036.0</v>
      </c>
    </row>
    <row r="3041">
      <c r="A3041" s="5" t="s">
        <v>3556</v>
      </c>
      <c r="B3041" s="28">
        <v>16505.0</v>
      </c>
    </row>
    <row r="3042">
      <c r="A3042" s="5" t="s">
        <v>3557</v>
      </c>
      <c r="B3042" s="28">
        <v>33009.0</v>
      </c>
    </row>
    <row r="3043">
      <c r="A3043" s="5" t="s">
        <v>3558</v>
      </c>
      <c r="B3043" s="28">
        <v>4674.0</v>
      </c>
    </row>
    <row r="3044">
      <c r="A3044" s="5" t="s">
        <v>3559</v>
      </c>
      <c r="B3044" s="28">
        <v>11218.0</v>
      </c>
    </row>
    <row r="3045">
      <c r="A3045" s="5" t="s">
        <v>3560</v>
      </c>
      <c r="B3045" s="28">
        <v>28206.0</v>
      </c>
    </row>
    <row r="3046">
      <c r="A3046" s="5" t="s">
        <v>3561</v>
      </c>
      <c r="B3046" s="28">
        <v>18773.0</v>
      </c>
    </row>
    <row r="3047">
      <c r="A3047" s="5" t="s">
        <v>3562</v>
      </c>
      <c r="B3047" s="28">
        <v>37545.0</v>
      </c>
    </row>
    <row r="3048">
      <c r="A3048" s="5" t="s">
        <v>3563</v>
      </c>
      <c r="B3048" s="28">
        <v>15807.0</v>
      </c>
    </row>
    <row r="3049">
      <c r="A3049" s="5" t="s">
        <v>3564</v>
      </c>
      <c r="B3049" s="28">
        <v>29602.0</v>
      </c>
    </row>
    <row r="3050">
      <c r="A3050" s="5" t="s">
        <v>3565</v>
      </c>
      <c r="B3050" s="28">
        <v>59203.0</v>
      </c>
    </row>
    <row r="3051">
      <c r="A3051" s="5" t="s">
        <v>3566</v>
      </c>
      <c r="B3051" s="28">
        <v>23005.0</v>
      </c>
    </row>
    <row r="3052">
      <c r="A3052" s="5" t="s">
        <v>3567</v>
      </c>
      <c r="B3052" s="28">
        <v>46009.0</v>
      </c>
    </row>
    <row r="3053">
      <c r="A3053" s="5" t="s">
        <v>3568</v>
      </c>
      <c r="B3053" s="28">
        <v>29039.0</v>
      </c>
    </row>
    <row r="3054">
      <c r="A3054" s="5" t="s">
        <v>3569</v>
      </c>
      <c r="B3054" s="28">
        <v>58078.0</v>
      </c>
    </row>
    <row r="3055">
      <c r="A3055" s="5" t="s">
        <v>3570</v>
      </c>
      <c r="B3055" s="28">
        <v>22382.0</v>
      </c>
    </row>
    <row r="3056">
      <c r="A3056" s="5" t="s">
        <v>3571</v>
      </c>
      <c r="B3056" s="28">
        <v>44763.0</v>
      </c>
    </row>
    <row r="3057">
      <c r="A3057" s="5" t="s">
        <v>3572</v>
      </c>
      <c r="B3057" s="28">
        <v>24996.0</v>
      </c>
    </row>
    <row r="3058">
      <c r="A3058" s="5" t="s">
        <v>3573</v>
      </c>
      <c r="B3058" s="28">
        <v>12974.0</v>
      </c>
    </row>
    <row r="3059">
      <c r="A3059" s="5" t="s">
        <v>3574</v>
      </c>
      <c r="B3059" s="28">
        <v>5790.0</v>
      </c>
    </row>
    <row r="3060">
      <c r="A3060" s="5" t="s">
        <v>3575</v>
      </c>
      <c r="B3060" s="28">
        <v>59550.0</v>
      </c>
    </row>
    <row r="3061">
      <c r="A3061" s="12" t="s">
        <v>3576</v>
      </c>
      <c r="B3061" s="28">
        <v>1813.0</v>
      </c>
    </row>
    <row r="3062">
      <c r="A3062" s="12" t="s">
        <v>3577</v>
      </c>
      <c r="B3062" s="28">
        <v>6509.0</v>
      </c>
    </row>
    <row r="3063">
      <c r="A3063" s="12" t="s">
        <v>3578</v>
      </c>
      <c r="B3063" s="28">
        <v>4491.0</v>
      </c>
    </row>
    <row r="3064">
      <c r="A3064" s="12" t="s">
        <v>3579</v>
      </c>
      <c r="B3064" s="28">
        <v>6427.0</v>
      </c>
    </row>
    <row r="3065">
      <c r="A3065" s="5" t="s">
        <v>3580</v>
      </c>
      <c r="B3065" s="28">
        <v>12235.0</v>
      </c>
    </row>
    <row r="3066">
      <c r="A3066" s="5" t="s">
        <v>3581</v>
      </c>
      <c r="B3066" s="28">
        <v>9416.0</v>
      </c>
    </row>
    <row r="3067">
      <c r="A3067" s="5" t="s">
        <v>3582</v>
      </c>
      <c r="B3067" s="28">
        <v>43974.0</v>
      </c>
    </row>
    <row r="3068">
      <c r="A3068" s="5" t="s">
        <v>3583</v>
      </c>
      <c r="B3068" s="28">
        <v>68493.0</v>
      </c>
    </row>
    <row r="3069">
      <c r="A3069" s="5" t="s">
        <v>3584</v>
      </c>
      <c r="B3069" s="28">
        <v>8996.0</v>
      </c>
    </row>
    <row r="3070">
      <c r="A3070" s="5" t="s">
        <v>3585</v>
      </c>
      <c r="B3070" s="28">
        <v>55898.0</v>
      </c>
    </row>
    <row r="3071">
      <c r="A3071" s="5" t="s">
        <v>3586</v>
      </c>
      <c r="B3071" s="28">
        <v>7377.0</v>
      </c>
    </row>
    <row r="3072">
      <c r="A3072" s="5" t="s">
        <v>3587</v>
      </c>
      <c r="B3072" s="28">
        <v>11987.0</v>
      </c>
    </row>
    <row r="3073">
      <c r="A3073" s="5" t="s">
        <v>3588</v>
      </c>
      <c r="B3073" s="28">
        <v>16393.0</v>
      </c>
    </row>
    <row r="3074">
      <c r="A3074" s="5" t="s">
        <v>3590</v>
      </c>
      <c r="B3074" s="28">
        <v>9596.0</v>
      </c>
    </row>
    <row r="3075">
      <c r="A3075" s="5" t="s">
        <v>3591</v>
      </c>
      <c r="B3075" s="28">
        <v>10076.0</v>
      </c>
    </row>
    <row r="3076">
      <c r="A3076" s="5" t="s">
        <v>3592</v>
      </c>
      <c r="B3076" s="28">
        <v>10976.0</v>
      </c>
    </row>
    <row r="3077">
      <c r="A3077" s="5" t="s">
        <v>3593</v>
      </c>
      <c r="B3077" s="28">
        <v>11395.0</v>
      </c>
    </row>
    <row r="3078">
      <c r="A3078" s="5" t="s">
        <v>3594</v>
      </c>
      <c r="B3078" s="28">
        <v>2765.0</v>
      </c>
    </row>
    <row r="3079">
      <c r="A3079" s="5" t="s">
        <v>3595</v>
      </c>
      <c r="B3079" s="28">
        <v>45174.0</v>
      </c>
    </row>
    <row r="3080">
      <c r="A3080" s="5" t="s">
        <v>3596</v>
      </c>
      <c r="B3080" s="28">
        <v>7545.0</v>
      </c>
    </row>
    <row r="3081">
      <c r="A3081" s="5" t="s">
        <v>3597</v>
      </c>
      <c r="B3081" s="28">
        <v>61056.0</v>
      </c>
    </row>
    <row r="3082">
      <c r="A3082" s="5" t="s">
        <v>3598</v>
      </c>
      <c r="B3082" s="28">
        <v>23870.0</v>
      </c>
    </row>
    <row r="3083">
      <c r="A3083" s="5" t="s">
        <v>3599</v>
      </c>
      <c r="B3083" s="28">
        <v>38984.0</v>
      </c>
    </row>
    <row r="3084">
      <c r="A3084" s="5" t="s">
        <v>3600</v>
      </c>
      <c r="B3084" s="28">
        <v>45702.0</v>
      </c>
    </row>
    <row r="3085">
      <c r="A3085" s="5" t="s">
        <v>3601</v>
      </c>
      <c r="B3085" s="28">
        <v>18519.0</v>
      </c>
    </row>
    <row r="3086">
      <c r="A3086" s="5" t="s">
        <v>3602</v>
      </c>
      <c r="B3086" s="28">
        <v>13510.0</v>
      </c>
    </row>
    <row r="3087">
      <c r="A3087" s="5" t="s">
        <v>3603</v>
      </c>
      <c r="B3087" s="28">
        <v>0.0</v>
      </c>
    </row>
    <row r="3088">
      <c r="A3088" s="5" t="s">
        <v>3604</v>
      </c>
      <c r="B3088" s="28">
        <v>13195.0</v>
      </c>
    </row>
    <row r="3089">
      <c r="A3089" s="5" t="s">
        <v>3605</v>
      </c>
      <c r="B3089" s="28">
        <v>11515.0</v>
      </c>
    </row>
    <row r="3090">
      <c r="A3090" s="5" t="s">
        <v>3606</v>
      </c>
      <c r="B3090" s="28">
        <v>46182.0</v>
      </c>
    </row>
    <row r="3091">
      <c r="A3091" s="5" t="s">
        <v>3607</v>
      </c>
      <c r="B3091" s="28">
        <v>59076.0</v>
      </c>
    </row>
    <row r="3092">
      <c r="A3092" s="5" t="s">
        <v>3608</v>
      </c>
      <c r="B3092" s="28">
        <v>14754.0</v>
      </c>
    </row>
    <row r="3093">
      <c r="A3093" s="5" t="s">
        <v>3609</v>
      </c>
      <c r="B3093" s="28">
        <v>14634.0</v>
      </c>
    </row>
    <row r="3094">
      <c r="A3094" s="5" t="s">
        <v>3610</v>
      </c>
      <c r="B3094" s="28">
        <v>58357.0</v>
      </c>
    </row>
    <row r="3095">
      <c r="A3095" s="5" t="s">
        <v>3611</v>
      </c>
      <c r="B3095" s="28">
        <v>76769.0</v>
      </c>
    </row>
    <row r="3096">
      <c r="A3096" s="5" t="s">
        <v>3612</v>
      </c>
      <c r="B3096" s="28">
        <v>20992.0</v>
      </c>
    </row>
    <row r="3097">
      <c r="A3097" s="5" t="s">
        <v>3613</v>
      </c>
      <c r="B3097" s="28">
        <v>33587.0</v>
      </c>
    </row>
    <row r="3098">
      <c r="A3098" s="5" t="s">
        <v>3614</v>
      </c>
      <c r="B3098" s="28">
        <v>39704.0</v>
      </c>
    </row>
    <row r="3099">
      <c r="A3099" s="5" t="s">
        <v>3615</v>
      </c>
      <c r="B3099" s="28">
        <v>12235.0</v>
      </c>
    </row>
    <row r="3100">
      <c r="A3100" s="5" t="s">
        <v>3616</v>
      </c>
      <c r="B3100" s="28">
        <v>11156.0</v>
      </c>
    </row>
    <row r="3101">
      <c r="A3101" s="5" t="s">
        <v>3617</v>
      </c>
      <c r="B3101" s="28">
        <v>29988.0</v>
      </c>
    </row>
    <row r="3102">
      <c r="A3102" s="5" t="s">
        <v>3618</v>
      </c>
      <c r="B3102" s="28">
        <v>70172.0</v>
      </c>
    </row>
    <row r="3103">
      <c r="A3103" s="5" t="s">
        <v>3619</v>
      </c>
      <c r="B3103" s="28">
        <v>9236.0</v>
      </c>
    </row>
    <row r="3104">
      <c r="A3104" s="5" t="s">
        <v>3620</v>
      </c>
      <c r="B3104" s="28">
        <v>10436.0</v>
      </c>
    </row>
    <row r="3105">
      <c r="A3105" s="5" t="s">
        <v>3621</v>
      </c>
      <c r="B3105" s="28">
        <v>44682.0</v>
      </c>
    </row>
    <row r="3106">
      <c r="A3106" s="5" t="s">
        <v>3622</v>
      </c>
      <c r="B3106" s="28">
        <v>17153.0</v>
      </c>
    </row>
    <row r="3107">
      <c r="A3107" s="5" t="s">
        <v>3623</v>
      </c>
      <c r="B3107" s="28">
        <v>12903.0</v>
      </c>
    </row>
    <row r="3108">
      <c r="A3108" s="5" t="s">
        <v>3624</v>
      </c>
      <c r="B3108" s="28">
        <v>12214.0</v>
      </c>
    </row>
    <row r="3109">
      <c r="A3109" s="5" t="s">
        <v>3625</v>
      </c>
      <c r="B3109" s="28">
        <v>39023.0</v>
      </c>
    </row>
    <row r="3110">
      <c r="A3110" s="5" t="s">
        <v>3626</v>
      </c>
      <c r="B3110" s="28">
        <v>10360.0</v>
      </c>
    </row>
    <row r="3111">
      <c r="A3111" s="5" t="s">
        <v>3627</v>
      </c>
      <c r="B3111" s="28">
        <v>12634.0</v>
      </c>
    </row>
    <row r="3112">
      <c r="A3112" s="5" t="s">
        <v>3628</v>
      </c>
      <c r="B3112" s="28">
        <v>101415.0</v>
      </c>
    </row>
    <row r="3113">
      <c r="A3113" s="5" t="s">
        <v>3629</v>
      </c>
      <c r="B3113" s="28">
        <v>26695.0</v>
      </c>
    </row>
    <row r="3114">
      <c r="A3114" s="5" t="s">
        <v>3630</v>
      </c>
      <c r="B3114" s="28">
        <v>7973.0</v>
      </c>
    </row>
    <row r="3115">
      <c r="A3115" s="5" t="s">
        <v>3631</v>
      </c>
      <c r="B3115" s="28">
        <v>21203.0</v>
      </c>
    </row>
    <row r="3116">
      <c r="A3116" s="5" t="s">
        <v>3632</v>
      </c>
      <c r="B3116" s="28">
        <v>10136.0</v>
      </c>
    </row>
    <row r="3117">
      <c r="A3117" s="5" t="s">
        <v>3633</v>
      </c>
      <c r="B3117" s="28">
        <v>18728.0</v>
      </c>
    </row>
    <row r="3118">
      <c r="A3118" s="12" t="s">
        <v>3634</v>
      </c>
      <c r="B3118" s="28">
        <v>2186.0</v>
      </c>
    </row>
    <row r="3119">
      <c r="A3119" s="12" t="s">
        <v>3635</v>
      </c>
      <c r="B3119" s="28">
        <v>12231.0</v>
      </c>
    </row>
    <row r="3120">
      <c r="A3120" s="5" t="s">
        <v>3636</v>
      </c>
      <c r="B3120" s="28">
        <v>6412.0</v>
      </c>
    </row>
    <row r="3121">
      <c r="A3121" s="5" t="s">
        <v>3637</v>
      </c>
      <c r="B3121" s="28">
        <v>48011.0</v>
      </c>
    </row>
    <row r="3122">
      <c r="A3122" s="5" t="s">
        <v>3638</v>
      </c>
      <c r="B3122" s="28">
        <v>32024.0</v>
      </c>
    </row>
    <row r="3123">
      <c r="A3123" s="5" t="s">
        <v>3639</v>
      </c>
      <c r="B3123" s="28">
        <v>13635.0</v>
      </c>
    </row>
    <row r="3124">
      <c r="A3124" s="5" t="s">
        <v>3640</v>
      </c>
      <c r="B3124" s="28">
        <v>18075.0</v>
      </c>
    </row>
    <row r="3125">
      <c r="A3125" s="5" t="s">
        <v>3641</v>
      </c>
      <c r="B3125" s="28">
        <v>15745.0</v>
      </c>
    </row>
    <row r="3126">
      <c r="A3126" s="5" t="s">
        <v>3642</v>
      </c>
      <c r="B3126" s="28">
        <v>15587.0</v>
      </c>
    </row>
    <row r="3127">
      <c r="A3127" s="5" t="s">
        <v>3643</v>
      </c>
      <c r="B3127" s="28">
        <v>8944.0</v>
      </c>
    </row>
    <row r="3128">
      <c r="A3128" s="5" t="s">
        <v>3644</v>
      </c>
      <c r="B3128" s="28">
        <v>16334.0</v>
      </c>
    </row>
    <row r="3129">
      <c r="A3129" s="5" t="s">
        <v>3645</v>
      </c>
      <c r="B3129" s="28">
        <v>7297.0</v>
      </c>
    </row>
    <row r="3130">
      <c r="A3130" s="5" t="s">
        <v>3646</v>
      </c>
      <c r="B3130" s="28">
        <v>34933.0</v>
      </c>
    </row>
    <row r="3131">
      <c r="A3131" s="5" t="s">
        <v>3647</v>
      </c>
      <c r="B3131" s="28">
        <v>6526.0</v>
      </c>
    </row>
    <row r="3132">
      <c r="A3132" s="5" t="s">
        <v>3648</v>
      </c>
      <c r="B3132" s="28">
        <v>789563.0</v>
      </c>
    </row>
    <row r="3133">
      <c r="A3133" s="5" t="s">
        <v>3649</v>
      </c>
      <c r="B3133" s="28">
        <v>40197.0</v>
      </c>
    </row>
    <row r="3134">
      <c r="A3134" s="5" t="s">
        <v>3650</v>
      </c>
      <c r="B3134" s="28">
        <v>190086.0</v>
      </c>
    </row>
    <row r="3135">
      <c r="A3135" s="5" t="s">
        <v>3651</v>
      </c>
      <c r="B3135" s="28">
        <v>11107.0</v>
      </c>
    </row>
    <row r="3136">
      <c r="A3136" s="5" t="s">
        <v>3652</v>
      </c>
      <c r="B3136" s="28">
        <v>15417.0</v>
      </c>
    </row>
    <row r="3137">
      <c r="A3137" s="5" t="s">
        <v>3653</v>
      </c>
      <c r="B3137" s="28">
        <v>162792.0</v>
      </c>
    </row>
    <row r="3138">
      <c r="A3138" s="5" t="s">
        <v>3654</v>
      </c>
      <c r="B3138" s="28">
        <v>33983.0</v>
      </c>
    </row>
    <row r="3139">
      <c r="A3139" s="5" t="s">
        <v>3655</v>
      </c>
      <c r="B3139" s="28">
        <v>9074.0</v>
      </c>
    </row>
    <row r="3140">
      <c r="A3140" s="5" t="s">
        <v>3656</v>
      </c>
      <c r="B3140" s="28">
        <v>268952.0</v>
      </c>
    </row>
    <row r="3141">
      <c r="A3141" s="12" t="s">
        <v>3657</v>
      </c>
      <c r="B3141" s="28">
        <v>17239.0</v>
      </c>
    </row>
    <row r="3142">
      <c r="A3142" s="5" t="s">
        <v>3658</v>
      </c>
      <c r="B3142" s="28">
        <v>7068.0</v>
      </c>
    </row>
    <row r="3143">
      <c r="A3143" s="12" t="s">
        <v>3659</v>
      </c>
      <c r="B3143" s="28">
        <v>78137.0</v>
      </c>
    </row>
    <row r="3144">
      <c r="A3144" s="12" t="s">
        <v>3660</v>
      </c>
      <c r="B3144" s="28">
        <v>19966.0</v>
      </c>
    </row>
    <row r="3145">
      <c r="A3145" s="12" t="s">
        <v>3661</v>
      </c>
      <c r="B3145" s="28">
        <v>93973.0</v>
      </c>
    </row>
    <row r="3146">
      <c r="A3146" s="5" t="s">
        <v>3662</v>
      </c>
      <c r="B3146" s="28">
        <v>11553.0</v>
      </c>
    </row>
    <row r="3147">
      <c r="A3147" s="5" t="s">
        <v>3663</v>
      </c>
      <c r="B3147" s="28">
        <v>16501.0</v>
      </c>
    </row>
    <row r="3148">
      <c r="A3148" s="5" t="s">
        <v>3664</v>
      </c>
      <c r="B3148" s="28">
        <v>27528.0</v>
      </c>
    </row>
    <row r="3149">
      <c r="A3149" s="5" t="s">
        <v>3665</v>
      </c>
      <c r="B3149" s="28">
        <v>38443.0</v>
      </c>
    </row>
    <row r="3150">
      <c r="A3150" s="5" t="s">
        <v>3666</v>
      </c>
      <c r="B3150" s="28">
        <v>3216.0</v>
      </c>
    </row>
    <row r="3151">
      <c r="A3151" s="5" t="s">
        <v>3667</v>
      </c>
      <c r="B3151" s="28">
        <v>9154.0</v>
      </c>
    </row>
    <row r="3152">
      <c r="A3152" s="5" t="s">
        <v>3668</v>
      </c>
      <c r="B3152" s="28">
        <v>9154.0</v>
      </c>
    </row>
    <row r="3153">
      <c r="A3153" s="5" t="s">
        <v>3669</v>
      </c>
      <c r="B3153" s="28">
        <v>9154.0</v>
      </c>
    </row>
    <row r="3154">
      <c r="A3154" s="5" t="s">
        <v>3670</v>
      </c>
      <c r="B3154" s="28">
        <v>9154.0</v>
      </c>
    </row>
    <row r="3155">
      <c r="A3155" s="5" t="s">
        <v>3671</v>
      </c>
      <c r="B3155" s="28">
        <v>9154.0</v>
      </c>
    </row>
    <row r="3156">
      <c r="A3156" s="5" t="s">
        <v>3672</v>
      </c>
      <c r="B3156" s="28">
        <v>9154.0</v>
      </c>
    </row>
    <row r="3157">
      <c r="A3157" s="5" t="s">
        <v>3673</v>
      </c>
      <c r="B3157" s="28">
        <v>9154.0</v>
      </c>
    </row>
    <row r="3158">
      <c r="A3158" s="5" t="s">
        <v>3674</v>
      </c>
      <c r="B3158" s="28">
        <v>9154.0</v>
      </c>
    </row>
    <row r="3159">
      <c r="A3159" s="5" t="s">
        <v>3675</v>
      </c>
      <c r="B3159" s="28">
        <v>9154.0</v>
      </c>
    </row>
    <row r="3160">
      <c r="A3160" s="5" t="s">
        <v>3676</v>
      </c>
      <c r="B3160" s="28">
        <v>6903.0</v>
      </c>
    </row>
    <row r="3161">
      <c r="A3161" s="5" t="s">
        <v>3677</v>
      </c>
      <c r="B3161" s="28">
        <v>6903.0</v>
      </c>
    </row>
    <row r="3162">
      <c r="A3162" s="5" t="s">
        <v>3678</v>
      </c>
      <c r="B3162" s="28">
        <v>6903.0</v>
      </c>
    </row>
    <row r="3163">
      <c r="A3163" s="5" t="s">
        <v>3679</v>
      </c>
      <c r="B3163" s="28">
        <v>6903.0</v>
      </c>
    </row>
    <row r="3164">
      <c r="A3164" s="5" t="s">
        <v>3680</v>
      </c>
      <c r="B3164" s="28">
        <v>6903.0</v>
      </c>
    </row>
    <row r="3165">
      <c r="A3165" s="5" t="s">
        <v>3681</v>
      </c>
      <c r="B3165" s="28">
        <v>6903.0</v>
      </c>
    </row>
    <row r="3166">
      <c r="A3166" s="5" t="s">
        <v>3682</v>
      </c>
      <c r="B3166" s="28">
        <v>6903.0</v>
      </c>
    </row>
    <row r="3167">
      <c r="A3167" s="5" t="s">
        <v>3683</v>
      </c>
      <c r="B3167" s="28">
        <v>6903.0</v>
      </c>
    </row>
    <row r="3168">
      <c r="A3168" s="5" t="s">
        <v>3684</v>
      </c>
      <c r="B3168" s="28">
        <v>6903.0</v>
      </c>
    </row>
    <row r="3169">
      <c r="A3169" s="5" t="s">
        <v>3685</v>
      </c>
      <c r="B3169" s="28">
        <v>6903.0</v>
      </c>
    </row>
    <row r="3170">
      <c r="A3170" s="5" t="s">
        <v>3686</v>
      </c>
      <c r="B3170" s="28">
        <v>6903.0</v>
      </c>
    </row>
    <row r="3171">
      <c r="A3171" s="5" t="s">
        <v>3687</v>
      </c>
      <c r="B3171" s="28">
        <v>6903.0</v>
      </c>
    </row>
    <row r="3172">
      <c r="A3172" s="5" t="s">
        <v>3688</v>
      </c>
      <c r="B3172" s="28">
        <v>6903.0</v>
      </c>
    </row>
    <row r="3173">
      <c r="A3173" s="5" t="s">
        <v>3689</v>
      </c>
      <c r="B3173" s="28">
        <v>6903.0</v>
      </c>
    </row>
    <row r="3174">
      <c r="A3174" s="5" t="s">
        <v>3690</v>
      </c>
      <c r="B3174" s="28">
        <v>9273.0</v>
      </c>
    </row>
    <row r="3175">
      <c r="A3175" s="5" t="s">
        <v>3691</v>
      </c>
      <c r="B3175" s="28">
        <v>5608.0</v>
      </c>
    </row>
    <row r="3176">
      <c r="A3176" s="5" t="s">
        <v>3692</v>
      </c>
      <c r="B3176" s="28">
        <v>61756.0</v>
      </c>
    </row>
    <row r="3177">
      <c r="A3177" s="5" t="s">
        <v>3693</v>
      </c>
      <c r="B3177" s="28">
        <v>34454.0</v>
      </c>
    </row>
    <row r="3178">
      <c r="A3178" s="5" t="s">
        <v>3694</v>
      </c>
      <c r="B3178" s="28">
        <v>23299.0</v>
      </c>
    </row>
    <row r="3179">
      <c r="A3179" s="5" t="s">
        <v>3695</v>
      </c>
      <c r="B3179" s="28">
        <v>12266.0</v>
      </c>
    </row>
    <row r="3180">
      <c r="A3180" s="5" t="s">
        <v>3696</v>
      </c>
      <c r="B3180" s="28">
        <v>522.0</v>
      </c>
    </row>
    <row r="3181">
      <c r="A3181" s="5" t="s">
        <v>3697</v>
      </c>
      <c r="B3181" s="28">
        <v>12266.0</v>
      </c>
    </row>
    <row r="3182">
      <c r="A3182" s="5" t="s">
        <v>3698</v>
      </c>
      <c r="B3182" s="28">
        <v>12266.0</v>
      </c>
    </row>
    <row r="3183">
      <c r="A3183" s="5" t="s">
        <v>3699</v>
      </c>
      <c r="B3183" s="28">
        <v>522.0</v>
      </c>
    </row>
    <row r="3184">
      <c r="A3184" s="5" t="s">
        <v>3700</v>
      </c>
      <c r="B3184" s="28">
        <v>522.0</v>
      </c>
    </row>
    <row r="3185">
      <c r="A3185" s="5" t="s">
        <v>3701</v>
      </c>
      <c r="B3185" s="28">
        <v>522.0</v>
      </c>
    </row>
    <row r="3186">
      <c r="A3186" s="5" t="s">
        <v>3702</v>
      </c>
      <c r="B3186" s="28">
        <v>12266.0</v>
      </c>
    </row>
    <row r="3187">
      <c r="A3187" s="5" t="s">
        <v>3703</v>
      </c>
      <c r="B3187" s="28">
        <v>12266.0</v>
      </c>
    </row>
    <row r="3188">
      <c r="A3188" s="5" t="s">
        <v>3704</v>
      </c>
      <c r="B3188" s="28">
        <v>18400.0</v>
      </c>
    </row>
    <row r="3189">
      <c r="A3189" s="5" t="s">
        <v>3705</v>
      </c>
      <c r="B3189" s="28">
        <v>18400.0</v>
      </c>
    </row>
    <row r="3190">
      <c r="A3190" s="5" t="s">
        <v>3706</v>
      </c>
      <c r="B3190" s="28">
        <v>18400.0</v>
      </c>
    </row>
    <row r="3191">
      <c r="A3191" s="5" t="s">
        <v>3707</v>
      </c>
      <c r="B3191" s="28">
        <v>18400.0</v>
      </c>
    </row>
    <row r="3192">
      <c r="A3192" s="5" t="s">
        <v>3708</v>
      </c>
      <c r="B3192" s="28">
        <v>18400.0</v>
      </c>
    </row>
    <row r="3193">
      <c r="A3193" s="5" t="s">
        <v>3709</v>
      </c>
      <c r="B3193" s="28">
        <v>18400.0</v>
      </c>
    </row>
    <row r="3194">
      <c r="A3194" s="5" t="s">
        <v>3710</v>
      </c>
      <c r="B3194" s="28">
        <v>18400.0</v>
      </c>
    </row>
    <row r="3195">
      <c r="A3195" s="5" t="s">
        <v>3711</v>
      </c>
      <c r="B3195" s="28">
        <v>35485.0</v>
      </c>
    </row>
    <row r="3196">
      <c r="A3196" s="5" t="s">
        <v>3712</v>
      </c>
      <c r="B3196" s="28">
        <v>3742.0</v>
      </c>
    </row>
    <row r="3197">
      <c r="A3197" s="5" t="s">
        <v>3713</v>
      </c>
      <c r="B3197" s="28">
        <v>3938.0</v>
      </c>
    </row>
    <row r="3198">
      <c r="A3198" s="5" t="s">
        <v>3714</v>
      </c>
      <c r="B3198" s="28">
        <v>1010.0</v>
      </c>
    </row>
    <row r="3199">
      <c r="A3199" s="5" t="s">
        <v>3715</v>
      </c>
      <c r="B3199" s="28">
        <v>1010.0</v>
      </c>
    </row>
    <row r="3200">
      <c r="A3200" s="5" t="s">
        <v>3716</v>
      </c>
      <c r="B3200" s="28">
        <v>1010.0</v>
      </c>
    </row>
    <row r="3201">
      <c r="A3201" s="5" t="s">
        <v>3717</v>
      </c>
      <c r="B3201" s="28">
        <v>1010.0</v>
      </c>
    </row>
    <row r="3202">
      <c r="A3202" s="5" t="s">
        <v>3718</v>
      </c>
      <c r="B3202" s="28">
        <v>24445.0</v>
      </c>
    </row>
    <row r="3203">
      <c r="A3203" s="5" t="s">
        <v>3719</v>
      </c>
      <c r="B3203" s="28">
        <v>24445.0</v>
      </c>
    </row>
    <row r="3204">
      <c r="A3204" s="5" t="s">
        <v>3720</v>
      </c>
      <c r="B3204" s="28">
        <v>24445.0</v>
      </c>
    </row>
    <row r="3205">
      <c r="A3205" s="5" t="s">
        <v>3721</v>
      </c>
      <c r="B3205" s="28">
        <v>24445.0</v>
      </c>
    </row>
    <row r="3206">
      <c r="A3206" s="5" t="s">
        <v>3722</v>
      </c>
      <c r="B3206" s="28">
        <v>24445.0</v>
      </c>
    </row>
    <row r="3207">
      <c r="A3207" s="5" t="s">
        <v>3723</v>
      </c>
      <c r="B3207" s="28">
        <v>24445.0</v>
      </c>
    </row>
    <row r="3208">
      <c r="A3208" s="5" t="s">
        <v>3724</v>
      </c>
      <c r="B3208" s="28">
        <v>24445.0</v>
      </c>
    </row>
    <row r="3209">
      <c r="A3209" s="5" t="s">
        <v>3725</v>
      </c>
      <c r="B3209" s="28">
        <v>0.0</v>
      </c>
    </row>
    <row r="3210">
      <c r="A3210" s="5" t="s">
        <v>3726</v>
      </c>
      <c r="B3210" s="28">
        <v>420.0</v>
      </c>
    </row>
    <row r="3211">
      <c r="A3211" s="5" t="s">
        <v>3727</v>
      </c>
      <c r="B3211" s="28">
        <v>344.0</v>
      </c>
    </row>
    <row r="3212">
      <c r="A3212" s="5" t="s">
        <v>3728</v>
      </c>
      <c r="B3212" s="28">
        <v>1136.0</v>
      </c>
    </row>
    <row r="3213">
      <c r="A3213" s="5" t="s">
        <v>3729</v>
      </c>
      <c r="B3213" s="28">
        <v>1136.0</v>
      </c>
    </row>
    <row r="3214">
      <c r="A3214" s="5" t="s">
        <v>3730</v>
      </c>
      <c r="B3214" s="28">
        <v>1136.0</v>
      </c>
    </row>
    <row r="3215">
      <c r="A3215" s="5" t="s">
        <v>3731</v>
      </c>
      <c r="B3215" s="28">
        <v>26811.0</v>
      </c>
    </row>
    <row r="3216">
      <c r="A3216" s="5" t="s">
        <v>3732</v>
      </c>
      <c r="B3216" s="28">
        <v>26811.0</v>
      </c>
    </row>
    <row r="3217">
      <c r="A3217" s="5" t="s">
        <v>3733</v>
      </c>
      <c r="B3217" s="28">
        <v>26811.0</v>
      </c>
    </row>
    <row r="3218">
      <c r="A3218" s="5" t="s">
        <v>3734</v>
      </c>
      <c r="B3218" s="28">
        <v>26811.0</v>
      </c>
    </row>
    <row r="3219">
      <c r="A3219" s="5" t="s">
        <v>3735</v>
      </c>
      <c r="B3219" s="28">
        <v>26811.0</v>
      </c>
    </row>
    <row r="3220">
      <c r="A3220" s="5" t="s">
        <v>3736</v>
      </c>
      <c r="B3220" s="28">
        <v>26811.0</v>
      </c>
    </row>
    <row r="3221">
      <c r="A3221" s="5" t="s">
        <v>3737</v>
      </c>
      <c r="B3221" s="28">
        <v>852.0</v>
      </c>
    </row>
    <row r="3222">
      <c r="A3222" s="5" t="s">
        <v>3738</v>
      </c>
      <c r="B3222" s="28">
        <v>852.0</v>
      </c>
    </row>
    <row r="3223">
      <c r="A3223" s="5" t="s">
        <v>3739</v>
      </c>
      <c r="B3223" s="28">
        <v>852.0</v>
      </c>
    </row>
    <row r="3224">
      <c r="A3224" s="5" t="s">
        <v>3740</v>
      </c>
      <c r="B3224" s="28">
        <v>852.0</v>
      </c>
    </row>
    <row r="3225">
      <c r="A3225" s="5" t="s">
        <v>3741</v>
      </c>
      <c r="B3225" s="28">
        <v>852.0</v>
      </c>
    </row>
    <row r="3226">
      <c r="A3226" s="5" t="s">
        <v>3742</v>
      </c>
      <c r="B3226" s="28">
        <v>852.0</v>
      </c>
    </row>
    <row r="3227">
      <c r="A3227" s="5" t="s">
        <v>3743</v>
      </c>
      <c r="B3227" s="28">
        <v>20502.0</v>
      </c>
    </row>
    <row r="3228">
      <c r="A3228" s="5" t="s">
        <v>3744</v>
      </c>
      <c r="B3228" s="28">
        <v>20502.0</v>
      </c>
    </row>
    <row r="3229">
      <c r="A3229" s="5" t="s">
        <v>3745</v>
      </c>
      <c r="B3229" s="28">
        <v>20502.0</v>
      </c>
    </row>
    <row r="3230">
      <c r="A3230" s="5" t="s">
        <v>3746</v>
      </c>
      <c r="B3230" s="28">
        <v>20502.0</v>
      </c>
    </row>
    <row r="3231">
      <c r="A3231" s="5" t="s">
        <v>3747</v>
      </c>
      <c r="B3231" s="28">
        <v>20502.0</v>
      </c>
    </row>
    <row r="3232">
      <c r="A3232" s="5" t="s">
        <v>3748</v>
      </c>
      <c r="B3232" s="28">
        <v>20502.0</v>
      </c>
    </row>
    <row r="3233">
      <c r="A3233" s="5" t="s">
        <v>3749</v>
      </c>
      <c r="B3233" s="28">
        <v>11415.0</v>
      </c>
    </row>
    <row r="3234">
      <c r="A3234" s="5" t="s">
        <v>3750</v>
      </c>
      <c r="B3234" s="28">
        <v>333.0</v>
      </c>
    </row>
    <row r="3235">
      <c r="A3235" s="5" t="s">
        <v>3751</v>
      </c>
      <c r="B3235" s="28">
        <v>1300.0</v>
      </c>
    </row>
    <row r="3236">
      <c r="A3236" s="5" t="s">
        <v>3752</v>
      </c>
      <c r="B3236" s="28">
        <v>23364.0</v>
      </c>
    </row>
    <row r="3237">
      <c r="A3237" s="5" t="s">
        <v>3753</v>
      </c>
      <c r="B3237" s="28">
        <v>31784.0</v>
      </c>
    </row>
    <row r="3238">
      <c r="A3238" s="5" t="s">
        <v>3754</v>
      </c>
      <c r="B3238" s="28">
        <v>31784.0</v>
      </c>
    </row>
    <row r="3239">
      <c r="A3239" s="5" t="s">
        <v>3755</v>
      </c>
      <c r="B3239" s="28">
        <v>31784.0</v>
      </c>
    </row>
    <row r="3240">
      <c r="A3240" s="5" t="s">
        <v>3756</v>
      </c>
      <c r="B3240" s="28">
        <v>31784.0</v>
      </c>
    </row>
    <row r="3241">
      <c r="A3241" s="5" t="s">
        <v>3757</v>
      </c>
      <c r="B3241" s="28">
        <v>31784.0</v>
      </c>
    </row>
    <row r="3242">
      <c r="A3242" s="5" t="s">
        <v>3758</v>
      </c>
      <c r="B3242" s="28">
        <v>31784.0</v>
      </c>
    </row>
    <row r="3243">
      <c r="A3243" s="5" t="s">
        <v>3759</v>
      </c>
      <c r="B3243" s="28">
        <v>38141.0</v>
      </c>
    </row>
    <row r="3244">
      <c r="A3244" s="5" t="s">
        <v>3760</v>
      </c>
      <c r="B3244" s="28">
        <v>38141.0</v>
      </c>
    </row>
    <row r="3245">
      <c r="A3245" s="5" t="s">
        <v>3761</v>
      </c>
      <c r="B3245" s="28">
        <v>38141.0</v>
      </c>
    </row>
    <row r="3246">
      <c r="A3246" s="5" t="s">
        <v>3762</v>
      </c>
      <c r="B3246" s="28">
        <v>38141.0</v>
      </c>
    </row>
    <row r="3247">
      <c r="A3247" s="5" t="s">
        <v>3763</v>
      </c>
      <c r="B3247" s="28">
        <v>38141.0</v>
      </c>
    </row>
    <row r="3248">
      <c r="A3248" s="5" t="s">
        <v>3764</v>
      </c>
      <c r="B3248" s="28">
        <v>38141.0</v>
      </c>
    </row>
    <row r="3249">
      <c r="A3249" s="5" t="s">
        <v>3765</v>
      </c>
      <c r="B3249" s="28">
        <v>19392.0</v>
      </c>
    </row>
    <row r="3250">
      <c r="A3250" s="5" t="s">
        <v>3766</v>
      </c>
      <c r="B3250" s="28">
        <v>108671.0</v>
      </c>
    </row>
    <row r="3251">
      <c r="A3251" s="5" t="s">
        <v>3767</v>
      </c>
      <c r="B3251" s="28">
        <v>108671.0</v>
      </c>
    </row>
    <row r="3252">
      <c r="A3252" s="5" t="s">
        <v>3768</v>
      </c>
      <c r="B3252" s="28">
        <v>88138.0</v>
      </c>
    </row>
    <row r="3253">
      <c r="A3253" s="5" t="s">
        <v>3769</v>
      </c>
      <c r="B3253" s="28">
        <v>88138.0</v>
      </c>
    </row>
    <row r="3254">
      <c r="A3254" s="5" t="s">
        <v>3770</v>
      </c>
      <c r="B3254" s="28">
        <v>88138.0</v>
      </c>
    </row>
    <row r="3255">
      <c r="A3255" s="5" t="s">
        <v>3771</v>
      </c>
      <c r="B3255" s="28">
        <v>70317.0</v>
      </c>
    </row>
    <row r="3256">
      <c r="A3256" s="5" t="s">
        <v>3772</v>
      </c>
      <c r="B3256" s="28">
        <v>63893.0</v>
      </c>
    </row>
    <row r="3257">
      <c r="A3257" s="5" t="s">
        <v>3773</v>
      </c>
      <c r="B3257" s="28">
        <v>61676.0</v>
      </c>
    </row>
    <row r="3258">
      <c r="A3258" s="5" t="s">
        <v>3774</v>
      </c>
      <c r="B3258" s="28">
        <v>10772.0</v>
      </c>
    </row>
    <row r="3259">
      <c r="A3259" s="5" t="s">
        <v>3775</v>
      </c>
      <c r="B3259" s="28">
        <v>3552.0</v>
      </c>
    </row>
    <row r="3260">
      <c r="A3260" s="12" t="s">
        <v>3776</v>
      </c>
      <c r="B3260" s="28">
        <v>3374.0</v>
      </c>
    </row>
    <row r="3261">
      <c r="A3261" s="12" t="s">
        <v>3777</v>
      </c>
      <c r="B3261" s="28">
        <v>3374.0</v>
      </c>
    </row>
    <row r="3262">
      <c r="A3262" s="12" t="s">
        <v>3778</v>
      </c>
      <c r="B3262" s="28">
        <v>3374.0</v>
      </c>
    </row>
    <row r="3263">
      <c r="A3263" s="12" t="s">
        <v>3779</v>
      </c>
      <c r="B3263" s="28">
        <v>3374.0</v>
      </c>
    </row>
    <row r="3264">
      <c r="A3264" s="5" t="s">
        <v>3780</v>
      </c>
      <c r="B3264" s="28">
        <v>24202.0</v>
      </c>
    </row>
    <row r="3265">
      <c r="A3265" s="5" t="s">
        <v>3781</v>
      </c>
      <c r="B3265" s="28">
        <v>8587.0</v>
      </c>
    </row>
    <row r="3266">
      <c r="A3266" s="5" t="s">
        <v>3782</v>
      </c>
      <c r="B3266" s="28">
        <v>3312.0</v>
      </c>
    </row>
    <row r="3267">
      <c r="A3267" s="5" t="s">
        <v>3783</v>
      </c>
      <c r="B3267" s="28">
        <v>1540.0</v>
      </c>
    </row>
    <row r="3268">
      <c r="A3268" s="5" t="s">
        <v>3784</v>
      </c>
      <c r="B3268" s="28">
        <v>34239.0</v>
      </c>
    </row>
    <row r="3269">
      <c r="A3269" s="5" t="s">
        <v>3785</v>
      </c>
      <c r="B3269" s="28">
        <v>5740.0</v>
      </c>
    </row>
    <row r="3270">
      <c r="A3270" s="5" t="s">
        <v>3786</v>
      </c>
      <c r="B3270" s="28">
        <v>267361.0</v>
      </c>
    </row>
    <row r="3271">
      <c r="A3271" s="5" t="s">
        <v>3787</v>
      </c>
      <c r="B3271" s="28">
        <v>6833.0</v>
      </c>
    </row>
    <row r="3272">
      <c r="A3272" s="5" t="s">
        <v>3788</v>
      </c>
      <c r="B3272" s="28">
        <v>46386.0</v>
      </c>
    </row>
    <row r="3273">
      <c r="A3273" s="5" t="s">
        <v>3789</v>
      </c>
      <c r="B3273" s="28">
        <v>4311.0</v>
      </c>
    </row>
    <row r="3274">
      <c r="A3274" s="5" t="s">
        <v>3790</v>
      </c>
      <c r="B3274" s="28">
        <v>4311.0</v>
      </c>
    </row>
    <row r="3275">
      <c r="A3275" s="5" t="s">
        <v>3791</v>
      </c>
      <c r="B3275" s="28">
        <v>45589.0</v>
      </c>
    </row>
    <row r="3276">
      <c r="A3276" s="5" t="s">
        <v>3792</v>
      </c>
      <c r="B3276" s="28">
        <v>1221957.0</v>
      </c>
    </row>
    <row r="3277">
      <c r="A3277" s="5" t="s">
        <v>3793</v>
      </c>
      <c r="B3277" s="28">
        <v>89551.0</v>
      </c>
    </row>
    <row r="3278">
      <c r="A3278" s="5" t="s">
        <v>3794</v>
      </c>
      <c r="B3278" s="28">
        <v>89551.0</v>
      </c>
    </row>
    <row r="3279">
      <c r="A3279" s="5" t="s">
        <v>3795</v>
      </c>
      <c r="B3279" s="28">
        <v>128819.0</v>
      </c>
    </row>
    <row r="3280">
      <c r="A3280" s="5" t="s">
        <v>3796</v>
      </c>
      <c r="B3280" s="28">
        <v>134086.0</v>
      </c>
    </row>
    <row r="3281">
      <c r="A3281" s="5" t="s">
        <v>3797</v>
      </c>
      <c r="B3281" s="28">
        <v>112537.0</v>
      </c>
    </row>
    <row r="3282">
      <c r="A3282" s="5" t="s">
        <v>3798</v>
      </c>
      <c r="B3282" s="28">
        <v>101283.0</v>
      </c>
    </row>
    <row r="3283">
      <c r="A3283" s="5" t="s">
        <v>3799</v>
      </c>
      <c r="B3283" s="28">
        <v>4106.0</v>
      </c>
    </row>
    <row r="3284">
      <c r="A3284" s="5" t="s">
        <v>3800</v>
      </c>
      <c r="B3284" s="28">
        <v>1663.0</v>
      </c>
    </row>
    <row r="3285">
      <c r="A3285" s="5" t="s">
        <v>3801</v>
      </c>
      <c r="B3285" s="28">
        <v>3822.0</v>
      </c>
    </row>
    <row r="3286">
      <c r="A3286" s="5" t="s">
        <v>3802</v>
      </c>
      <c r="B3286" s="28">
        <v>998828.0</v>
      </c>
    </row>
    <row r="3287">
      <c r="A3287" s="5" t="s">
        <v>3803</v>
      </c>
      <c r="B3287" s="28">
        <v>362463.0</v>
      </c>
    </row>
    <row r="3288">
      <c r="A3288" s="5" t="s">
        <v>3804</v>
      </c>
      <c r="B3288" s="28">
        <v>33379.0</v>
      </c>
    </row>
    <row r="3289">
      <c r="A3289" s="5" t="s">
        <v>3805</v>
      </c>
      <c r="B3289" s="28">
        <v>214.0</v>
      </c>
    </row>
    <row r="3290">
      <c r="A3290" s="5" t="s">
        <v>3806</v>
      </c>
      <c r="B3290" s="28">
        <v>0.0</v>
      </c>
    </row>
    <row r="3291">
      <c r="A3291" s="5" t="s">
        <v>3807</v>
      </c>
      <c r="B3291" s="28">
        <v>1983.0</v>
      </c>
    </row>
    <row r="3292">
      <c r="A3292" s="5" t="s">
        <v>3808</v>
      </c>
      <c r="B3292" s="28">
        <v>35604.0</v>
      </c>
    </row>
    <row r="3293">
      <c r="A3293" s="5" t="s">
        <v>3809</v>
      </c>
      <c r="B3293" s="28">
        <v>4307.0</v>
      </c>
    </row>
    <row r="3294">
      <c r="A3294" s="5" t="s">
        <v>3810</v>
      </c>
      <c r="B3294" s="28">
        <v>6032.0</v>
      </c>
    </row>
    <row r="3295">
      <c r="A3295" s="5" t="s">
        <v>3811</v>
      </c>
      <c r="B3295" s="28">
        <v>6541.0</v>
      </c>
    </row>
    <row r="3296">
      <c r="A3296" s="5" t="s">
        <v>3812</v>
      </c>
      <c r="B3296" s="28">
        <v>29209.0</v>
      </c>
    </row>
    <row r="3297">
      <c r="A3297" s="5" t="s">
        <v>3813</v>
      </c>
      <c r="B3297" s="28">
        <v>37468.0</v>
      </c>
    </row>
    <row r="3298">
      <c r="A3298" s="5" t="s">
        <v>3814</v>
      </c>
      <c r="B3298" s="28">
        <v>42710.0</v>
      </c>
    </row>
    <row r="3299">
      <c r="A3299" s="5" t="s">
        <v>3815</v>
      </c>
      <c r="B3299" s="28">
        <v>42710.0</v>
      </c>
    </row>
    <row r="3300">
      <c r="A3300" s="5" t="s">
        <v>3816</v>
      </c>
      <c r="B3300" s="28">
        <v>61406.0</v>
      </c>
    </row>
    <row r="3301">
      <c r="A3301" s="5" t="s">
        <v>3817</v>
      </c>
      <c r="B3301" s="28">
        <v>45865.0</v>
      </c>
    </row>
    <row r="3302">
      <c r="A3302" s="5" t="s">
        <v>3818</v>
      </c>
      <c r="B3302" s="28">
        <v>15954.0</v>
      </c>
    </row>
    <row r="3303">
      <c r="A3303" s="5" t="s">
        <v>3819</v>
      </c>
      <c r="B3303" s="28">
        <v>33942.0</v>
      </c>
    </row>
    <row r="3304">
      <c r="A3304" s="5" t="s">
        <v>3820</v>
      </c>
      <c r="B3304" s="28">
        <v>30766.0</v>
      </c>
    </row>
    <row r="3305">
      <c r="A3305" s="5" t="s">
        <v>3821</v>
      </c>
      <c r="B3305" s="28">
        <v>103728.0</v>
      </c>
    </row>
    <row r="3306">
      <c r="A3306" s="5" t="s">
        <v>3822</v>
      </c>
      <c r="B3306" s="28">
        <v>32430.0</v>
      </c>
    </row>
    <row r="3307">
      <c r="A3307" s="5" t="s">
        <v>3823</v>
      </c>
      <c r="B3307" s="28">
        <v>0.0</v>
      </c>
    </row>
    <row r="3308">
      <c r="A3308" s="5" t="s">
        <v>3824</v>
      </c>
      <c r="B3308" s="28">
        <v>5041.0</v>
      </c>
    </row>
    <row r="3309">
      <c r="A3309" s="5" t="s">
        <v>3825</v>
      </c>
      <c r="B3309" s="28">
        <v>27477.0</v>
      </c>
    </row>
    <row r="3310">
      <c r="A3310" s="5" t="s">
        <v>3826</v>
      </c>
      <c r="B3310" s="28">
        <v>35047.0</v>
      </c>
    </row>
    <row r="3311">
      <c r="A3311" s="5" t="s">
        <v>3827</v>
      </c>
      <c r="B3311" s="28">
        <v>13118.0</v>
      </c>
    </row>
    <row r="3312">
      <c r="A3312" s="5" t="s">
        <v>3828</v>
      </c>
      <c r="B3312" s="28">
        <v>6538.0</v>
      </c>
    </row>
    <row r="3313">
      <c r="A3313" s="5" t="s">
        <v>3829</v>
      </c>
      <c r="B3313" s="28">
        <v>4307.0</v>
      </c>
    </row>
    <row r="3314">
      <c r="A3314" s="5" t="s">
        <v>3830</v>
      </c>
      <c r="B3314" s="28">
        <v>110928.0</v>
      </c>
    </row>
    <row r="3315">
      <c r="A3315" s="5" t="s">
        <v>3831</v>
      </c>
      <c r="B3315" s="28">
        <v>105694.0</v>
      </c>
    </row>
    <row r="3316">
      <c r="A3316" s="5" t="s">
        <v>3832</v>
      </c>
      <c r="B3316" s="28">
        <v>111060.0</v>
      </c>
    </row>
    <row r="3317">
      <c r="A3317" s="5" t="s">
        <v>3833</v>
      </c>
      <c r="B3317" s="28">
        <v>111060.0</v>
      </c>
    </row>
    <row r="3318">
      <c r="A3318" s="5" t="s">
        <v>3834</v>
      </c>
      <c r="B3318" s="28">
        <v>9941.0</v>
      </c>
    </row>
    <row r="3319">
      <c r="A3319" s="5" t="s">
        <v>3835</v>
      </c>
      <c r="B3319" s="28">
        <v>119922.0</v>
      </c>
    </row>
    <row r="3320">
      <c r="A3320" s="5" t="s">
        <v>3836</v>
      </c>
      <c r="B3320" s="28">
        <v>127536.0</v>
      </c>
    </row>
    <row r="3321">
      <c r="A3321" s="5" t="s">
        <v>3837</v>
      </c>
      <c r="B3321" s="28">
        <v>130591.0</v>
      </c>
    </row>
    <row r="3322">
      <c r="A3322" s="5" t="s">
        <v>3838</v>
      </c>
      <c r="B3322" s="28">
        <v>13118.0</v>
      </c>
    </row>
    <row r="3323">
      <c r="A3323" s="5" t="s">
        <v>3839</v>
      </c>
      <c r="B3323" s="28">
        <v>13118.0</v>
      </c>
    </row>
    <row r="3324">
      <c r="A3324" s="5" t="s">
        <v>3840</v>
      </c>
      <c r="B3324" s="28">
        <v>43738.0</v>
      </c>
    </row>
    <row r="3325">
      <c r="A3325" s="5" t="s">
        <v>3841</v>
      </c>
      <c r="B3325" s="28">
        <v>18598.0</v>
      </c>
    </row>
    <row r="3326">
      <c r="A3326" s="5" t="s">
        <v>3842</v>
      </c>
      <c r="B3326" s="28">
        <v>656491.0</v>
      </c>
    </row>
    <row r="3327">
      <c r="A3327" s="5" t="s">
        <v>3843</v>
      </c>
      <c r="B3327" s="28">
        <v>3173.0</v>
      </c>
    </row>
    <row r="3328">
      <c r="A3328" s="5" t="s">
        <v>3844</v>
      </c>
      <c r="B3328" s="28">
        <v>49424.0</v>
      </c>
    </row>
    <row r="3329">
      <c r="A3329" s="5" t="s">
        <v>3845</v>
      </c>
      <c r="B3329" s="28">
        <v>93458.0</v>
      </c>
    </row>
    <row r="3330">
      <c r="A3330" s="5" t="s">
        <v>3846</v>
      </c>
      <c r="B3330" s="28">
        <v>78855.0</v>
      </c>
    </row>
    <row r="3331">
      <c r="A3331" s="5" t="s">
        <v>3847</v>
      </c>
      <c r="B3331" s="28">
        <v>19649.0</v>
      </c>
    </row>
    <row r="3332">
      <c r="A3332" s="5" t="s">
        <v>3848</v>
      </c>
      <c r="B3332" s="28">
        <v>23185.0</v>
      </c>
    </row>
    <row r="3333">
      <c r="A3333" s="5" t="s">
        <v>3849</v>
      </c>
      <c r="B3333" s="28">
        <v>337077.0</v>
      </c>
    </row>
    <row r="3334">
      <c r="A3334" s="5" t="s">
        <v>3850</v>
      </c>
      <c r="B3334" s="28">
        <v>342741.0</v>
      </c>
    </row>
    <row r="3335">
      <c r="A3335" s="5" t="s">
        <v>3851</v>
      </c>
      <c r="B3335" s="28">
        <v>70093.0</v>
      </c>
    </row>
    <row r="3336">
      <c r="A3336" s="5" t="s">
        <v>3852</v>
      </c>
      <c r="B3336" s="28">
        <v>8393.0</v>
      </c>
    </row>
    <row r="3337">
      <c r="A3337" s="5" t="s">
        <v>3853</v>
      </c>
      <c r="B3337" s="28">
        <v>22692.0</v>
      </c>
    </row>
    <row r="3338">
      <c r="A3338" s="5" t="s">
        <v>3854</v>
      </c>
      <c r="B3338" s="28">
        <v>68579.0</v>
      </c>
    </row>
    <row r="3339">
      <c r="A3339" s="5" t="s">
        <v>3855</v>
      </c>
      <c r="B3339" s="28">
        <v>6537.0</v>
      </c>
    </row>
    <row r="3340">
      <c r="A3340" s="5" t="s">
        <v>3856</v>
      </c>
      <c r="B3340" s="28">
        <v>21994.0</v>
      </c>
    </row>
    <row r="3341">
      <c r="A3341" s="5" t="s">
        <v>3857</v>
      </c>
      <c r="B3341" s="28">
        <v>60026.0</v>
      </c>
    </row>
    <row r="3342">
      <c r="A3342" s="5" t="s">
        <v>3858</v>
      </c>
      <c r="B3342" s="28">
        <v>63081.0</v>
      </c>
    </row>
    <row r="3343">
      <c r="A3343" s="5" t="s">
        <v>3859</v>
      </c>
      <c r="B3343" s="28">
        <v>6111.0</v>
      </c>
    </row>
    <row r="3344">
      <c r="A3344" s="5" t="s">
        <v>3860</v>
      </c>
      <c r="B3344" s="28">
        <v>6870.0</v>
      </c>
    </row>
    <row r="3345">
      <c r="A3345" s="5" t="s">
        <v>3861</v>
      </c>
      <c r="B3345" s="28">
        <v>18577.0</v>
      </c>
    </row>
    <row r="3346">
      <c r="A3346" s="5" t="s">
        <v>3862</v>
      </c>
      <c r="B3346" s="28">
        <v>8248.0</v>
      </c>
    </row>
    <row r="3347">
      <c r="A3347" s="5" t="s">
        <v>3863</v>
      </c>
      <c r="B3347" s="28">
        <v>197631.0</v>
      </c>
    </row>
    <row r="3348">
      <c r="A3348" s="5" t="s">
        <v>3864</v>
      </c>
      <c r="B3348" s="28">
        <v>845.0</v>
      </c>
    </row>
    <row r="3349">
      <c r="A3349" s="5" t="s">
        <v>3865</v>
      </c>
      <c r="B3349" s="28">
        <v>768.0</v>
      </c>
    </row>
    <row r="3350">
      <c r="A3350" s="5" t="s">
        <v>3866</v>
      </c>
      <c r="B3350" s="28">
        <v>768.0</v>
      </c>
    </row>
    <row r="3351">
      <c r="A3351" s="5" t="s">
        <v>3867</v>
      </c>
      <c r="B3351" s="28">
        <v>37014.0</v>
      </c>
    </row>
    <row r="3352">
      <c r="A3352" s="5" t="s">
        <v>3868</v>
      </c>
      <c r="B3352" s="28">
        <v>88489.0</v>
      </c>
    </row>
    <row r="3353">
      <c r="A3353" s="5" t="s">
        <v>3869</v>
      </c>
      <c r="B3353" s="28">
        <v>48110.0</v>
      </c>
    </row>
    <row r="3354">
      <c r="A3354" s="5" t="s">
        <v>3870</v>
      </c>
      <c r="B3354" s="28">
        <v>55167.0</v>
      </c>
    </row>
    <row r="3355">
      <c r="A3355" s="5" t="s">
        <v>3871</v>
      </c>
      <c r="B3355" s="28">
        <v>5494.0</v>
      </c>
    </row>
    <row r="3356">
      <c r="A3356" s="5" t="s">
        <v>3872</v>
      </c>
      <c r="B3356" s="28">
        <v>40222.0</v>
      </c>
    </row>
    <row r="3357">
      <c r="A3357" s="5" t="s">
        <v>3873</v>
      </c>
      <c r="B3357" s="28">
        <v>57171.0</v>
      </c>
    </row>
    <row r="3358">
      <c r="A3358" s="5" t="s">
        <v>3874</v>
      </c>
      <c r="B3358" s="28">
        <v>26065.0</v>
      </c>
    </row>
    <row r="3359">
      <c r="A3359" s="5" t="s">
        <v>3875</v>
      </c>
      <c r="B3359" s="28">
        <v>25537.0</v>
      </c>
    </row>
    <row r="3360">
      <c r="A3360" s="5" t="s">
        <v>3876</v>
      </c>
      <c r="B3360" s="28">
        <v>17752.0</v>
      </c>
    </row>
    <row r="3361">
      <c r="A3361" s="5" t="s">
        <v>3877</v>
      </c>
      <c r="B3361" s="28">
        <v>64296.0</v>
      </c>
    </row>
    <row r="3362">
      <c r="A3362" s="5" t="s">
        <v>3878</v>
      </c>
      <c r="B3362" s="28">
        <v>1969.0</v>
      </c>
    </row>
    <row r="3363">
      <c r="A3363" s="5" t="s">
        <v>3879</v>
      </c>
      <c r="B3363" s="28">
        <v>6943.0</v>
      </c>
    </row>
    <row r="3364">
      <c r="A3364" s="5" t="s">
        <v>3880</v>
      </c>
      <c r="B3364" s="28">
        <v>4250.0</v>
      </c>
    </row>
    <row r="3365">
      <c r="A3365" s="5" t="s">
        <v>3881</v>
      </c>
      <c r="B3365" s="28">
        <v>40208.0</v>
      </c>
    </row>
    <row r="3366">
      <c r="A3366" s="5" t="s">
        <v>3882</v>
      </c>
      <c r="B3366" s="28">
        <v>32362.0</v>
      </c>
    </row>
    <row r="3367">
      <c r="A3367" s="5" t="s">
        <v>3883</v>
      </c>
      <c r="B3367" s="28">
        <v>14682.0</v>
      </c>
    </row>
    <row r="3368">
      <c r="A3368" s="5" t="s">
        <v>3884</v>
      </c>
      <c r="B3368" s="28">
        <v>8538.0</v>
      </c>
    </row>
    <row r="3369">
      <c r="A3369" s="5" t="s">
        <v>3885</v>
      </c>
      <c r="B3369" s="28">
        <v>17999.0</v>
      </c>
    </row>
    <row r="3370">
      <c r="A3370" s="5" t="s">
        <v>3886</v>
      </c>
      <c r="B3370" s="28">
        <v>14034.0</v>
      </c>
    </row>
    <row r="3371">
      <c r="A3371" s="5" t="s">
        <v>3887</v>
      </c>
      <c r="B3371" s="28">
        <v>2081.0</v>
      </c>
    </row>
    <row r="3372">
      <c r="A3372" s="12" t="s">
        <v>3888</v>
      </c>
      <c r="B3372" s="28">
        <v>12773.0</v>
      </c>
    </row>
    <row r="3373">
      <c r="A3373" s="12" t="s">
        <v>3889</v>
      </c>
      <c r="B3373" s="28">
        <v>22070.0</v>
      </c>
    </row>
    <row r="3374">
      <c r="A3374" s="12" t="s">
        <v>3890</v>
      </c>
      <c r="B3374" s="28">
        <v>12239.0</v>
      </c>
    </row>
    <row r="3375">
      <c r="A3375" s="12" t="s">
        <v>3891</v>
      </c>
      <c r="B3375" s="28">
        <v>12239.0</v>
      </c>
    </row>
    <row r="3376">
      <c r="A3376" s="12" t="s">
        <v>3892</v>
      </c>
      <c r="B3376" s="28">
        <v>12239.0</v>
      </c>
    </row>
    <row r="3377">
      <c r="A3377" s="12" t="s">
        <v>3893</v>
      </c>
      <c r="B3377" s="28">
        <v>12239.0</v>
      </c>
    </row>
    <row r="3378">
      <c r="A3378" s="12" t="s">
        <v>3894</v>
      </c>
      <c r="B3378" s="28">
        <v>12239.0</v>
      </c>
    </row>
    <row r="3379">
      <c r="A3379" s="5" t="s">
        <v>3895</v>
      </c>
      <c r="B3379" s="28">
        <v>6912.0</v>
      </c>
    </row>
    <row r="3380">
      <c r="A3380" s="5" t="s">
        <v>3896</v>
      </c>
      <c r="B3380" s="28">
        <v>3684.0</v>
      </c>
    </row>
    <row r="3381">
      <c r="A3381" s="5" t="s">
        <v>3897</v>
      </c>
      <c r="B3381" s="28">
        <v>5569.0</v>
      </c>
    </row>
    <row r="3382">
      <c r="A3382" s="5" t="s">
        <v>3898</v>
      </c>
      <c r="B3382" s="28">
        <v>47812.0</v>
      </c>
    </row>
    <row r="3383">
      <c r="A3383" s="5" t="s">
        <v>3899</v>
      </c>
      <c r="B3383" s="28">
        <v>17582.0</v>
      </c>
    </row>
    <row r="3384">
      <c r="A3384" s="5" t="s">
        <v>3900</v>
      </c>
      <c r="B3384" s="28">
        <v>4638.0</v>
      </c>
    </row>
    <row r="3385">
      <c r="A3385" s="5" t="s">
        <v>3901</v>
      </c>
      <c r="B3385" s="28">
        <v>52869.0</v>
      </c>
    </row>
    <row r="3386">
      <c r="A3386" s="5" t="s">
        <v>3902</v>
      </c>
      <c r="B3386" s="28">
        <v>7540.0</v>
      </c>
    </row>
    <row r="3387">
      <c r="A3387" s="5" t="s">
        <v>3903</v>
      </c>
      <c r="B3387" s="28">
        <v>14367.0</v>
      </c>
    </row>
    <row r="3388">
      <c r="A3388" s="12" t="s">
        <v>3904</v>
      </c>
      <c r="B3388" s="28">
        <v>14686.0</v>
      </c>
    </row>
    <row r="3389">
      <c r="A3389" s="12" t="s">
        <v>3905</v>
      </c>
      <c r="B3389" s="28">
        <v>23740.0</v>
      </c>
    </row>
    <row r="3390">
      <c r="A3390" s="5" t="s">
        <v>3906</v>
      </c>
      <c r="B3390" s="28">
        <v>3523.0</v>
      </c>
    </row>
    <row r="3391">
      <c r="A3391" s="5" t="s">
        <v>3907</v>
      </c>
      <c r="B3391" s="28">
        <v>13316.0</v>
      </c>
    </row>
    <row r="3392">
      <c r="A3392" s="5" t="s">
        <v>3908</v>
      </c>
      <c r="B3392" s="28">
        <v>18268.0</v>
      </c>
    </row>
    <row r="3393">
      <c r="A3393" s="5" t="s">
        <v>3909</v>
      </c>
      <c r="B3393" s="28">
        <v>1720.0</v>
      </c>
    </row>
    <row r="3394">
      <c r="A3394" s="5" t="s">
        <v>3910</v>
      </c>
      <c r="B3394" s="28">
        <v>214078.0</v>
      </c>
    </row>
    <row r="3395">
      <c r="A3395" s="5" t="s">
        <v>3911</v>
      </c>
      <c r="B3395" s="28">
        <v>1484.0</v>
      </c>
    </row>
    <row r="3396">
      <c r="A3396" s="5" t="s">
        <v>3912</v>
      </c>
      <c r="B3396" s="28">
        <v>6984.0</v>
      </c>
    </row>
    <row r="3397">
      <c r="A3397" s="5" t="s">
        <v>3913</v>
      </c>
      <c r="B3397" s="28">
        <v>4158.0</v>
      </c>
    </row>
    <row r="3398">
      <c r="A3398" s="5" t="s">
        <v>3914</v>
      </c>
      <c r="B3398" s="28">
        <v>12866.0</v>
      </c>
    </row>
    <row r="3399">
      <c r="A3399" s="5" t="s">
        <v>3915</v>
      </c>
      <c r="B3399" s="28">
        <v>28592.0</v>
      </c>
    </row>
    <row r="3400">
      <c r="A3400" s="5" t="s">
        <v>3916</v>
      </c>
      <c r="B3400" s="28">
        <v>35375.0</v>
      </c>
    </row>
    <row r="3401">
      <c r="A3401" s="5" t="s">
        <v>3917</v>
      </c>
      <c r="B3401" s="28">
        <v>105875.0</v>
      </c>
    </row>
    <row r="3402">
      <c r="A3402" s="5" t="s">
        <v>3918</v>
      </c>
      <c r="B3402" s="28">
        <v>15703.0</v>
      </c>
    </row>
    <row r="3403">
      <c r="A3403" s="5" t="s">
        <v>3919</v>
      </c>
      <c r="B3403" s="28">
        <v>7116.0</v>
      </c>
    </row>
    <row r="3404">
      <c r="A3404" s="5" t="s">
        <v>3920</v>
      </c>
      <c r="B3404" s="28">
        <v>48006.0</v>
      </c>
    </row>
    <row r="3405">
      <c r="A3405" s="5" t="s">
        <v>3921</v>
      </c>
      <c r="B3405" s="28">
        <v>11294.0</v>
      </c>
    </row>
    <row r="3406">
      <c r="A3406" s="5" t="s">
        <v>3922</v>
      </c>
      <c r="B3406" s="28">
        <v>45176.0</v>
      </c>
    </row>
    <row r="3407">
      <c r="A3407" s="12" t="s">
        <v>3923</v>
      </c>
      <c r="B3407" s="28">
        <v>21359.0</v>
      </c>
    </row>
    <row r="3408">
      <c r="A3408" s="5" t="s">
        <v>3924</v>
      </c>
      <c r="B3408" s="28">
        <v>101170.0</v>
      </c>
    </row>
    <row r="3409">
      <c r="A3409" s="5" t="s">
        <v>3925</v>
      </c>
      <c r="B3409" s="28">
        <v>20204.0</v>
      </c>
    </row>
    <row r="3410">
      <c r="A3410" s="5" t="s">
        <v>3926</v>
      </c>
      <c r="B3410" s="28">
        <v>5132.0</v>
      </c>
    </row>
    <row r="3411">
      <c r="A3411" s="5" t="s">
        <v>3927</v>
      </c>
      <c r="B3411" s="28">
        <v>22516.0</v>
      </c>
    </row>
    <row r="3412">
      <c r="A3412" s="5" t="s">
        <v>3928</v>
      </c>
      <c r="B3412" s="28">
        <v>7069.0</v>
      </c>
    </row>
    <row r="3413">
      <c r="A3413" s="5" t="s">
        <v>3929</v>
      </c>
      <c r="B3413" s="28">
        <v>4949.0</v>
      </c>
    </row>
    <row r="3414">
      <c r="A3414" s="5" t="s">
        <v>3930</v>
      </c>
      <c r="B3414" s="28">
        <v>1693.0</v>
      </c>
    </row>
    <row r="3415">
      <c r="A3415" s="5" t="s">
        <v>3931</v>
      </c>
      <c r="B3415" s="28">
        <v>126994.0</v>
      </c>
    </row>
    <row r="3416">
      <c r="A3416" s="5" t="s">
        <v>3932</v>
      </c>
      <c r="B3416" s="28">
        <v>163925.0</v>
      </c>
    </row>
    <row r="3417">
      <c r="A3417" s="12" t="s">
        <v>3933</v>
      </c>
      <c r="B3417" s="28">
        <v>58030.0</v>
      </c>
    </row>
    <row r="3418">
      <c r="A3418" s="12" t="s">
        <v>3934</v>
      </c>
      <c r="B3418" s="28">
        <v>11606.0</v>
      </c>
    </row>
    <row r="3419">
      <c r="A3419" s="12" t="s">
        <v>3935</v>
      </c>
      <c r="B3419" s="28">
        <v>29015.0</v>
      </c>
    </row>
    <row r="3420">
      <c r="A3420" s="12" t="s">
        <v>3936</v>
      </c>
      <c r="B3420" s="28">
        <v>91725.0</v>
      </c>
    </row>
    <row r="3421">
      <c r="A3421" s="5" t="s">
        <v>3937</v>
      </c>
      <c r="B3421" s="28">
        <v>14072.0</v>
      </c>
    </row>
    <row r="3422">
      <c r="A3422" s="12" t="s">
        <v>3938</v>
      </c>
      <c r="B3422" s="28">
        <v>44624.0</v>
      </c>
    </row>
    <row r="3423">
      <c r="A3423" s="12" t="s">
        <v>3939</v>
      </c>
      <c r="B3423" s="28">
        <v>4730.0</v>
      </c>
    </row>
    <row r="3424">
      <c r="A3424" s="5" t="s">
        <v>3940</v>
      </c>
      <c r="B3424" s="28">
        <v>102259.0</v>
      </c>
    </row>
    <row r="3425">
      <c r="A3425" s="12" t="s">
        <v>3941</v>
      </c>
      <c r="B3425" s="28">
        <v>21623.0</v>
      </c>
    </row>
    <row r="3426">
      <c r="A3426" s="12" t="s">
        <v>3942</v>
      </c>
      <c r="B3426" s="28">
        <v>95713.0</v>
      </c>
    </row>
    <row r="3427">
      <c r="A3427" s="12" t="s">
        <v>3943</v>
      </c>
      <c r="B3427" s="28">
        <v>124376.0</v>
      </c>
    </row>
    <row r="3428">
      <c r="A3428" s="12" t="s">
        <v>3944</v>
      </c>
      <c r="B3428" s="28">
        <v>30642.0</v>
      </c>
    </row>
    <row r="3429">
      <c r="A3429" s="12" t="s">
        <v>3945</v>
      </c>
      <c r="B3429" s="28">
        <v>50057.0</v>
      </c>
    </row>
    <row r="3430">
      <c r="A3430" s="5" t="s">
        <v>3946</v>
      </c>
      <c r="B3430" s="28">
        <v>827518.0</v>
      </c>
    </row>
    <row r="3431">
      <c r="A3431" s="5" t="s">
        <v>3947</v>
      </c>
      <c r="B3431" s="28">
        <v>173385.0</v>
      </c>
    </row>
    <row r="3432">
      <c r="A3432" s="5" t="s">
        <v>3948</v>
      </c>
      <c r="B3432" s="28">
        <v>157622.0</v>
      </c>
    </row>
    <row r="3433">
      <c r="A3433" s="5" t="s">
        <v>3949</v>
      </c>
      <c r="B3433" s="28">
        <v>55350.0</v>
      </c>
    </row>
    <row r="3434">
      <c r="A3434" s="5" t="s">
        <v>3950</v>
      </c>
      <c r="B3434" s="28">
        <v>35912.0</v>
      </c>
    </row>
    <row r="3435">
      <c r="A3435" s="12" t="s">
        <v>3951</v>
      </c>
      <c r="B3435" s="28">
        <v>252470.0</v>
      </c>
    </row>
    <row r="3436">
      <c r="A3436" s="5" t="s">
        <v>3952</v>
      </c>
      <c r="B3436" s="28">
        <v>10318.0</v>
      </c>
    </row>
    <row r="3437">
      <c r="A3437" s="12" t="s">
        <v>3953</v>
      </c>
      <c r="B3437" s="28">
        <v>67454.0</v>
      </c>
    </row>
    <row r="3438">
      <c r="A3438" s="5" t="s">
        <v>3954</v>
      </c>
      <c r="B3438" s="28">
        <v>37465.0</v>
      </c>
    </row>
    <row r="3439">
      <c r="A3439" s="5" t="s">
        <v>3955</v>
      </c>
      <c r="B3439" s="28">
        <v>9210.0</v>
      </c>
    </row>
    <row r="3440">
      <c r="A3440" s="5" t="s">
        <v>3956</v>
      </c>
      <c r="B3440" s="28">
        <v>35214.0</v>
      </c>
    </row>
    <row r="3441">
      <c r="A3441" s="5" t="s">
        <v>3957</v>
      </c>
      <c r="B3441" s="28">
        <v>224913.0</v>
      </c>
    </row>
    <row r="3442">
      <c r="A3442" s="12" t="s">
        <v>3958</v>
      </c>
      <c r="B3442" s="28">
        <v>46403.0</v>
      </c>
    </row>
    <row r="3443">
      <c r="A3443" s="5" t="s">
        <v>3959</v>
      </c>
      <c r="B3443" s="28">
        <v>67092.0</v>
      </c>
    </row>
    <row r="3444">
      <c r="A3444" s="12" t="s">
        <v>3960</v>
      </c>
      <c r="B3444" s="28">
        <v>4064.0</v>
      </c>
    </row>
    <row r="3445">
      <c r="A3445" s="5" t="s">
        <v>3961</v>
      </c>
      <c r="B3445" s="28">
        <v>25325.0</v>
      </c>
    </row>
    <row r="3446">
      <c r="A3446" s="5" t="s">
        <v>3962</v>
      </c>
      <c r="B3446" s="28">
        <v>33834.0</v>
      </c>
    </row>
    <row r="3447">
      <c r="A3447" s="5" t="s">
        <v>3963</v>
      </c>
      <c r="B3447" s="28">
        <v>1456854.0</v>
      </c>
    </row>
    <row r="3448">
      <c r="A3448" s="5" t="s">
        <v>3964</v>
      </c>
      <c r="B3448" s="28">
        <v>463028.0</v>
      </c>
    </row>
    <row r="3449">
      <c r="A3449" s="12" t="s">
        <v>3965</v>
      </c>
      <c r="B3449" s="28">
        <v>439687.0</v>
      </c>
    </row>
    <row r="3450">
      <c r="A3450" s="5" t="s">
        <v>3966</v>
      </c>
      <c r="B3450" s="28">
        <v>403936.0</v>
      </c>
    </row>
    <row r="3451">
      <c r="A3451" s="12" t="s">
        <v>3967</v>
      </c>
      <c r="B3451" s="28">
        <v>383878.0</v>
      </c>
    </row>
    <row r="3452">
      <c r="A3452" s="5" t="s">
        <v>3968</v>
      </c>
      <c r="B3452" s="28">
        <v>9681.0</v>
      </c>
    </row>
    <row r="3453">
      <c r="A3453" s="5" t="s">
        <v>3969</v>
      </c>
      <c r="B3453" s="28">
        <v>36013.0</v>
      </c>
    </row>
    <row r="3454">
      <c r="A3454" s="5" t="s">
        <v>3970</v>
      </c>
      <c r="B3454" s="28">
        <v>17397.0</v>
      </c>
    </row>
    <row r="3455">
      <c r="A3455" s="5" t="s">
        <v>3971</v>
      </c>
      <c r="B3455" s="28">
        <v>0.0</v>
      </c>
    </row>
    <row r="3456">
      <c r="A3456" s="5" t="s">
        <v>3972</v>
      </c>
      <c r="B3456" s="28">
        <v>6400.0</v>
      </c>
    </row>
    <row r="3457">
      <c r="A3457" s="5" t="s">
        <v>3973</v>
      </c>
      <c r="B3457" s="28">
        <v>111676.0</v>
      </c>
    </row>
    <row r="3458">
      <c r="A3458" s="5" t="s">
        <v>3974</v>
      </c>
      <c r="B3458" s="28">
        <v>124084.0</v>
      </c>
    </row>
    <row r="3459">
      <c r="A3459" s="5" t="s">
        <v>3975</v>
      </c>
      <c r="B3459" s="28">
        <v>224885.0</v>
      </c>
    </row>
    <row r="3460">
      <c r="A3460" s="5" t="s">
        <v>3976</v>
      </c>
      <c r="B3460" s="28">
        <v>4532.0</v>
      </c>
    </row>
    <row r="3461">
      <c r="A3461" s="5" t="s">
        <v>3977</v>
      </c>
      <c r="B3461" s="28">
        <v>23332.0</v>
      </c>
    </row>
    <row r="3462">
      <c r="A3462" s="12" t="s">
        <v>3978</v>
      </c>
      <c r="B3462" s="28">
        <v>76326.0</v>
      </c>
    </row>
    <row r="3463">
      <c r="A3463" s="12" t="s">
        <v>3979</v>
      </c>
      <c r="B3463" s="28">
        <v>135429.0</v>
      </c>
    </row>
    <row r="3464">
      <c r="A3464" s="5" t="s">
        <v>3980</v>
      </c>
      <c r="B3464" s="28">
        <v>35184.0</v>
      </c>
    </row>
    <row r="3465">
      <c r="A3465" s="5" t="s">
        <v>3981</v>
      </c>
      <c r="B3465" s="28">
        <v>36570.0</v>
      </c>
    </row>
    <row r="3466">
      <c r="A3466" s="12" t="s">
        <v>3982</v>
      </c>
      <c r="B3466" s="28">
        <v>9973.0</v>
      </c>
    </row>
    <row r="3467">
      <c r="A3467" s="12" t="s">
        <v>3983</v>
      </c>
      <c r="B3467" s="28">
        <v>36126.0</v>
      </c>
    </row>
    <row r="3468">
      <c r="A3468" s="12" t="s">
        <v>3984</v>
      </c>
      <c r="B3468" s="28">
        <v>62987.0</v>
      </c>
    </row>
    <row r="3469">
      <c r="A3469" s="5" t="s">
        <v>3985</v>
      </c>
      <c r="B3469" s="28">
        <v>150562.0</v>
      </c>
    </row>
    <row r="3470">
      <c r="A3470" s="5" t="s">
        <v>3986</v>
      </c>
      <c r="B3470" s="28">
        <v>60887.0</v>
      </c>
    </row>
    <row r="3471">
      <c r="A3471" s="5" t="s">
        <v>3987</v>
      </c>
      <c r="B3471" s="28">
        <v>62315.0</v>
      </c>
    </row>
    <row r="3472">
      <c r="A3472" s="5" t="s">
        <v>3988</v>
      </c>
      <c r="B3472" s="28">
        <v>14359.0</v>
      </c>
    </row>
    <row r="3473">
      <c r="A3473" s="5" t="s">
        <v>3989</v>
      </c>
      <c r="B3473" s="28">
        <v>19653.0</v>
      </c>
    </row>
    <row r="3474">
      <c r="A3474" s="5" t="s">
        <v>3990</v>
      </c>
      <c r="B3474" s="28">
        <v>28729.0</v>
      </c>
    </row>
    <row r="3475">
      <c r="A3475" s="5" t="s">
        <v>3991</v>
      </c>
      <c r="B3475" s="28">
        <v>51988.0</v>
      </c>
    </row>
    <row r="3476">
      <c r="A3476" s="5" t="s">
        <v>3992</v>
      </c>
      <c r="B3476" s="28">
        <v>48773.0</v>
      </c>
    </row>
    <row r="3477">
      <c r="A3477" s="5" t="s">
        <v>3993</v>
      </c>
      <c r="B3477" s="28">
        <v>56317.0</v>
      </c>
    </row>
    <row r="3478">
      <c r="A3478" s="5" t="s">
        <v>3994</v>
      </c>
      <c r="B3478" s="28">
        <v>25345.0</v>
      </c>
    </row>
    <row r="3479">
      <c r="A3479" s="5" t="s">
        <v>3995</v>
      </c>
      <c r="B3479" s="28">
        <v>117734.0</v>
      </c>
    </row>
    <row r="3480">
      <c r="A3480" s="5" t="s">
        <v>3996</v>
      </c>
      <c r="B3480" s="28">
        <v>63327.0</v>
      </c>
    </row>
    <row r="3481">
      <c r="A3481" s="5" t="s">
        <v>3997</v>
      </c>
      <c r="B3481" s="28">
        <v>0.0</v>
      </c>
    </row>
    <row r="3482">
      <c r="A3482" s="5" t="s">
        <v>3998</v>
      </c>
      <c r="B3482" s="28">
        <v>77886.0</v>
      </c>
    </row>
    <row r="3483">
      <c r="A3483" s="5" t="s">
        <v>3999</v>
      </c>
      <c r="B3483" s="28">
        <v>129810.0</v>
      </c>
    </row>
    <row r="3484">
      <c r="A3484" s="5" t="s">
        <v>4000</v>
      </c>
      <c r="B3484" s="28">
        <v>0.0</v>
      </c>
    </row>
    <row r="3485">
      <c r="A3485" s="5" t="s">
        <v>4001</v>
      </c>
      <c r="B3485" s="28">
        <v>5895.0</v>
      </c>
    </row>
    <row r="3486">
      <c r="A3486" s="5" t="s">
        <v>4002</v>
      </c>
      <c r="B3486" s="28">
        <v>0.0</v>
      </c>
    </row>
    <row r="3487">
      <c r="A3487" s="5" t="s">
        <v>4003</v>
      </c>
      <c r="B3487" s="28">
        <v>26912.0</v>
      </c>
    </row>
    <row r="3488">
      <c r="A3488" s="5" t="s">
        <v>4004</v>
      </c>
      <c r="B3488" s="28">
        <v>47042.0</v>
      </c>
    </row>
    <row r="3489">
      <c r="A3489" s="5" t="s">
        <v>4005</v>
      </c>
      <c r="B3489" s="28">
        <v>59229.0</v>
      </c>
    </row>
    <row r="3490">
      <c r="A3490" s="12" t="s">
        <v>323</v>
      </c>
      <c r="B3490" s="28">
        <v>8734.0</v>
      </c>
    </row>
    <row r="3491">
      <c r="A3491" s="12" t="s">
        <v>4006</v>
      </c>
      <c r="B3491" s="28">
        <v>16114.0</v>
      </c>
    </row>
    <row r="3492">
      <c r="A3492" s="12" t="s">
        <v>326</v>
      </c>
      <c r="B3492" s="28">
        <v>8899.0</v>
      </c>
    </row>
    <row r="3493">
      <c r="A3493" s="12" t="s">
        <v>330</v>
      </c>
      <c r="B3493" s="28">
        <v>11536.0</v>
      </c>
    </row>
    <row r="3494">
      <c r="A3494" s="12" t="s">
        <v>4007</v>
      </c>
      <c r="B3494" s="28">
        <v>8075.0</v>
      </c>
    </row>
    <row r="3495">
      <c r="A3495" s="12" t="s">
        <v>343</v>
      </c>
      <c r="B3495" s="28">
        <v>13513.0</v>
      </c>
    </row>
    <row r="3496">
      <c r="A3496" s="5" t="s">
        <v>4008</v>
      </c>
      <c r="B3496" s="28">
        <v>8531.0</v>
      </c>
    </row>
    <row r="3497">
      <c r="A3497" s="12" t="s">
        <v>4009</v>
      </c>
      <c r="B3497" s="28">
        <v>7762.0</v>
      </c>
    </row>
    <row r="3498">
      <c r="A3498" s="12" t="s">
        <v>4010</v>
      </c>
      <c r="B3498" s="28">
        <v>5993.0</v>
      </c>
    </row>
    <row r="3499">
      <c r="A3499" s="5" t="s">
        <v>4011</v>
      </c>
      <c r="B3499" s="28">
        <v>139405.0</v>
      </c>
    </row>
    <row r="3500">
      <c r="A3500" s="12" t="s">
        <v>4012</v>
      </c>
      <c r="B3500" s="28">
        <v>166010.0</v>
      </c>
    </row>
    <row r="3501">
      <c r="A3501" s="5" t="s">
        <v>4013</v>
      </c>
      <c r="B3501" s="28">
        <v>132806.0</v>
      </c>
    </row>
    <row r="3502">
      <c r="A3502" s="5" t="s">
        <v>4014</v>
      </c>
      <c r="B3502" s="28">
        <v>252342.0</v>
      </c>
    </row>
    <row r="3503">
      <c r="A3503" s="5" t="s">
        <v>4015</v>
      </c>
      <c r="B3503" s="28">
        <v>0.0</v>
      </c>
    </row>
    <row r="3504">
      <c r="A3504" s="5" t="s">
        <v>4016</v>
      </c>
      <c r="B3504" s="28">
        <v>91539.0</v>
      </c>
    </row>
    <row r="3505">
      <c r="A3505" s="12" t="s">
        <v>4017</v>
      </c>
      <c r="B3505" s="28">
        <v>33979.0</v>
      </c>
    </row>
    <row r="3506">
      <c r="A3506" s="5" t="s">
        <v>4018</v>
      </c>
      <c r="B3506" s="28">
        <v>0.0</v>
      </c>
    </row>
    <row r="3507">
      <c r="A3507" s="5" t="s">
        <v>4019</v>
      </c>
      <c r="B3507" s="28">
        <v>36978.0</v>
      </c>
    </row>
    <row r="3508">
      <c r="A3508" s="5" t="s">
        <v>4020</v>
      </c>
      <c r="B3508" s="28">
        <v>70663.0</v>
      </c>
    </row>
    <row r="3509">
      <c r="A3509" s="5" t="s">
        <v>4021</v>
      </c>
      <c r="B3509" s="28">
        <v>105612.0</v>
      </c>
    </row>
    <row r="3510">
      <c r="A3510" s="5" t="s">
        <v>4022</v>
      </c>
      <c r="B3510" s="28">
        <v>13.0</v>
      </c>
    </row>
    <row r="3511">
      <c r="A3511" s="5" t="s">
        <v>4023</v>
      </c>
      <c r="B3511" s="28">
        <v>0.0</v>
      </c>
    </row>
    <row r="3512">
      <c r="A3512" s="5" t="s">
        <v>4024</v>
      </c>
      <c r="B3512" s="28">
        <v>59304.0</v>
      </c>
    </row>
    <row r="3513">
      <c r="A3513" s="5" t="s">
        <v>4025</v>
      </c>
      <c r="B3513" s="28">
        <v>0.0</v>
      </c>
    </row>
    <row r="3514">
      <c r="A3514" s="5" t="s">
        <v>4026</v>
      </c>
      <c r="B3514" s="28">
        <v>11330.0</v>
      </c>
    </row>
    <row r="3515">
      <c r="A3515" s="12" t="s">
        <v>4027</v>
      </c>
      <c r="B3515" s="28">
        <v>23074.0</v>
      </c>
    </row>
    <row r="3516">
      <c r="A3516" s="12" t="s">
        <v>4028</v>
      </c>
      <c r="B3516" s="28">
        <v>24711.0</v>
      </c>
    </row>
    <row r="3517">
      <c r="A3517" s="12" t="s">
        <v>4029</v>
      </c>
      <c r="B3517" s="28">
        <v>35904.0</v>
      </c>
    </row>
    <row r="3518">
      <c r="A3518" s="5" t="s">
        <v>4030</v>
      </c>
      <c r="B3518" s="28">
        <v>13706.0</v>
      </c>
    </row>
    <row r="3519">
      <c r="A3519" s="5" t="s">
        <v>4031</v>
      </c>
      <c r="B3519" s="28">
        <v>45026.0</v>
      </c>
    </row>
    <row r="3520">
      <c r="A3520" s="5" t="s">
        <v>4032</v>
      </c>
      <c r="B3520" s="28">
        <v>28569.0</v>
      </c>
    </row>
    <row r="3521">
      <c r="A3521" s="5" t="s">
        <v>4033</v>
      </c>
      <c r="B3521" s="28">
        <v>34172.0</v>
      </c>
    </row>
    <row r="3522">
      <c r="A3522" s="5" t="s">
        <v>4034</v>
      </c>
      <c r="B3522" s="28">
        <v>183107.0</v>
      </c>
    </row>
    <row r="3523">
      <c r="A3523" s="5" t="s">
        <v>4035</v>
      </c>
      <c r="B3523" s="28">
        <v>8143.0</v>
      </c>
    </row>
    <row r="3524">
      <c r="A3524" s="5" t="s">
        <v>4036</v>
      </c>
      <c r="B3524" s="28">
        <v>12560.0</v>
      </c>
    </row>
    <row r="3525">
      <c r="A3525" s="5" t="s">
        <v>4037</v>
      </c>
      <c r="B3525" s="28">
        <v>8689.0</v>
      </c>
    </row>
    <row r="3526">
      <c r="A3526" s="5" t="s">
        <v>4038</v>
      </c>
      <c r="B3526" s="28">
        <v>16768.0</v>
      </c>
    </row>
    <row r="3527">
      <c r="A3527" s="5" t="s">
        <v>4039</v>
      </c>
      <c r="B3527" s="28">
        <v>45641.0</v>
      </c>
    </row>
    <row r="3528">
      <c r="A3528" s="5" t="s">
        <v>4040</v>
      </c>
      <c r="B3528" s="28">
        <v>107916.0</v>
      </c>
    </row>
    <row r="3529">
      <c r="A3529" s="5" t="s">
        <v>4041</v>
      </c>
      <c r="B3529" s="28">
        <v>9632.0</v>
      </c>
    </row>
    <row r="3530">
      <c r="A3530" s="5" t="s">
        <v>4042</v>
      </c>
      <c r="B3530" s="28">
        <v>19264.0</v>
      </c>
    </row>
    <row r="3531">
      <c r="A3531" s="12" t="s">
        <v>4043</v>
      </c>
      <c r="B3531" s="28">
        <v>35618.0</v>
      </c>
    </row>
    <row r="3532">
      <c r="A3532" s="12" t="s">
        <v>4044</v>
      </c>
      <c r="B3532" s="28">
        <v>83868.0</v>
      </c>
    </row>
    <row r="3533">
      <c r="A3533" s="5" t="s">
        <v>4045</v>
      </c>
      <c r="B3533" s="28">
        <v>16530.0</v>
      </c>
    </row>
    <row r="3534">
      <c r="A3534" s="5" t="s">
        <v>4046</v>
      </c>
      <c r="B3534" s="28">
        <v>37080.0</v>
      </c>
    </row>
    <row r="3535">
      <c r="A3535" s="5" t="s">
        <v>4047</v>
      </c>
      <c r="B3535" s="28">
        <v>2646.0</v>
      </c>
    </row>
    <row r="3536">
      <c r="A3536" s="5" t="s">
        <v>4048</v>
      </c>
      <c r="B3536" s="28">
        <v>2843.0</v>
      </c>
    </row>
    <row r="3537">
      <c r="A3537" s="5" t="s">
        <v>4049</v>
      </c>
      <c r="B3537" s="28">
        <v>21347.0</v>
      </c>
    </row>
    <row r="3538">
      <c r="A3538" s="5" t="s">
        <v>4050</v>
      </c>
      <c r="B3538" s="28">
        <v>23684.0</v>
      </c>
    </row>
    <row r="3539">
      <c r="A3539" s="12" t="s">
        <v>4051</v>
      </c>
      <c r="B3539" s="28">
        <v>14588.0</v>
      </c>
    </row>
    <row r="3540">
      <c r="A3540" s="12" t="s">
        <v>4052</v>
      </c>
      <c r="B3540" s="28">
        <v>32823.0</v>
      </c>
    </row>
    <row r="3541">
      <c r="A3541" s="5" t="s">
        <v>4053</v>
      </c>
      <c r="B3541" s="28">
        <v>20393.0</v>
      </c>
    </row>
    <row r="3542">
      <c r="A3542" s="5" t="s">
        <v>4054</v>
      </c>
      <c r="B3542" s="28">
        <v>3139.0</v>
      </c>
    </row>
    <row r="3543">
      <c r="A3543" s="12" t="s">
        <v>4055</v>
      </c>
      <c r="B3543" s="28">
        <v>2700.0</v>
      </c>
    </row>
    <row r="3544">
      <c r="A3544" s="5" t="s">
        <v>4056</v>
      </c>
      <c r="B3544" s="28">
        <v>21784.0</v>
      </c>
    </row>
    <row r="3545">
      <c r="A3545" s="5" t="s">
        <v>4057</v>
      </c>
      <c r="B3545" s="28">
        <v>13816.0</v>
      </c>
    </row>
    <row r="3546">
      <c r="A3546" s="5" t="s">
        <v>4058</v>
      </c>
      <c r="B3546" s="28">
        <v>46632.0</v>
      </c>
    </row>
    <row r="3547">
      <c r="A3547" s="5" t="s">
        <v>4059</v>
      </c>
      <c r="B3547" s="28">
        <v>45269.0</v>
      </c>
    </row>
    <row r="3548">
      <c r="A3548" s="5" t="s">
        <v>4060</v>
      </c>
      <c r="B3548" s="28">
        <v>8913.0</v>
      </c>
    </row>
    <row r="3549">
      <c r="A3549" s="5" t="s">
        <v>4061</v>
      </c>
      <c r="B3549" s="28">
        <v>7659.0</v>
      </c>
    </row>
    <row r="3550">
      <c r="A3550" s="5" t="s">
        <v>4062</v>
      </c>
      <c r="B3550" s="28">
        <v>32301.0</v>
      </c>
    </row>
    <row r="3551">
      <c r="A3551" s="5" t="s">
        <v>4063</v>
      </c>
      <c r="B3551" s="28">
        <v>3553.0</v>
      </c>
    </row>
    <row r="3552">
      <c r="A3552" s="5" t="s">
        <v>4064</v>
      </c>
      <c r="B3552" s="28">
        <v>13454.0</v>
      </c>
    </row>
    <row r="3553">
      <c r="A3553" s="5" t="s">
        <v>4065</v>
      </c>
      <c r="B3553" s="28">
        <v>0.0</v>
      </c>
    </row>
    <row r="3554">
      <c r="A3554" s="5" t="s">
        <v>4066</v>
      </c>
      <c r="B3554" s="28">
        <v>41969.0</v>
      </c>
    </row>
    <row r="3555">
      <c r="A3555" s="5" t="s">
        <v>4067</v>
      </c>
      <c r="B3555" s="28">
        <v>92150.0</v>
      </c>
    </row>
    <row r="3556">
      <c r="A3556" s="5" t="s">
        <v>4068</v>
      </c>
      <c r="B3556" s="28">
        <v>77109.0</v>
      </c>
    </row>
    <row r="3557">
      <c r="A3557" s="5" t="s">
        <v>4069</v>
      </c>
      <c r="B3557" s="28">
        <v>55735.0</v>
      </c>
    </row>
    <row r="3558">
      <c r="A3558" s="5" t="s">
        <v>4070</v>
      </c>
      <c r="B3558" s="28">
        <v>39554.0</v>
      </c>
    </row>
    <row r="3559">
      <c r="A3559" s="5" t="s">
        <v>4071</v>
      </c>
      <c r="B3559" s="28">
        <v>16384.0</v>
      </c>
    </row>
    <row r="3560">
      <c r="A3560" s="12" t="s">
        <v>4072</v>
      </c>
      <c r="B3560" s="28">
        <v>65761.0</v>
      </c>
    </row>
    <row r="3561">
      <c r="A3561" s="5" t="s">
        <v>4073</v>
      </c>
      <c r="B3561" s="28">
        <v>41772.0</v>
      </c>
    </row>
    <row r="3562">
      <c r="A3562" s="12" t="s">
        <v>4074</v>
      </c>
      <c r="B3562" s="28">
        <v>27286.0</v>
      </c>
    </row>
    <row r="3563">
      <c r="A3563" s="5" t="s">
        <v>4075</v>
      </c>
      <c r="B3563" s="28">
        <v>45674.0</v>
      </c>
    </row>
    <row r="3564">
      <c r="A3564" s="5" t="s">
        <v>4076</v>
      </c>
      <c r="B3564" s="28">
        <v>21499.0</v>
      </c>
    </row>
    <row r="3565">
      <c r="A3565" s="5" t="s">
        <v>4077</v>
      </c>
      <c r="B3565" s="28">
        <v>91444.0</v>
      </c>
    </row>
    <row r="3566">
      <c r="A3566" s="5" t="s">
        <v>4078</v>
      </c>
      <c r="B3566" s="28">
        <v>429782.0</v>
      </c>
    </row>
    <row r="3567">
      <c r="A3567" s="5" t="s">
        <v>4079</v>
      </c>
      <c r="B3567" s="28">
        <v>0.0</v>
      </c>
    </row>
    <row r="3568">
      <c r="A3568" s="5" t="s">
        <v>4080</v>
      </c>
      <c r="B3568" s="28">
        <v>167280.0</v>
      </c>
    </row>
    <row r="3569">
      <c r="A3569" s="5" t="s">
        <v>4081</v>
      </c>
      <c r="B3569" s="28">
        <v>7619.0</v>
      </c>
    </row>
    <row r="3570">
      <c r="A3570" s="5" t="s">
        <v>4082</v>
      </c>
      <c r="B3570" s="28">
        <v>3635.0</v>
      </c>
    </row>
    <row r="3571">
      <c r="A3571" s="5" t="s">
        <v>4083</v>
      </c>
      <c r="B3571" s="28">
        <v>45153.0</v>
      </c>
    </row>
    <row r="3572">
      <c r="A3572" s="12" t="s">
        <v>4084</v>
      </c>
      <c r="B3572" s="28">
        <v>32231.0</v>
      </c>
    </row>
    <row r="3573">
      <c r="A3573" s="5" t="s">
        <v>4085</v>
      </c>
      <c r="B3573" s="28">
        <v>65205.0</v>
      </c>
    </row>
    <row r="3574">
      <c r="A3574" s="5" t="s">
        <v>4086</v>
      </c>
      <c r="B3574" s="28">
        <v>14369.0</v>
      </c>
    </row>
    <row r="3575">
      <c r="A3575" s="5" t="s">
        <v>4087</v>
      </c>
      <c r="B3575" s="28">
        <v>43075.0</v>
      </c>
    </row>
    <row r="3576">
      <c r="A3576" s="5" t="s">
        <v>4088</v>
      </c>
      <c r="B3576" s="28">
        <v>25198.0</v>
      </c>
    </row>
    <row r="3577">
      <c r="A3577" s="12" t="s">
        <v>4089</v>
      </c>
      <c r="B3577" s="28">
        <v>75051.0</v>
      </c>
    </row>
    <row r="3578">
      <c r="A3578" s="5" t="s">
        <v>4090</v>
      </c>
      <c r="B3578" s="28">
        <v>0.0</v>
      </c>
    </row>
    <row r="3579">
      <c r="A3579" s="5" t="s">
        <v>4091</v>
      </c>
      <c r="B3579" s="28">
        <v>84254.0</v>
      </c>
    </row>
    <row r="3580">
      <c r="A3580" s="5" t="s">
        <v>4092</v>
      </c>
      <c r="B3580" s="28">
        <v>142583.0</v>
      </c>
    </row>
    <row r="3581">
      <c r="A3581" s="5" t="s">
        <v>4093</v>
      </c>
      <c r="B3581" s="28">
        <v>47903.0</v>
      </c>
    </row>
    <row r="3582">
      <c r="A3582" s="12" t="s">
        <v>4094</v>
      </c>
      <c r="B3582" s="28">
        <v>189516.0</v>
      </c>
    </row>
    <row r="3583">
      <c r="A3583" s="12" t="s">
        <v>4095</v>
      </c>
      <c r="B3583" s="28">
        <v>59921.0</v>
      </c>
    </row>
    <row r="3584">
      <c r="A3584" s="5" t="s">
        <v>4096</v>
      </c>
      <c r="B3584" s="28">
        <v>46507.0</v>
      </c>
    </row>
    <row r="3585">
      <c r="A3585" s="5" t="s">
        <v>4097</v>
      </c>
      <c r="B3585" s="28">
        <v>33654.0</v>
      </c>
    </row>
    <row r="3586">
      <c r="A3586" s="5" t="s">
        <v>4098</v>
      </c>
      <c r="B3586" s="28">
        <v>64302.0</v>
      </c>
    </row>
    <row r="3587">
      <c r="A3587" s="5" t="s">
        <v>4099</v>
      </c>
      <c r="B3587" s="28">
        <v>21223.0</v>
      </c>
    </row>
    <row r="3588">
      <c r="A3588" s="5" t="s">
        <v>4100</v>
      </c>
      <c r="B3588" s="28">
        <v>26665.0</v>
      </c>
    </row>
    <row r="3589">
      <c r="A3589" s="5" t="s">
        <v>4101</v>
      </c>
      <c r="B3589" s="28">
        <v>19212.0</v>
      </c>
    </row>
    <row r="3590">
      <c r="A3590" s="5" t="s">
        <v>4102</v>
      </c>
      <c r="B3590" s="28">
        <v>5647.0</v>
      </c>
    </row>
    <row r="3591">
      <c r="A3591" s="5" t="s">
        <v>4103</v>
      </c>
      <c r="B3591" s="28">
        <v>9125.0</v>
      </c>
    </row>
    <row r="3592">
      <c r="A3592" s="5" t="s">
        <v>4104</v>
      </c>
      <c r="B3592" s="28">
        <v>0.0</v>
      </c>
    </row>
    <row r="3593">
      <c r="A3593" s="12" t="s">
        <v>4105</v>
      </c>
      <c r="B3593" s="28">
        <v>215690.0</v>
      </c>
    </row>
    <row r="3594">
      <c r="A3594" s="12" t="s">
        <v>4106</v>
      </c>
      <c r="B3594" s="28">
        <v>164270.0</v>
      </c>
    </row>
    <row r="3595">
      <c r="A3595" s="5" t="s">
        <v>4107</v>
      </c>
      <c r="B3595" s="28">
        <v>969074.0</v>
      </c>
    </row>
    <row r="3596">
      <c r="A3596" s="5" t="s">
        <v>4108</v>
      </c>
      <c r="B3596" s="28">
        <v>228446.0</v>
      </c>
    </row>
    <row r="3597">
      <c r="A3597" s="5" t="s">
        <v>4109</v>
      </c>
      <c r="B3597" s="28">
        <v>200031.0</v>
      </c>
    </row>
    <row r="3598">
      <c r="A3598" s="5" t="s">
        <v>4110</v>
      </c>
      <c r="B3598" s="28">
        <v>136876.0</v>
      </c>
    </row>
    <row r="3599">
      <c r="A3599" s="12" t="s">
        <v>4111</v>
      </c>
      <c r="B3599" s="28">
        <v>52263.0</v>
      </c>
    </row>
    <row r="3600">
      <c r="A3600" s="5" t="s">
        <v>4112</v>
      </c>
      <c r="B3600" s="28">
        <v>30195.0</v>
      </c>
    </row>
    <row r="3601">
      <c r="A3601" s="5" t="s">
        <v>4113</v>
      </c>
      <c r="B3601" s="28">
        <v>45571.0</v>
      </c>
    </row>
    <row r="3602">
      <c r="A3602" s="12" t="s">
        <v>4114</v>
      </c>
      <c r="B3602" s="28">
        <v>3520.0</v>
      </c>
    </row>
    <row r="3603">
      <c r="A3603" s="5" t="s">
        <v>4115</v>
      </c>
      <c r="B3603" s="28">
        <v>3858.0</v>
      </c>
    </row>
    <row r="3604">
      <c r="A3604" s="5" t="s">
        <v>4116</v>
      </c>
      <c r="B3604" s="28">
        <v>0.0</v>
      </c>
    </row>
    <row r="3605">
      <c r="A3605" s="5" t="s">
        <v>4117</v>
      </c>
      <c r="B3605" s="28">
        <v>65277.0</v>
      </c>
    </row>
    <row r="3606">
      <c r="A3606" s="5" t="s">
        <v>4118</v>
      </c>
      <c r="B3606" s="28">
        <v>13458.0</v>
      </c>
    </row>
    <row r="3607">
      <c r="A3607" s="5" t="s">
        <v>4119</v>
      </c>
      <c r="B3607" s="28">
        <v>9289.0</v>
      </c>
    </row>
    <row r="3608">
      <c r="A3608" s="12" t="s">
        <v>4120</v>
      </c>
      <c r="B3608" s="28">
        <v>74028.0</v>
      </c>
    </row>
    <row r="3609">
      <c r="A3609" s="5" t="s">
        <v>4121</v>
      </c>
      <c r="B3609" s="28">
        <v>0.0</v>
      </c>
    </row>
    <row r="3610">
      <c r="A3610" s="5" t="s">
        <v>4122</v>
      </c>
      <c r="B3610" s="28">
        <v>41717.0</v>
      </c>
    </row>
    <row r="3611">
      <c r="A3611" s="5" t="s">
        <v>4124</v>
      </c>
      <c r="B3611" s="28">
        <v>15614.0</v>
      </c>
    </row>
    <row r="3612">
      <c r="A3612" s="12" t="s">
        <v>4125</v>
      </c>
      <c r="B3612" s="28">
        <v>36377.0</v>
      </c>
    </row>
    <row r="3613">
      <c r="A3613" s="12" t="s">
        <v>4126</v>
      </c>
      <c r="B3613" s="28">
        <v>61851.0</v>
      </c>
    </row>
    <row r="3614">
      <c r="A3614" s="5" t="s">
        <v>4127</v>
      </c>
      <c r="B3614" s="28">
        <v>33144.0</v>
      </c>
    </row>
    <row r="3615">
      <c r="A3615" s="5" t="s">
        <v>4128</v>
      </c>
      <c r="B3615" s="28">
        <v>59199.0</v>
      </c>
    </row>
    <row r="3616">
      <c r="A3616" s="5" t="s">
        <v>4129</v>
      </c>
      <c r="B3616" s="28">
        <v>25027.0</v>
      </c>
    </row>
    <row r="3617">
      <c r="A3617" s="12" t="s">
        <v>4130</v>
      </c>
      <c r="B3617" s="28">
        <v>43616.0</v>
      </c>
    </row>
    <row r="3618">
      <c r="A3618" s="5" t="s">
        <v>4131</v>
      </c>
      <c r="B3618" s="28">
        <v>15517.0</v>
      </c>
    </row>
    <row r="3619">
      <c r="A3619" s="5" t="s">
        <v>4132</v>
      </c>
      <c r="B3619" s="28">
        <v>23529.0</v>
      </c>
    </row>
    <row r="3620">
      <c r="A3620" s="5" t="s">
        <v>4133</v>
      </c>
      <c r="B3620" s="28">
        <v>38773.0</v>
      </c>
    </row>
    <row r="3621">
      <c r="A3621" s="5" t="s">
        <v>4134</v>
      </c>
      <c r="B3621" s="28">
        <v>20423.0</v>
      </c>
    </row>
    <row r="3622">
      <c r="A3622" s="5" t="s">
        <v>4135</v>
      </c>
      <c r="B3622" s="28">
        <v>40252.0</v>
      </c>
    </row>
    <row r="3623">
      <c r="A3623" s="5" t="s">
        <v>1159</v>
      </c>
      <c r="B3623" s="28">
        <v>7015.0</v>
      </c>
    </row>
    <row r="3624">
      <c r="A3624" s="5" t="s">
        <v>4136</v>
      </c>
      <c r="B3624" s="28">
        <v>12266.0</v>
      </c>
    </row>
    <row r="3625">
      <c r="A3625" s="5" t="s">
        <v>4137</v>
      </c>
      <c r="B3625" s="28">
        <v>36610.0</v>
      </c>
    </row>
    <row r="3626">
      <c r="A3626" s="5" t="s">
        <v>4138</v>
      </c>
      <c r="B3626" s="28">
        <v>0.0</v>
      </c>
    </row>
    <row r="3627">
      <c r="A3627" s="5" t="s">
        <v>4139</v>
      </c>
      <c r="B3627" s="28">
        <v>23407.0</v>
      </c>
    </row>
    <row r="3628">
      <c r="A3628" s="5" t="s">
        <v>4140</v>
      </c>
      <c r="B3628" s="28">
        <v>44473.0</v>
      </c>
    </row>
    <row r="3629">
      <c r="A3629" s="5" t="s">
        <v>4141</v>
      </c>
      <c r="B3629" s="28">
        <v>126522.0</v>
      </c>
    </row>
    <row r="3630">
      <c r="A3630" s="5" t="s">
        <v>4142</v>
      </c>
      <c r="B3630" s="28">
        <v>11561.0</v>
      </c>
    </row>
    <row r="3631">
      <c r="A3631" s="5" t="s">
        <v>4143</v>
      </c>
      <c r="B3631" s="28">
        <v>33866.0</v>
      </c>
    </row>
    <row r="3632">
      <c r="A3632" s="5" t="s">
        <v>4144</v>
      </c>
      <c r="B3632" s="28">
        <v>0.0</v>
      </c>
    </row>
    <row r="3633">
      <c r="A3633" s="5" t="s">
        <v>4145</v>
      </c>
      <c r="B3633" s="28">
        <v>0.0</v>
      </c>
    </row>
    <row r="3634">
      <c r="A3634" s="5" t="s">
        <v>4146</v>
      </c>
      <c r="B3634" s="28">
        <v>192457.0</v>
      </c>
    </row>
    <row r="3635">
      <c r="A3635" s="5" t="s">
        <v>4147</v>
      </c>
      <c r="B3635" s="28">
        <v>38940.0</v>
      </c>
    </row>
    <row r="3636">
      <c r="A3636" s="5" t="s">
        <v>4148</v>
      </c>
      <c r="B3636" s="28">
        <v>36329.0</v>
      </c>
    </row>
    <row r="3637">
      <c r="A3637" s="5" t="s">
        <v>4149</v>
      </c>
      <c r="B3637" s="28">
        <v>81693.0</v>
      </c>
    </row>
    <row r="3638">
      <c r="A3638" s="5" t="s">
        <v>4150</v>
      </c>
      <c r="B3638" s="28">
        <v>28721.0</v>
      </c>
    </row>
    <row r="3639">
      <c r="A3639" s="12" t="s">
        <v>4151</v>
      </c>
      <c r="B3639" s="28">
        <v>19980.0</v>
      </c>
    </row>
    <row r="3640">
      <c r="A3640" s="5" t="s">
        <v>4152</v>
      </c>
      <c r="B3640" s="28">
        <v>0.0</v>
      </c>
    </row>
    <row r="3641">
      <c r="A3641" s="12" t="s">
        <v>4153</v>
      </c>
      <c r="B3641" s="28">
        <v>97254.0</v>
      </c>
    </row>
    <row r="3642">
      <c r="A3642" s="12" t="s">
        <v>4154</v>
      </c>
      <c r="B3642" s="28">
        <v>468085.0</v>
      </c>
    </row>
    <row r="3643">
      <c r="A3643" s="5" t="s">
        <v>4155</v>
      </c>
      <c r="B3643" s="28">
        <v>19417.0</v>
      </c>
    </row>
    <row r="3644">
      <c r="A3644" s="5" t="s">
        <v>4156</v>
      </c>
      <c r="B3644" s="28">
        <v>25629.0</v>
      </c>
    </row>
    <row r="3645">
      <c r="A3645" s="5" t="s">
        <v>4157</v>
      </c>
      <c r="B3645" s="28">
        <v>51770.0</v>
      </c>
    </row>
    <row r="3646">
      <c r="A3646" s="5" t="s">
        <v>4158</v>
      </c>
      <c r="B3646" s="28">
        <v>45099.0</v>
      </c>
    </row>
    <row r="3647">
      <c r="A3647" s="5" t="s">
        <v>4159</v>
      </c>
      <c r="B3647" s="28">
        <v>39575.0</v>
      </c>
    </row>
    <row r="3648">
      <c r="A3648" s="5" t="s">
        <v>4160</v>
      </c>
      <c r="B3648" s="28">
        <v>129229.0</v>
      </c>
    </row>
    <row r="3649">
      <c r="A3649" s="5" t="s">
        <v>4161</v>
      </c>
      <c r="B3649" s="28">
        <v>43549.0</v>
      </c>
    </row>
    <row r="3650">
      <c r="A3650" s="5" t="s">
        <v>4162</v>
      </c>
      <c r="B3650" s="28">
        <v>20522.0</v>
      </c>
    </row>
    <row r="3651">
      <c r="A3651" s="5" t="s">
        <v>4163</v>
      </c>
      <c r="B3651" s="28">
        <v>26412.0</v>
      </c>
    </row>
    <row r="3652">
      <c r="A3652" s="5" t="s">
        <v>4164</v>
      </c>
      <c r="B3652" s="28">
        <v>59737.0</v>
      </c>
    </row>
    <row r="3653">
      <c r="A3653" s="5" t="s">
        <v>4165</v>
      </c>
      <c r="B3653" s="28">
        <v>25504.0</v>
      </c>
    </row>
    <row r="3654">
      <c r="A3654" s="5" t="s">
        <v>4166</v>
      </c>
      <c r="B3654" s="28">
        <v>3602.0</v>
      </c>
    </row>
    <row r="3655">
      <c r="A3655" s="5" t="s">
        <v>4167</v>
      </c>
      <c r="B3655" s="28">
        <v>3491.0</v>
      </c>
    </row>
    <row r="3656">
      <c r="A3656" s="5" t="s">
        <v>4168</v>
      </c>
      <c r="B3656" s="28">
        <v>5879.0</v>
      </c>
    </row>
    <row r="3657">
      <c r="A3657" s="5" t="s">
        <v>4169</v>
      </c>
      <c r="B3657" s="28">
        <v>7645.0</v>
      </c>
    </row>
    <row r="3658">
      <c r="A3658" s="5" t="s">
        <v>4170</v>
      </c>
      <c r="B3658" s="28">
        <v>17940.0</v>
      </c>
    </row>
    <row r="3659">
      <c r="A3659" s="5" t="s">
        <v>4171</v>
      </c>
      <c r="B3659" s="28">
        <v>2652.0</v>
      </c>
    </row>
    <row r="3660">
      <c r="A3660" s="5" t="s">
        <v>4172</v>
      </c>
      <c r="B3660" s="28">
        <v>12936.0</v>
      </c>
    </row>
    <row r="3661">
      <c r="A3661" s="5" t="s">
        <v>4173</v>
      </c>
      <c r="B3661" s="28">
        <v>4783.0</v>
      </c>
    </row>
    <row r="3662">
      <c r="A3662" s="5" t="s">
        <v>4174</v>
      </c>
      <c r="B3662" s="28">
        <v>2750.0</v>
      </c>
    </row>
    <row r="3663">
      <c r="A3663" s="5" t="s">
        <v>4175</v>
      </c>
      <c r="B3663" s="28">
        <v>2806.0</v>
      </c>
    </row>
    <row r="3664">
      <c r="A3664" s="12" t="s">
        <v>4176</v>
      </c>
      <c r="B3664" s="28">
        <v>37393.0</v>
      </c>
    </row>
    <row r="3665">
      <c r="A3665" s="5" t="s">
        <v>4177</v>
      </c>
      <c r="B3665" s="28">
        <v>2514.0</v>
      </c>
    </row>
    <row r="3666">
      <c r="A3666" s="5" t="s">
        <v>4178</v>
      </c>
      <c r="B3666" s="28">
        <v>3288.0</v>
      </c>
    </row>
    <row r="3667">
      <c r="A3667" s="5" t="s">
        <v>4179</v>
      </c>
      <c r="B3667" s="28">
        <v>4835.0</v>
      </c>
    </row>
    <row r="3668">
      <c r="A3668" s="5" t="s">
        <v>4180</v>
      </c>
      <c r="B3668" s="28">
        <v>6046.0</v>
      </c>
    </row>
    <row r="3669">
      <c r="A3669" s="5" t="s">
        <v>4181</v>
      </c>
      <c r="B3669" s="28">
        <v>8665.0</v>
      </c>
    </row>
    <row r="3670">
      <c r="A3670" s="5" t="s">
        <v>4182</v>
      </c>
      <c r="B3670" s="28">
        <v>10802.0</v>
      </c>
    </row>
    <row r="3671">
      <c r="A3671" s="5" t="s">
        <v>4183</v>
      </c>
      <c r="B3671" s="28">
        <v>0.0</v>
      </c>
    </row>
    <row r="3672">
      <c r="A3672" s="5" t="s">
        <v>4184</v>
      </c>
      <c r="B3672" s="28">
        <v>14343.0</v>
      </c>
    </row>
    <row r="3673">
      <c r="A3673" s="5" t="s">
        <v>4185</v>
      </c>
      <c r="B3673" s="28">
        <v>11516.0</v>
      </c>
    </row>
    <row r="3674">
      <c r="A3674" s="5" t="s">
        <v>4186</v>
      </c>
      <c r="B3674" s="28">
        <v>2565.0</v>
      </c>
    </row>
    <row r="3675">
      <c r="A3675" s="5" t="s">
        <v>4187</v>
      </c>
      <c r="B3675" s="28">
        <v>2178.0</v>
      </c>
    </row>
    <row r="3676">
      <c r="A3676" s="5" t="s">
        <v>4188</v>
      </c>
      <c r="B3676" s="28">
        <v>7990.0</v>
      </c>
    </row>
    <row r="3677">
      <c r="A3677" s="5" t="s">
        <v>4190</v>
      </c>
      <c r="B3677" s="28">
        <v>10455.0</v>
      </c>
    </row>
    <row r="3678">
      <c r="A3678" s="5" t="s">
        <v>4191</v>
      </c>
      <c r="B3678" s="28">
        <v>14010.0</v>
      </c>
    </row>
    <row r="3679">
      <c r="A3679" s="5" t="s">
        <v>4192</v>
      </c>
      <c r="B3679" s="28">
        <v>25795.0</v>
      </c>
    </row>
    <row r="3680">
      <c r="A3680" s="5" t="s">
        <v>4193</v>
      </c>
      <c r="B3680" s="28">
        <v>18046.0</v>
      </c>
    </row>
    <row r="3681">
      <c r="A3681" s="5" t="s">
        <v>4194</v>
      </c>
      <c r="B3681" s="28">
        <v>2887.0</v>
      </c>
    </row>
    <row r="3682">
      <c r="A3682" s="5" t="s">
        <v>4195</v>
      </c>
      <c r="B3682" s="28">
        <v>2519.0</v>
      </c>
    </row>
    <row r="3683">
      <c r="A3683" s="5" t="s">
        <v>4196</v>
      </c>
      <c r="B3683" s="28">
        <v>7153.0</v>
      </c>
    </row>
    <row r="3684">
      <c r="A3684" s="5" t="s">
        <v>4197</v>
      </c>
      <c r="B3684" s="28">
        <v>7380.0</v>
      </c>
    </row>
    <row r="3685">
      <c r="A3685" s="5" t="s">
        <v>4198</v>
      </c>
      <c r="B3685" s="28">
        <v>6117.0</v>
      </c>
    </row>
    <row r="3686">
      <c r="A3686" s="5" t="s">
        <v>4199</v>
      </c>
      <c r="B3686" s="28">
        <v>1737.0</v>
      </c>
    </row>
    <row r="3687">
      <c r="A3687" s="5" t="s">
        <v>4200</v>
      </c>
      <c r="B3687" s="28">
        <v>2172.0</v>
      </c>
    </row>
    <row r="3688">
      <c r="A3688" s="5" t="s">
        <v>4201</v>
      </c>
      <c r="B3688" s="28">
        <v>1446.0</v>
      </c>
    </row>
    <row r="3689">
      <c r="A3689" s="5" t="s">
        <v>4202</v>
      </c>
      <c r="B3689" s="28">
        <v>14660.0</v>
      </c>
    </row>
    <row r="3690">
      <c r="A3690" s="5" t="s">
        <v>4203</v>
      </c>
      <c r="B3690" s="28">
        <v>29516.0</v>
      </c>
    </row>
    <row r="3691">
      <c r="A3691" s="5" t="s">
        <v>4204</v>
      </c>
      <c r="B3691" s="28">
        <v>0.0</v>
      </c>
    </row>
    <row r="3692">
      <c r="A3692" s="5" t="s">
        <v>4205</v>
      </c>
      <c r="B3692" s="28">
        <v>0.0</v>
      </c>
    </row>
    <row r="3693">
      <c r="A3693" s="5" t="s">
        <v>4206</v>
      </c>
      <c r="B3693" s="28">
        <v>0.0</v>
      </c>
    </row>
    <row r="3694">
      <c r="A3694" s="5" t="s">
        <v>4207</v>
      </c>
      <c r="B3694" s="28">
        <v>0.0</v>
      </c>
    </row>
    <row r="3695">
      <c r="A3695" s="5" t="s">
        <v>4208</v>
      </c>
      <c r="B3695" s="28">
        <v>0.0</v>
      </c>
    </row>
    <row r="3696">
      <c r="A3696" s="5" t="s">
        <v>4209</v>
      </c>
      <c r="B3696" s="28">
        <v>28402.0</v>
      </c>
    </row>
    <row r="3697">
      <c r="A3697" s="5" t="s">
        <v>4210</v>
      </c>
      <c r="B3697" s="28">
        <v>17937.0</v>
      </c>
    </row>
    <row r="3698">
      <c r="A3698" s="5" t="s">
        <v>4211</v>
      </c>
      <c r="B3698" s="28">
        <v>10544.0</v>
      </c>
    </row>
    <row r="3699">
      <c r="A3699" s="5" t="s">
        <v>811</v>
      </c>
      <c r="B3699" s="28">
        <v>12710.0</v>
      </c>
    </row>
    <row r="3700">
      <c r="A3700" s="5" t="s">
        <v>1355</v>
      </c>
      <c r="B3700" s="28">
        <v>12025.0</v>
      </c>
    </row>
    <row r="3701">
      <c r="A3701" s="5" t="s">
        <v>4212</v>
      </c>
      <c r="B3701" s="28">
        <v>9876.0</v>
      </c>
    </row>
    <row r="3702">
      <c r="A3702" s="12" t="s">
        <v>4213</v>
      </c>
      <c r="B3702" s="28">
        <v>21808.0</v>
      </c>
    </row>
    <row r="3703">
      <c r="A3703" s="12" t="s">
        <v>4214</v>
      </c>
      <c r="B3703" s="28">
        <v>14724.0</v>
      </c>
    </row>
    <row r="3704">
      <c r="A3704" s="12" t="s">
        <v>4215</v>
      </c>
      <c r="B3704" s="28">
        <v>26607.0</v>
      </c>
    </row>
    <row r="3705">
      <c r="A3705" s="12" t="s">
        <v>4216</v>
      </c>
      <c r="B3705" s="28">
        <v>34595.0</v>
      </c>
    </row>
    <row r="3706">
      <c r="A3706" s="12" t="s">
        <v>4217</v>
      </c>
      <c r="B3706" s="28">
        <v>15557.0</v>
      </c>
    </row>
    <row r="3707">
      <c r="A3707" s="5" t="s">
        <v>4218</v>
      </c>
      <c r="B3707" s="28">
        <v>162563.0</v>
      </c>
    </row>
    <row r="3708">
      <c r="A3708" s="5" t="s">
        <v>4219</v>
      </c>
      <c r="B3708" s="28">
        <v>6577.0</v>
      </c>
    </row>
    <row r="3709">
      <c r="A3709" s="5" t="s">
        <v>4220</v>
      </c>
      <c r="B3709" s="28">
        <v>6577.0</v>
      </c>
    </row>
    <row r="3710">
      <c r="A3710" s="5" t="s">
        <v>4221</v>
      </c>
      <c r="B3710" s="28">
        <v>6577.0</v>
      </c>
    </row>
    <row r="3711">
      <c r="A3711" s="5" t="s">
        <v>4222</v>
      </c>
      <c r="B3711" s="28">
        <v>6577.0</v>
      </c>
    </row>
    <row r="3712">
      <c r="A3712" s="5" t="s">
        <v>4223</v>
      </c>
      <c r="B3712" s="28">
        <v>7996.0</v>
      </c>
    </row>
    <row r="3713">
      <c r="A3713" s="12" t="s">
        <v>4224</v>
      </c>
      <c r="B3713" s="28">
        <v>3820.0</v>
      </c>
    </row>
    <row r="3714">
      <c r="A3714" s="12" t="s">
        <v>4225</v>
      </c>
      <c r="B3714" s="28">
        <v>2571.0</v>
      </c>
    </row>
    <row r="3715">
      <c r="A3715" s="12" t="s">
        <v>4226</v>
      </c>
      <c r="B3715" s="28">
        <v>4554.0</v>
      </c>
    </row>
    <row r="3716">
      <c r="A3716" s="12" t="s">
        <v>4227</v>
      </c>
      <c r="B3716" s="28">
        <v>6699.0</v>
      </c>
    </row>
    <row r="3717">
      <c r="A3717" s="12" t="s">
        <v>4228</v>
      </c>
      <c r="B3717" s="28">
        <v>3010.0</v>
      </c>
    </row>
    <row r="3718">
      <c r="A3718" s="12" t="s">
        <v>4229</v>
      </c>
      <c r="B3718" s="28">
        <v>3526.0</v>
      </c>
    </row>
    <row r="3719">
      <c r="A3719" s="5" t="s">
        <v>347</v>
      </c>
      <c r="B3719" s="28">
        <v>11275.0</v>
      </c>
    </row>
    <row r="3720">
      <c r="A3720" s="5" t="s">
        <v>4230</v>
      </c>
      <c r="B3720" s="28">
        <v>25519.0</v>
      </c>
    </row>
    <row r="3721">
      <c r="A3721" s="5" t="s">
        <v>4231</v>
      </c>
      <c r="B3721" s="28">
        <v>2670.0</v>
      </c>
    </row>
    <row r="3722">
      <c r="A3722" s="5" t="s">
        <v>4232</v>
      </c>
      <c r="B3722" s="28">
        <v>2854.0</v>
      </c>
    </row>
    <row r="3723">
      <c r="A3723" s="5" t="s">
        <v>4233</v>
      </c>
      <c r="B3723" s="28">
        <v>1885.0</v>
      </c>
    </row>
    <row r="3724">
      <c r="A3724" s="5" t="s">
        <v>4234</v>
      </c>
      <c r="B3724" s="28">
        <v>1955.0</v>
      </c>
    </row>
    <row r="3725">
      <c r="A3725" s="5" t="s">
        <v>4235</v>
      </c>
      <c r="B3725" s="28">
        <v>2112.0</v>
      </c>
    </row>
    <row r="3726">
      <c r="A3726" s="5" t="s">
        <v>4236</v>
      </c>
      <c r="B3726" s="28">
        <v>2489.0</v>
      </c>
    </row>
    <row r="3727">
      <c r="A3727" s="5" t="s">
        <v>4237</v>
      </c>
      <c r="B3727" s="28">
        <v>2839.0</v>
      </c>
    </row>
    <row r="3728">
      <c r="A3728" s="5" t="s">
        <v>4238</v>
      </c>
      <c r="B3728" s="28">
        <v>23028.0</v>
      </c>
    </row>
    <row r="3729">
      <c r="A3729" s="5" t="s">
        <v>4239</v>
      </c>
      <c r="B3729" s="28">
        <v>1939.0</v>
      </c>
    </row>
    <row r="3730">
      <c r="A3730" s="5" t="s">
        <v>4240</v>
      </c>
      <c r="B3730" s="28">
        <v>830.0</v>
      </c>
    </row>
    <row r="3731">
      <c r="A3731" s="5" t="s">
        <v>4241</v>
      </c>
      <c r="B3731" s="28">
        <v>3638.0</v>
      </c>
    </row>
    <row r="3732">
      <c r="A3732" s="5" t="s">
        <v>4242</v>
      </c>
      <c r="B3732" s="28">
        <v>7662.0</v>
      </c>
    </row>
    <row r="3733">
      <c r="A3733" s="5" t="s">
        <v>4243</v>
      </c>
      <c r="B3733" s="28">
        <v>8703.0</v>
      </c>
    </row>
    <row r="3734">
      <c r="A3734" s="5" t="s">
        <v>4244</v>
      </c>
      <c r="B3734" s="28">
        <v>47991.0</v>
      </c>
    </row>
    <row r="3735">
      <c r="A3735" s="5" t="s">
        <v>4245</v>
      </c>
      <c r="B3735" s="28">
        <v>1231.0</v>
      </c>
    </row>
    <row r="3736">
      <c r="A3736" s="5" t="s">
        <v>4246</v>
      </c>
      <c r="B3736" s="28">
        <v>3647.0</v>
      </c>
    </row>
    <row r="3737">
      <c r="A3737" s="5" t="s">
        <v>4247</v>
      </c>
      <c r="B3737" s="28">
        <v>4007.0</v>
      </c>
    </row>
    <row r="3738">
      <c r="A3738" s="5" t="s">
        <v>4248</v>
      </c>
      <c r="B3738" s="28">
        <v>21575.0</v>
      </c>
    </row>
    <row r="3739">
      <c r="A3739" s="12" t="s">
        <v>4249</v>
      </c>
      <c r="B3739" s="28">
        <v>6735.0</v>
      </c>
    </row>
    <row r="3740">
      <c r="A3740" s="12" t="s">
        <v>4250</v>
      </c>
      <c r="B3740" s="28">
        <v>4490.0</v>
      </c>
    </row>
    <row r="3741">
      <c r="A3741" s="12" t="s">
        <v>4251</v>
      </c>
      <c r="B3741" s="28">
        <v>10604.0</v>
      </c>
    </row>
    <row r="3742">
      <c r="A3742" s="12" t="s">
        <v>4252</v>
      </c>
      <c r="B3742" s="28">
        <v>4989.0</v>
      </c>
    </row>
    <row r="3743">
      <c r="A3743" s="12" t="s">
        <v>4253</v>
      </c>
      <c r="B3743" s="28">
        <v>5613.0</v>
      </c>
    </row>
    <row r="3744">
      <c r="A3744" s="5" t="s">
        <v>4254</v>
      </c>
      <c r="B3744" s="28">
        <v>0.0</v>
      </c>
    </row>
    <row r="3745">
      <c r="A3745" s="5" t="s">
        <v>4255</v>
      </c>
      <c r="B3745" s="28">
        <v>0.0</v>
      </c>
    </row>
    <row r="3746">
      <c r="A3746" s="5" t="s">
        <v>4256</v>
      </c>
      <c r="B3746" s="28">
        <v>565289.0</v>
      </c>
    </row>
    <row r="3747">
      <c r="A3747" s="12" t="s">
        <v>4257</v>
      </c>
      <c r="B3747" s="28">
        <v>30735.0</v>
      </c>
    </row>
    <row r="3748">
      <c r="A3748" s="5" t="s">
        <v>4258</v>
      </c>
      <c r="B3748" s="28">
        <v>3384.0</v>
      </c>
    </row>
    <row r="3749">
      <c r="A3749" s="5" t="s">
        <v>4259</v>
      </c>
      <c r="B3749" s="28">
        <v>3583.0</v>
      </c>
    </row>
    <row r="3750">
      <c r="A3750" s="5" t="s">
        <v>4260</v>
      </c>
      <c r="B3750" s="28">
        <v>3981.0</v>
      </c>
    </row>
    <row r="3751">
      <c r="A3751" s="5" t="s">
        <v>4261</v>
      </c>
      <c r="B3751" s="28">
        <v>11942.0</v>
      </c>
    </row>
    <row r="3752">
      <c r="A3752" s="5" t="s">
        <v>4262</v>
      </c>
      <c r="B3752" s="28">
        <v>4612.0</v>
      </c>
    </row>
    <row r="3753">
      <c r="A3753" s="5" t="s">
        <v>4263</v>
      </c>
      <c r="B3753" s="28">
        <v>3673.0</v>
      </c>
    </row>
    <row r="3754">
      <c r="A3754" s="5" t="s">
        <v>4264</v>
      </c>
      <c r="B3754" s="28">
        <v>5382.0</v>
      </c>
    </row>
    <row r="3755">
      <c r="A3755" s="5" t="s">
        <v>4265</v>
      </c>
      <c r="B3755" s="28">
        <v>4229.0</v>
      </c>
    </row>
    <row r="3756">
      <c r="A3756" s="5" t="s">
        <v>4266</v>
      </c>
      <c r="B3756" s="28">
        <v>3672.0</v>
      </c>
    </row>
    <row r="3757">
      <c r="A3757" s="5" t="s">
        <v>4267</v>
      </c>
      <c r="B3757" s="28">
        <v>4142.0</v>
      </c>
    </row>
    <row r="3758">
      <c r="A3758" s="5" t="s">
        <v>4268</v>
      </c>
      <c r="B3758" s="28">
        <v>3458.0</v>
      </c>
    </row>
    <row r="3759">
      <c r="A3759" s="5" t="s">
        <v>4269</v>
      </c>
      <c r="B3759" s="28">
        <v>13532.0</v>
      </c>
    </row>
    <row r="3760">
      <c r="A3760" s="5" t="s">
        <v>4270</v>
      </c>
      <c r="B3760" s="28">
        <v>2152.0</v>
      </c>
    </row>
    <row r="3761">
      <c r="A3761" s="5" t="s">
        <v>4271</v>
      </c>
      <c r="B3761" s="28">
        <v>1375.0</v>
      </c>
    </row>
    <row r="3762">
      <c r="A3762" s="5" t="s">
        <v>4273</v>
      </c>
      <c r="B3762" s="28">
        <v>2455.0</v>
      </c>
    </row>
    <row r="3763">
      <c r="A3763" s="5" t="s">
        <v>4274</v>
      </c>
      <c r="B3763" s="28">
        <v>2896.0</v>
      </c>
    </row>
    <row r="3764">
      <c r="A3764" s="5" t="s">
        <v>4275</v>
      </c>
      <c r="B3764" s="28">
        <v>3685.0</v>
      </c>
    </row>
    <row r="3765">
      <c r="A3765" s="5" t="s">
        <v>4276</v>
      </c>
      <c r="B3765" s="28">
        <v>35009.0</v>
      </c>
    </row>
    <row r="3766">
      <c r="A3766" s="5" t="s">
        <v>4277</v>
      </c>
      <c r="B3766" s="28">
        <v>4669.0</v>
      </c>
    </row>
    <row r="3767">
      <c r="A3767" s="5" t="s">
        <v>4278</v>
      </c>
      <c r="B3767" s="28">
        <v>8655.0</v>
      </c>
    </row>
    <row r="3768">
      <c r="A3768" s="5" t="s">
        <v>4279</v>
      </c>
      <c r="B3768" s="28">
        <v>14698.0</v>
      </c>
    </row>
    <row r="3769">
      <c r="A3769" s="5" t="s">
        <v>4280</v>
      </c>
      <c r="B3769" s="28">
        <v>10781.0</v>
      </c>
    </row>
    <row r="3770">
      <c r="A3770" s="5" t="s">
        <v>4281</v>
      </c>
      <c r="B3770" s="28">
        <v>10128.0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8.63"/>
    <col customWidth="1" min="3" max="3" width="7.25"/>
  </cols>
  <sheetData>
    <row r="1">
      <c r="A1" s="2" t="s">
        <v>0</v>
      </c>
      <c r="B1" s="2" t="s">
        <v>3</v>
      </c>
      <c r="C1" s="2" t="s">
        <v>4</v>
      </c>
    </row>
    <row r="2">
      <c r="A2" s="4">
        <v>1.0</v>
      </c>
      <c r="B2" s="6" t="s">
        <v>6</v>
      </c>
      <c r="C2" s="8">
        <v>0.0</v>
      </c>
    </row>
    <row r="3">
      <c r="A3" s="4">
        <v>2.0</v>
      </c>
      <c r="B3" s="6" t="s">
        <v>7</v>
      </c>
      <c r="C3" s="8">
        <v>0.0</v>
      </c>
    </row>
    <row r="4">
      <c r="A4" s="4">
        <v>3.0</v>
      </c>
      <c r="B4" s="6" t="s">
        <v>9</v>
      </c>
      <c r="C4" s="8">
        <v>0.0</v>
      </c>
    </row>
    <row r="5">
      <c r="A5" s="4">
        <v>4.0</v>
      </c>
      <c r="B5" s="6" t="s">
        <v>10</v>
      </c>
      <c r="C5" s="8">
        <v>0.0</v>
      </c>
    </row>
    <row r="6">
      <c r="A6" s="4">
        <v>5.0</v>
      </c>
      <c r="B6" s="6" t="s">
        <v>11</v>
      </c>
      <c r="C6" s="8">
        <v>0.0</v>
      </c>
    </row>
    <row r="7">
      <c r="A7" s="4">
        <v>6.0</v>
      </c>
      <c r="B7" s="6" t="s">
        <v>13</v>
      </c>
      <c r="C7" s="8">
        <v>0.0</v>
      </c>
    </row>
    <row r="8">
      <c r="A8" s="4">
        <v>7.0</v>
      </c>
      <c r="B8" s="13" t="s">
        <v>16</v>
      </c>
      <c r="C8" s="8">
        <v>0.0</v>
      </c>
    </row>
    <row r="9">
      <c r="A9" s="4">
        <v>8.0</v>
      </c>
      <c r="B9" s="13" t="s">
        <v>22</v>
      </c>
      <c r="C9" s="8">
        <v>0.0</v>
      </c>
    </row>
    <row r="10">
      <c r="A10" s="4">
        <v>9.0</v>
      </c>
      <c r="B10" s="13" t="s">
        <v>26</v>
      </c>
      <c r="C10" s="8">
        <v>0.0</v>
      </c>
    </row>
    <row r="11">
      <c r="A11" s="4">
        <v>10.0</v>
      </c>
      <c r="B11" s="13" t="s">
        <v>31</v>
      </c>
      <c r="C11" s="8">
        <v>0.0</v>
      </c>
    </row>
    <row r="12">
      <c r="A12" s="4">
        <v>11.0</v>
      </c>
      <c r="B12" s="13" t="s">
        <v>34</v>
      </c>
      <c r="C12" s="8">
        <v>0.0</v>
      </c>
    </row>
    <row r="13">
      <c r="A13" s="4">
        <v>12.0</v>
      </c>
      <c r="B13" s="13" t="s">
        <v>37</v>
      </c>
      <c r="C13" s="8">
        <v>0.0</v>
      </c>
    </row>
    <row r="14">
      <c r="A14" s="4">
        <v>13.0</v>
      </c>
      <c r="B14" s="13" t="s">
        <v>40</v>
      </c>
      <c r="C14" s="8">
        <v>0.0</v>
      </c>
    </row>
    <row r="15">
      <c r="A15" s="4">
        <v>14.0</v>
      </c>
      <c r="B15" s="6" t="s">
        <v>42</v>
      </c>
      <c r="C15" s="8">
        <v>0.0</v>
      </c>
    </row>
    <row r="16">
      <c r="A16" s="4">
        <v>15.0</v>
      </c>
      <c r="B16" s="6" t="s">
        <v>47</v>
      </c>
      <c r="C16" s="8">
        <v>0.0</v>
      </c>
    </row>
    <row r="17">
      <c r="A17" s="4">
        <v>16.0</v>
      </c>
      <c r="B17" s="6" t="s">
        <v>49</v>
      </c>
      <c r="C17" s="8">
        <v>0.0</v>
      </c>
    </row>
    <row r="18">
      <c r="A18" s="4">
        <v>17.0</v>
      </c>
      <c r="B18" s="6" t="s">
        <v>54</v>
      </c>
      <c r="C18" s="8">
        <v>0.0</v>
      </c>
    </row>
    <row r="19">
      <c r="A19" s="4">
        <v>18.0</v>
      </c>
      <c r="B19" s="13" t="s">
        <v>57</v>
      </c>
      <c r="C19" s="8">
        <v>0.0</v>
      </c>
    </row>
    <row r="20">
      <c r="A20" s="4">
        <v>19.0</v>
      </c>
      <c r="B20" s="13" t="s">
        <v>61</v>
      </c>
      <c r="C20" s="8">
        <v>0.0</v>
      </c>
    </row>
    <row r="21">
      <c r="A21" s="4">
        <v>20.0</v>
      </c>
      <c r="B21" s="6" t="s">
        <v>64</v>
      </c>
      <c r="C21" s="8">
        <v>0.0</v>
      </c>
    </row>
    <row r="22">
      <c r="A22" s="4">
        <v>21.0</v>
      </c>
      <c r="B22" s="6" t="s">
        <v>68</v>
      </c>
      <c r="C22" s="20">
        <v>1.0</v>
      </c>
    </row>
    <row r="23">
      <c r="A23" s="4">
        <v>22.0</v>
      </c>
      <c r="B23" s="13" t="s">
        <v>78</v>
      </c>
      <c r="C23" s="20">
        <v>2.0</v>
      </c>
    </row>
    <row r="24">
      <c r="A24" s="4">
        <v>23.0</v>
      </c>
      <c r="B24" s="6" t="s">
        <v>82</v>
      </c>
      <c r="C24" s="20">
        <v>1.0</v>
      </c>
    </row>
    <row r="25">
      <c r="A25" s="4">
        <v>24.0</v>
      </c>
      <c r="B25" s="13" t="s">
        <v>85</v>
      </c>
      <c r="C25" s="8">
        <v>2.0</v>
      </c>
    </row>
    <row r="26">
      <c r="A26" s="4">
        <v>25.0</v>
      </c>
      <c r="B26" s="6" t="s">
        <v>89</v>
      </c>
      <c r="C26" s="8">
        <v>0.0</v>
      </c>
    </row>
    <row r="27">
      <c r="A27" s="4">
        <v>26.0</v>
      </c>
      <c r="B27" s="13" t="s">
        <v>108</v>
      </c>
      <c r="C27" s="8">
        <v>26.0</v>
      </c>
    </row>
    <row r="28">
      <c r="A28" s="4">
        <v>27.0</v>
      </c>
      <c r="B28" s="13" t="s">
        <v>112</v>
      </c>
      <c r="C28" s="8">
        <v>0.0</v>
      </c>
    </row>
    <row r="29">
      <c r="A29" s="4">
        <v>28.0</v>
      </c>
      <c r="B29" s="6" t="s">
        <v>117</v>
      </c>
      <c r="C29" s="8">
        <v>0.0</v>
      </c>
    </row>
    <row r="30">
      <c r="A30" s="4">
        <v>29.0</v>
      </c>
      <c r="B30" s="13" t="s">
        <v>121</v>
      </c>
      <c r="C30" s="8">
        <v>1.0</v>
      </c>
    </row>
    <row r="31">
      <c r="A31" s="4">
        <v>30.0</v>
      </c>
      <c r="B31" s="6" t="s">
        <v>124</v>
      </c>
      <c r="C31" s="8">
        <v>0.0</v>
      </c>
    </row>
    <row r="32">
      <c r="A32" s="4">
        <v>31.0</v>
      </c>
      <c r="B32" s="6" t="s">
        <v>128</v>
      </c>
      <c r="C32" s="8">
        <v>0.0</v>
      </c>
    </row>
    <row r="33">
      <c r="A33" s="4">
        <v>32.0</v>
      </c>
      <c r="B33" s="13" t="s">
        <v>132</v>
      </c>
      <c r="C33" s="8">
        <v>0.0</v>
      </c>
    </row>
    <row r="34">
      <c r="A34" s="4">
        <v>33.0</v>
      </c>
      <c r="B34" s="13" t="s">
        <v>136</v>
      </c>
      <c r="C34" s="8">
        <v>0.0</v>
      </c>
    </row>
    <row r="35">
      <c r="A35" s="4">
        <v>34.0</v>
      </c>
      <c r="B35" s="13" t="s">
        <v>139</v>
      </c>
      <c r="C35" s="8">
        <v>0.0</v>
      </c>
    </row>
    <row r="36">
      <c r="A36" s="4">
        <v>35.0</v>
      </c>
      <c r="B36" s="13" t="s">
        <v>142</v>
      </c>
      <c r="C36" s="8">
        <v>1.0</v>
      </c>
    </row>
    <row r="37">
      <c r="A37" s="4">
        <v>36.0</v>
      </c>
      <c r="B37" s="13" t="s">
        <v>145</v>
      </c>
      <c r="C37" s="8">
        <v>0.0</v>
      </c>
    </row>
    <row r="38">
      <c r="A38" s="4">
        <v>37.0</v>
      </c>
      <c r="B38" s="13" t="s">
        <v>149</v>
      </c>
      <c r="C38" s="8">
        <v>1.0</v>
      </c>
    </row>
    <row r="39">
      <c r="A39" s="4">
        <v>38.0</v>
      </c>
      <c r="B39" s="13" t="s">
        <v>152</v>
      </c>
      <c r="C39" s="8">
        <v>0.0</v>
      </c>
    </row>
    <row r="40">
      <c r="A40" s="4">
        <v>39.0</v>
      </c>
      <c r="B40" s="13" t="s">
        <v>67</v>
      </c>
      <c r="C40" s="8">
        <v>0.0</v>
      </c>
    </row>
    <row r="41">
      <c r="A41" s="4">
        <v>40.0</v>
      </c>
      <c r="B41" s="13" t="s">
        <v>158</v>
      </c>
      <c r="C41" s="8">
        <v>1.0</v>
      </c>
    </row>
    <row r="42">
      <c r="A42" s="4">
        <v>41.0</v>
      </c>
      <c r="B42" s="13" t="s">
        <v>161</v>
      </c>
      <c r="C42" s="8">
        <v>0.0</v>
      </c>
    </row>
    <row r="43">
      <c r="A43" s="4">
        <v>42.0</v>
      </c>
      <c r="B43" s="13" t="s">
        <v>165</v>
      </c>
      <c r="C43" s="8">
        <v>0.0</v>
      </c>
    </row>
    <row r="44">
      <c r="A44" s="4">
        <v>43.0</v>
      </c>
      <c r="B44" s="13" t="s">
        <v>168</v>
      </c>
      <c r="C44" s="8">
        <v>0.0</v>
      </c>
    </row>
    <row r="45">
      <c r="A45" s="4">
        <v>44.0</v>
      </c>
      <c r="B45" s="13" t="s">
        <v>171</v>
      </c>
      <c r="C45" s="20">
        <v>3.0</v>
      </c>
    </row>
    <row r="46">
      <c r="A46" s="4">
        <v>45.0</v>
      </c>
      <c r="B46" s="13" t="s">
        <v>174</v>
      </c>
      <c r="C46" s="20">
        <v>2.0</v>
      </c>
    </row>
    <row r="47">
      <c r="A47" s="4">
        <v>46.0</v>
      </c>
      <c r="B47" s="13" t="s">
        <v>177</v>
      </c>
      <c r="C47" s="20">
        <v>19.0</v>
      </c>
    </row>
    <row r="48">
      <c r="A48" s="4">
        <v>47.0</v>
      </c>
      <c r="B48" s="6" t="s">
        <v>179</v>
      </c>
      <c r="C48" s="20">
        <v>12.0</v>
      </c>
    </row>
    <row r="49">
      <c r="A49" s="4">
        <v>48.0</v>
      </c>
      <c r="B49" s="13" t="s">
        <v>180</v>
      </c>
      <c r="C49" s="20">
        <v>7.0</v>
      </c>
    </row>
    <row r="50">
      <c r="A50" s="4">
        <v>49.0</v>
      </c>
      <c r="B50" s="13" t="s">
        <v>184</v>
      </c>
      <c r="C50" s="20">
        <v>13.0</v>
      </c>
    </row>
    <row r="51">
      <c r="A51" s="4">
        <v>50.0</v>
      </c>
      <c r="B51" s="13" t="s">
        <v>187</v>
      </c>
      <c r="C51" s="20">
        <v>2.0</v>
      </c>
    </row>
    <row r="52">
      <c r="A52" s="4">
        <v>51.0</v>
      </c>
      <c r="B52" s="13" t="s">
        <v>190</v>
      </c>
      <c r="C52" s="8">
        <v>1.0</v>
      </c>
    </row>
    <row r="53">
      <c r="A53" s="4">
        <v>52.0</v>
      </c>
      <c r="B53" s="6" t="s">
        <v>193</v>
      </c>
      <c r="C53" s="8">
        <v>0.0</v>
      </c>
    </row>
    <row r="54">
      <c r="A54" s="4">
        <v>53.0</v>
      </c>
      <c r="B54" s="13" t="s">
        <v>196</v>
      </c>
      <c r="C54" s="8">
        <v>4.0</v>
      </c>
    </row>
    <row r="55">
      <c r="A55" s="4">
        <v>54.0</v>
      </c>
      <c r="B55" s="13" t="s">
        <v>199</v>
      </c>
      <c r="C55" s="8">
        <v>0.0</v>
      </c>
    </row>
    <row r="56">
      <c r="A56" s="4">
        <v>55.0</v>
      </c>
      <c r="B56" s="13" t="s">
        <v>203</v>
      </c>
      <c r="C56" s="8">
        <v>0.0</v>
      </c>
    </row>
    <row r="57">
      <c r="A57" s="4">
        <v>56.0</v>
      </c>
      <c r="B57" s="13" t="s">
        <v>207</v>
      </c>
      <c r="C57" s="8">
        <v>120.0</v>
      </c>
    </row>
    <row r="58">
      <c r="A58" s="4">
        <v>57.0</v>
      </c>
      <c r="B58" s="13" t="s">
        <v>210</v>
      </c>
      <c r="C58" s="8">
        <v>0.0</v>
      </c>
    </row>
    <row r="59">
      <c r="A59" s="4">
        <v>58.0</v>
      </c>
      <c r="B59" s="13" t="s">
        <v>212</v>
      </c>
      <c r="C59" s="8">
        <v>0.0</v>
      </c>
    </row>
    <row r="60">
      <c r="A60" s="4">
        <v>59.0</v>
      </c>
      <c r="B60" s="13" t="s">
        <v>216</v>
      </c>
      <c r="C60" s="8">
        <v>2.0</v>
      </c>
    </row>
    <row r="61">
      <c r="A61" s="4">
        <v>60.0</v>
      </c>
      <c r="B61" s="13" t="s">
        <v>218</v>
      </c>
      <c r="C61" s="8">
        <v>0.0</v>
      </c>
    </row>
    <row r="62">
      <c r="A62" s="4">
        <v>61.0</v>
      </c>
      <c r="B62" s="13" t="s">
        <v>221</v>
      </c>
      <c r="C62" s="20">
        <v>4.0</v>
      </c>
    </row>
    <row r="63">
      <c r="A63" s="4">
        <v>62.0</v>
      </c>
      <c r="B63" s="13" t="s">
        <v>224</v>
      </c>
      <c r="C63" s="8">
        <v>5.0</v>
      </c>
    </row>
    <row r="64">
      <c r="A64" s="4">
        <v>63.0</v>
      </c>
      <c r="B64" s="6" t="s">
        <v>228</v>
      </c>
      <c r="C64" s="8">
        <v>0.0</v>
      </c>
    </row>
    <row r="65">
      <c r="A65" s="4">
        <v>64.0</v>
      </c>
      <c r="B65" s="13" t="s">
        <v>231</v>
      </c>
      <c r="C65" s="8">
        <v>0.0</v>
      </c>
    </row>
    <row r="66">
      <c r="A66" s="4">
        <v>65.0</v>
      </c>
      <c r="B66" s="13" t="s">
        <v>235</v>
      </c>
      <c r="C66" s="20">
        <v>2.0</v>
      </c>
    </row>
    <row r="67">
      <c r="A67" s="4">
        <v>66.0</v>
      </c>
      <c r="B67" s="13" t="s">
        <v>238</v>
      </c>
      <c r="C67" s="8">
        <v>5.0</v>
      </c>
    </row>
    <row r="68">
      <c r="A68" s="4">
        <v>67.0</v>
      </c>
      <c r="B68" s="13" t="s">
        <v>242</v>
      </c>
      <c r="C68" s="8">
        <v>0.0</v>
      </c>
    </row>
    <row r="69">
      <c r="A69" s="4">
        <v>68.0</v>
      </c>
      <c r="B69" s="13" t="s">
        <v>245</v>
      </c>
      <c r="C69" s="8">
        <v>0.0</v>
      </c>
    </row>
    <row r="70">
      <c r="A70" s="4">
        <v>69.0</v>
      </c>
      <c r="B70" s="13" t="s">
        <v>248</v>
      </c>
      <c r="C70" s="8">
        <v>0.0</v>
      </c>
    </row>
    <row r="71">
      <c r="A71" s="4">
        <v>70.0</v>
      </c>
      <c r="B71" s="13" t="s">
        <v>251</v>
      </c>
      <c r="C71" s="8">
        <v>2.0</v>
      </c>
    </row>
    <row r="72">
      <c r="A72" s="4">
        <v>71.0</v>
      </c>
      <c r="B72" s="13" t="s">
        <v>254</v>
      </c>
      <c r="C72" s="8">
        <v>0.0</v>
      </c>
    </row>
    <row r="73">
      <c r="A73" s="4">
        <v>72.0</v>
      </c>
      <c r="B73" s="13" t="s">
        <v>258</v>
      </c>
      <c r="C73" s="8">
        <v>7.0</v>
      </c>
    </row>
    <row r="74">
      <c r="A74" s="4">
        <v>73.0</v>
      </c>
      <c r="B74" s="13" t="s">
        <v>262</v>
      </c>
      <c r="C74" s="8">
        <v>0.0</v>
      </c>
    </row>
    <row r="75">
      <c r="A75" s="4">
        <v>74.0</v>
      </c>
      <c r="B75" s="13" t="s">
        <v>265</v>
      </c>
      <c r="C75" s="8">
        <v>0.0</v>
      </c>
    </row>
    <row r="76">
      <c r="A76" s="4">
        <v>75.0</v>
      </c>
      <c r="B76" s="13" t="s">
        <v>269</v>
      </c>
      <c r="C76" s="8">
        <v>0.0</v>
      </c>
    </row>
    <row r="77">
      <c r="A77" s="4">
        <v>76.0</v>
      </c>
      <c r="B77" s="13" t="s">
        <v>272</v>
      </c>
      <c r="C77" s="8">
        <v>0.0</v>
      </c>
    </row>
    <row r="78">
      <c r="A78" s="4">
        <v>77.0</v>
      </c>
      <c r="B78" s="13" t="s">
        <v>275</v>
      </c>
      <c r="C78" s="8">
        <v>0.0</v>
      </c>
    </row>
    <row r="79">
      <c r="A79" s="4">
        <v>78.0</v>
      </c>
      <c r="B79" s="13" t="s">
        <v>279</v>
      </c>
      <c r="C79" s="8">
        <v>0.0</v>
      </c>
    </row>
    <row r="80">
      <c r="A80" s="4">
        <v>79.0</v>
      </c>
      <c r="B80" s="13" t="s">
        <v>282</v>
      </c>
      <c r="C80" s="8">
        <v>0.0</v>
      </c>
    </row>
    <row r="81">
      <c r="A81" s="4">
        <v>80.0</v>
      </c>
      <c r="B81" s="13" t="s">
        <v>286</v>
      </c>
      <c r="C81" s="8">
        <v>0.0</v>
      </c>
    </row>
    <row r="82">
      <c r="A82" s="4">
        <v>81.0</v>
      </c>
      <c r="B82" s="13" t="s">
        <v>290</v>
      </c>
      <c r="C82" s="8">
        <v>0.0</v>
      </c>
    </row>
    <row r="83">
      <c r="A83" s="4">
        <v>82.0</v>
      </c>
      <c r="B83" s="13" t="s">
        <v>294</v>
      </c>
      <c r="C83" s="8">
        <v>0.0</v>
      </c>
    </row>
    <row r="84">
      <c r="A84" s="4">
        <v>83.0</v>
      </c>
      <c r="B84" s="13" t="s">
        <v>297</v>
      </c>
      <c r="C84" s="8">
        <v>0.0</v>
      </c>
    </row>
    <row r="85">
      <c r="A85" s="4">
        <v>84.0</v>
      </c>
      <c r="B85" s="13" t="s">
        <v>300</v>
      </c>
      <c r="C85" s="8">
        <v>34.0</v>
      </c>
    </row>
    <row r="86">
      <c r="A86" s="4">
        <v>85.0</v>
      </c>
      <c r="B86" s="13" t="s">
        <v>304</v>
      </c>
      <c r="C86" s="8">
        <v>0.0</v>
      </c>
    </row>
    <row r="87">
      <c r="A87" s="4">
        <v>86.0</v>
      </c>
      <c r="B87" s="13" t="s">
        <v>307</v>
      </c>
      <c r="C87" s="20">
        <v>5.0</v>
      </c>
    </row>
    <row r="88">
      <c r="A88" s="4">
        <v>87.0</v>
      </c>
      <c r="B88" s="13" t="s">
        <v>311</v>
      </c>
      <c r="C88" s="20">
        <v>4.0</v>
      </c>
    </row>
    <row r="89">
      <c r="A89" s="4">
        <v>88.0</v>
      </c>
      <c r="B89" s="13" t="s">
        <v>315</v>
      </c>
      <c r="C89" s="20">
        <v>4.0</v>
      </c>
    </row>
    <row r="90">
      <c r="A90" s="4">
        <v>89.0</v>
      </c>
      <c r="B90" s="13" t="s">
        <v>317</v>
      </c>
      <c r="C90" s="8">
        <v>2.0</v>
      </c>
    </row>
    <row r="91">
      <c r="A91" s="4">
        <v>90.0</v>
      </c>
      <c r="B91" s="13" t="s">
        <v>320</v>
      </c>
      <c r="C91" s="8">
        <v>0.0</v>
      </c>
    </row>
    <row r="92">
      <c r="A92" s="4">
        <v>91.0</v>
      </c>
      <c r="B92" s="13" t="s">
        <v>323</v>
      </c>
      <c r="C92" s="8">
        <v>0.0</v>
      </c>
    </row>
    <row r="93">
      <c r="A93" s="4">
        <v>92.0</v>
      </c>
      <c r="B93" s="13" t="s">
        <v>326</v>
      </c>
      <c r="C93" s="8">
        <v>0.0</v>
      </c>
    </row>
    <row r="94">
      <c r="A94" s="4">
        <v>93.0</v>
      </c>
      <c r="B94" s="13" t="s">
        <v>330</v>
      </c>
      <c r="C94" s="8">
        <v>0.0</v>
      </c>
    </row>
    <row r="95">
      <c r="A95" s="4">
        <v>94.0</v>
      </c>
      <c r="B95" s="13" t="s">
        <v>343</v>
      </c>
      <c r="C95" s="8">
        <v>0.0</v>
      </c>
    </row>
    <row r="96">
      <c r="A96" s="4">
        <v>95.0</v>
      </c>
      <c r="B96" s="13" t="s">
        <v>347</v>
      </c>
      <c r="C96" s="8">
        <v>0.0</v>
      </c>
    </row>
    <row r="97">
      <c r="A97" s="4">
        <v>96.0</v>
      </c>
      <c r="B97" s="13" t="s">
        <v>350</v>
      </c>
      <c r="C97" s="8">
        <v>0.0</v>
      </c>
    </row>
    <row r="98">
      <c r="A98" s="4">
        <v>97.0</v>
      </c>
      <c r="B98" s="38" t="s">
        <v>63</v>
      </c>
      <c r="C98" s="8">
        <v>0.0</v>
      </c>
    </row>
    <row r="99">
      <c r="A99" s="4">
        <v>98.0</v>
      </c>
      <c r="B99" s="40"/>
      <c r="C99" s="8">
        <v>0.0</v>
      </c>
    </row>
    <row r="100">
      <c r="A100" s="4">
        <v>99.0</v>
      </c>
      <c r="B100" s="13" t="s">
        <v>368</v>
      </c>
      <c r="C100" s="20">
        <v>1.0</v>
      </c>
    </row>
    <row r="101">
      <c r="A101" s="4">
        <v>100.0</v>
      </c>
      <c r="B101" s="13" t="s">
        <v>371</v>
      </c>
      <c r="C101" s="20">
        <v>1.0</v>
      </c>
    </row>
    <row r="102">
      <c r="A102" s="4">
        <v>101.0</v>
      </c>
      <c r="B102" s="13" t="s">
        <v>375</v>
      </c>
      <c r="C102" s="20">
        <v>6.0</v>
      </c>
    </row>
    <row r="103">
      <c r="A103" s="4">
        <v>102.0</v>
      </c>
      <c r="B103" s="13" t="s">
        <v>379</v>
      </c>
      <c r="C103" s="8">
        <v>2.0</v>
      </c>
    </row>
    <row r="104">
      <c r="A104" s="4">
        <v>103.0</v>
      </c>
      <c r="B104" s="13" t="s">
        <v>382</v>
      </c>
      <c r="C104" s="8">
        <v>0.0</v>
      </c>
    </row>
    <row r="105">
      <c r="A105" s="4">
        <v>104.0</v>
      </c>
      <c r="B105" s="13" t="s">
        <v>385</v>
      </c>
      <c r="C105" s="20">
        <v>3.0</v>
      </c>
    </row>
    <row r="106">
      <c r="A106" s="4">
        <v>105.0</v>
      </c>
      <c r="B106" s="6" t="s">
        <v>389</v>
      </c>
      <c r="C106" s="20">
        <v>10.0</v>
      </c>
    </row>
    <row r="107">
      <c r="A107" s="4">
        <v>106.0</v>
      </c>
      <c r="B107" s="13" t="s">
        <v>392</v>
      </c>
      <c r="C107" s="8">
        <v>4.0</v>
      </c>
    </row>
    <row r="108">
      <c r="A108" s="4">
        <v>107.0</v>
      </c>
      <c r="B108" s="6" t="s">
        <v>395</v>
      </c>
      <c r="C108" s="8">
        <v>0.0</v>
      </c>
    </row>
    <row r="109">
      <c r="A109" s="4">
        <v>108.0</v>
      </c>
      <c r="B109" s="6" t="s">
        <v>399</v>
      </c>
      <c r="C109" s="8">
        <v>0.0</v>
      </c>
    </row>
    <row r="110">
      <c r="A110" s="43">
        <v>109.0</v>
      </c>
      <c r="B110" s="13" t="s">
        <v>406</v>
      </c>
      <c r="C110" s="20">
        <v>14.0</v>
      </c>
    </row>
    <row r="111">
      <c r="A111" s="43">
        <v>111.0</v>
      </c>
      <c r="B111" s="13" t="s">
        <v>410</v>
      </c>
      <c r="C111" s="8">
        <v>1.0</v>
      </c>
    </row>
    <row r="112">
      <c r="A112" s="43">
        <v>112.0</v>
      </c>
      <c r="B112" s="13" t="s">
        <v>412</v>
      </c>
      <c r="C112" s="8">
        <v>0.0</v>
      </c>
    </row>
    <row r="113">
      <c r="A113" s="43">
        <v>113.0</v>
      </c>
      <c r="B113" s="13" t="s">
        <v>416</v>
      </c>
      <c r="C113" s="8">
        <v>0.0</v>
      </c>
    </row>
    <row r="114">
      <c r="A114" s="43">
        <v>114.0</v>
      </c>
      <c r="B114" s="13" t="s">
        <v>420</v>
      </c>
      <c r="C114" s="20">
        <v>2.0</v>
      </c>
    </row>
    <row r="115">
      <c r="A115" s="43">
        <v>115.0</v>
      </c>
      <c r="B115" s="13" t="s">
        <v>423</v>
      </c>
      <c r="C115" s="8">
        <v>1.0</v>
      </c>
    </row>
    <row r="116">
      <c r="A116" s="43">
        <v>116.0</v>
      </c>
      <c r="B116" s="13" t="s">
        <v>427</v>
      </c>
      <c r="C116" s="8">
        <v>0.0</v>
      </c>
    </row>
    <row r="117">
      <c r="A117" s="43">
        <v>117.0</v>
      </c>
      <c r="B117" s="13" t="s">
        <v>430</v>
      </c>
      <c r="C117" s="8">
        <v>0.0</v>
      </c>
    </row>
    <row r="118">
      <c r="A118" s="43">
        <v>118.0</v>
      </c>
      <c r="B118" s="6" t="s">
        <v>433</v>
      </c>
      <c r="C118" s="8">
        <v>0.0</v>
      </c>
    </row>
    <row r="119">
      <c r="A119" s="43">
        <v>121.0</v>
      </c>
      <c r="B119" s="6" t="s">
        <v>436</v>
      </c>
      <c r="C119" s="20">
        <v>10.0</v>
      </c>
    </row>
    <row r="120">
      <c r="A120" s="43">
        <v>122.0</v>
      </c>
      <c r="B120" s="6" t="s">
        <v>439</v>
      </c>
      <c r="C120" s="20">
        <v>9.0</v>
      </c>
    </row>
    <row r="121">
      <c r="A121" s="43">
        <v>123.0</v>
      </c>
      <c r="B121" s="6" t="s">
        <v>443</v>
      </c>
      <c r="C121" s="20">
        <v>3.0</v>
      </c>
    </row>
    <row r="122">
      <c r="A122" s="43">
        <v>124.0</v>
      </c>
      <c r="B122" s="6" t="s">
        <v>447</v>
      </c>
      <c r="C122" s="20">
        <v>4.0</v>
      </c>
    </row>
    <row r="123">
      <c r="A123" s="43">
        <v>125.0</v>
      </c>
      <c r="B123" s="13" t="s">
        <v>451</v>
      </c>
      <c r="C123" s="20">
        <v>3.0</v>
      </c>
    </row>
    <row r="124">
      <c r="A124" s="43">
        <v>126.0</v>
      </c>
      <c r="B124" s="13" t="s">
        <v>454</v>
      </c>
      <c r="C124" s="8">
        <v>2.0</v>
      </c>
    </row>
    <row r="125">
      <c r="A125" s="43">
        <v>127.0</v>
      </c>
      <c r="B125" s="13" t="s">
        <v>457</v>
      </c>
      <c r="C125" s="8">
        <v>0.0</v>
      </c>
    </row>
    <row r="126">
      <c r="A126" s="43">
        <v>128.0</v>
      </c>
      <c r="B126" s="6" t="s">
        <v>460</v>
      </c>
      <c r="C126" s="20">
        <v>1.0</v>
      </c>
    </row>
    <row r="127">
      <c r="A127" s="43">
        <v>129.0</v>
      </c>
      <c r="B127" s="13" t="s">
        <v>464</v>
      </c>
      <c r="C127" s="20">
        <v>10.0</v>
      </c>
    </row>
    <row r="128">
      <c r="A128" s="43">
        <v>130.0</v>
      </c>
      <c r="B128" s="13" t="s">
        <v>467</v>
      </c>
      <c r="C128" s="20">
        <v>1.0</v>
      </c>
    </row>
    <row r="129">
      <c r="A129" s="43">
        <v>131.0</v>
      </c>
      <c r="B129" s="13" t="s">
        <v>470</v>
      </c>
      <c r="C129" s="20">
        <v>1.0</v>
      </c>
    </row>
    <row r="130">
      <c r="A130" s="43">
        <v>132.0</v>
      </c>
      <c r="B130" s="13" t="s">
        <v>473</v>
      </c>
      <c r="C130" s="20">
        <v>1.0</v>
      </c>
    </row>
    <row r="131">
      <c r="A131" s="43">
        <v>133.0</v>
      </c>
      <c r="B131" s="13" t="s">
        <v>477</v>
      </c>
      <c r="C131" s="20">
        <v>1.0</v>
      </c>
    </row>
    <row r="132">
      <c r="A132" s="43">
        <v>136.0</v>
      </c>
      <c r="B132" s="13" t="s">
        <v>480</v>
      </c>
      <c r="C132" s="20">
        <v>4.0</v>
      </c>
    </row>
    <row r="133">
      <c r="A133" s="43">
        <v>137.0</v>
      </c>
      <c r="B133" s="13" t="s">
        <v>483</v>
      </c>
      <c r="C133" s="20">
        <v>2.0</v>
      </c>
    </row>
    <row r="134">
      <c r="A134" s="43">
        <v>138.0</v>
      </c>
      <c r="B134" s="13" t="s">
        <v>487</v>
      </c>
      <c r="C134" s="20">
        <v>3.0</v>
      </c>
    </row>
    <row r="135">
      <c r="A135" s="43">
        <v>139.0</v>
      </c>
      <c r="B135" s="13" t="s">
        <v>491</v>
      </c>
      <c r="C135" s="20">
        <v>1.0</v>
      </c>
    </row>
    <row r="136">
      <c r="A136" s="43">
        <v>140.0</v>
      </c>
      <c r="B136" s="13" t="s">
        <v>495</v>
      </c>
      <c r="C136" s="20">
        <v>3.0</v>
      </c>
    </row>
    <row r="137">
      <c r="A137" s="43">
        <v>141.0</v>
      </c>
      <c r="B137" s="13" t="s">
        <v>498</v>
      </c>
      <c r="C137" s="20">
        <v>4.0</v>
      </c>
    </row>
    <row r="138">
      <c r="A138" s="43">
        <v>142.0</v>
      </c>
      <c r="B138" s="13" t="s">
        <v>502</v>
      </c>
      <c r="C138" s="20">
        <v>1.0</v>
      </c>
    </row>
    <row r="139">
      <c r="A139" s="43">
        <v>143.0</v>
      </c>
      <c r="B139" s="13" t="s">
        <v>505</v>
      </c>
      <c r="C139" s="20">
        <v>2.0</v>
      </c>
    </row>
    <row r="140">
      <c r="A140" s="43">
        <v>144.0</v>
      </c>
      <c r="B140" s="13" t="s">
        <v>509</v>
      </c>
      <c r="C140" s="20">
        <v>1.0</v>
      </c>
    </row>
    <row r="141">
      <c r="A141" s="43">
        <v>145.0</v>
      </c>
      <c r="B141" s="13" t="s">
        <v>513</v>
      </c>
      <c r="C141" s="20">
        <v>1.0</v>
      </c>
    </row>
    <row r="142">
      <c r="A142" s="43">
        <v>146.0</v>
      </c>
      <c r="B142" s="13" t="s">
        <v>517</v>
      </c>
      <c r="C142" s="8">
        <v>2.0</v>
      </c>
    </row>
    <row r="143">
      <c r="A143" s="43">
        <v>147.0</v>
      </c>
      <c r="B143" s="13" t="s">
        <v>521</v>
      </c>
      <c r="C143" s="8">
        <v>0.0</v>
      </c>
    </row>
    <row r="144">
      <c r="A144" s="43">
        <v>148.0</v>
      </c>
      <c r="B144" s="6" t="s">
        <v>524</v>
      </c>
      <c r="C144" s="8">
        <v>0.0</v>
      </c>
    </row>
    <row r="145">
      <c r="A145" s="43">
        <v>149.0</v>
      </c>
      <c r="B145" s="6" t="s">
        <v>527</v>
      </c>
      <c r="C145" s="8">
        <v>0.0</v>
      </c>
    </row>
    <row r="146">
      <c r="A146" s="43">
        <v>150.0</v>
      </c>
      <c r="B146" s="6" t="s">
        <v>531</v>
      </c>
      <c r="C146" s="8">
        <v>0.0</v>
      </c>
    </row>
    <row r="147">
      <c r="A147" s="43">
        <v>151.0</v>
      </c>
      <c r="B147" s="6" t="s">
        <v>534</v>
      </c>
      <c r="C147" s="8">
        <v>0.0</v>
      </c>
    </row>
    <row r="148">
      <c r="A148" s="43">
        <v>152.0</v>
      </c>
      <c r="B148" s="6" t="s">
        <v>537</v>
      </c>
      <c r="C148" s="8">
        <v>0.0</v>
      </c>
    </row>
    <row r="149">
      <c r="A149" s="43">
        <v>153.0</v>
      </c>
      <c r="B149" s="6" t="s">
        <v>540</v>
      </c>
      <c r="C149" s="8">
        <v>0.0</v>
      </c>
    </row>
    <row r="150">
      <c r="A150" s="43">
        <v>154.0</v>
      </c>
      <c r="B150" s="6" t="s">
        <v>544</v>
      </c>
      <c r="C150" s="8">
        <v>0.0</v>
      </c>
    </row>
    <row r="151">
      <c r="A151" s="43">
        <v>155.0</v>
      </c>
      <c r="B151" s="6" t="s">
        <v>547</v>
      </c>
      <c r="C151" s="8">
        <v>0.0</v>
      </c>
    </row>
    <row r="152">
      <c r="A152" s="43">
        <v>156.0</v>
      </c>
      <c r="B152" s="6" t="s">
        <v>550</v>
      </c>
      <c r="C152" s="8">
        <v>0.0</v>
      </c>
    </row>
    <row r="153">
      <c r="A153" s="43">
        <v>157.0</v>
      </c>
      <c r="B153" s="6" t="s">
        <v>552</v>
      </c>
      <c r="C153" s="8">
        <v>0.0</v>
      </c>
    </row>
    <row r="154">
      <c r="A154" s="43">
        <v>158.0</v>
      </c>
      <c r="B154" s="6" t="s">
        <v>556</v>
      </c>
      <c r="C154" s="8">
        <v>0.0</v>
      </c>
    </row>
    <row r="155">
      <c r="A155" s="43">
        <v>159.0</v>
      </c>
      <c r="B155" s="6" t="s">
        <v>559</v>
      </c>
      <c r="C155" s="8">
        <v>0.0</v>
      </c>
    </row>
    <row r="156">
      <c r="A156" s="43">
        <v>160.0</v>
      </c>
      <c r="B156" s="6" t="s">
        <v>561</v>
      </c>
      <c r="C156" s="8">
        <v>0.0</v>
      </c>
    </row>
    <row r="157">
      <c r="A157" s="43">
        <v>161.0</v>
      </c>
      <c r="B157" s="6" t="s">
        <v>564</v>
      </c>
      <c r="C157" s="8">
        <v>0.0</v>
      </c>
    </row>
    <row r="158">
      <c r="A158" s="43">
        <v>162.0</v>
      </c>
      <c r="B158" s="6" t="s">
        <v>566</v>
      </c>
      <c r="C158" s="8">
        <v>0.0</v>
      </c>
    </row>
    <row r="159">
      <c r="A159" s="43">
        <v>163.0</v>
      </c>
      <c r="B159" s="6" t="s">
        <v>569</v>
      </c>
      <c r="C159" s="8">
        <v>0.0</v>
      </c>
    </row>
    <row r="160">
      <c r="A160" s="43">
        <v>164.0</v>
      </c>
      <c r="B160" s="6" t="s">
        <v>573</v>
      </c>
      <c r="C160" s="8">
        <v>0.0</v>
      </c>
    </row>
    <row r="161">
      <c r="A161" s="43">
        <v>165.0</v>
      </c>
      <c r="B161" s="6" t="s">
        <v>576</v>
      </c>
      <c r="C161" s="8">
        <v>0.0</v>
      </c>
    </row>
    <row r="162">
      <c r="A162" s="43">
        <v>1660.0</v>
      </c>
      <c r="B162" s="6" t="s">
        <v>579</v>
      </c>
      <c r="C162" s="8">
        <v>0.0</v>
      </c>
    </row>
    <row r="163">
      <c r="A163" s="43">
        <v>166.0</v>
      </c>
      <c r="B163" s="6" t="s">
        <v>583</v>
      </c>
      <c r="C163" s="8">
        <v>230.0</v>
      </c>
    </row>
    <row r="164">
      <c r="A164" s="43">
        <v>167.0</v>
      </c>
      <c r="B164" s="6" t="s">
        <v>586</v>
      </c>
      <c r="C164" s="8">
        <v>0.0</v>
      </c>
    </row>
    <row r="165">
      <c r="A165" s="43">
        <v>168.0</v>
      </c>
      <c r="B165" s="6" t="s">
        <v>590</v>
      </c>
      <c r="C165" s="8">
        <v>0.0</v>
      </c>
    </row>
    <row r="166">
      <c r="A166" s="43">
        <v>169.0</v>
      </c>
      <c r="B166" s="6" t="s">
        <v>594</v>
      </c>
      <c r="C166" s="20">
        <v>1.0</v>
      </c>
    </row>
    <row r="167">
      <c r="A167" s="43">
        <v>170.0</v>
      </c>
      <c r="B167" s="6" t="s">
        <v>597</v>
      </c>
      <c r="C167" s="20">
        <v>1.0</v>
      </c>
    </row>
    <row r="168">
      <c r="A168" s="43">
        <v>171.0</v>
      </c>
      <c r="B168" s="6" t="s">
        <v>600</v>
      </c>
      <c r="C168" s="8">
        <v>1.0</v>
      </c>
    </row>
    <row r="169">
      <c r="A169" s="43">
        <v>172.0</v>
      </c>
      <c r="B169" s="6" t="s">
        <v>603</v>
      </c>
      <c r="C169" s="8">
        <v>0.0</v>
      </c>
    </row>
    <row r="170">
      <c r="A170" s="43">
        <v>173.0</v>
      </c>
      <c r="B170" s="6" t="s">
        <v>606</v>
      </c>
      <c r="C170" s="8">
        <v>9.0</v>
      </c>
    </row>
    <row r="171">
      <c r="A171" s="43">
        <v>174.0</v>
      </c>
      <c r="B171" s="6" t="s">
        <v>609</v>
      </c>
      <c r="C171" s="8">
        <v>0.0</v>
      </c>
    </row>
    <row r="172">
      <c r="A172" s="43">
        <v>175.0</v>
      </c>
      <c r="B172" s="6" t="s">
        <v>613</v>
      </c>
      <c r="C172" s="8">
        <v>2.0</v>
      </c>
    </row>
    <row r="173">
      <c r="A173" s="43">
        <v>176.0</v>
      </c>
      <c r="B173" s="6" t="s">
        <v>617</v>
      </c>
      <c r="C173" s="8">
        <v>0.0</v>
      </c>
    </row>
    <row r="174">
      <c r="A174" s="43">
        <v>177.0</v>
      </c>
      <c r="B174" s="6" t="s">
        <v>619</v>
      </c>
      <c r="C174" s="20">
        <v>3.0</v>
      </c>
    </row>
    <row r="175">
      <c r="A175" s="43">
        <v>178.0</v>
      </c>
      <c r="B175" s="6" t="s">
        <v>623</v>
      </c>
      <c r="C175" s="8">
        <v>8.0</v>
      </c>
    </row>
    <row r="176">
      <c r="A176" s="43">
        <v>179.0</v>
      </c>
      <c r="B176" s="6" t="s">
        <v>626</v>
      </c>
      <c r="C176" s="8">
        <v>0.0</v>
      </c>
    </row>
    <row r="177">
      <c r="A177" s="43">
        <v>180.0</v>
      </c>
      <c r="B177" s="6" t="s">
        <v>630</v>
      </c>
      <c r="C177" s="8">
        <v>0.0</v>
      </c>
    </row>
    <row r="178">
      <c r="A178" s="43">
        <v>181.0</v>
      </c>
      <c r="B178" s="6" t="s">
        <v>633</v>
      </c>
      <c r="C178" s="8">
        <v>0.0</v>
      </c>
    </row>
    <row r="179">
      <c r="A179" s="43">
        <v>182.0</v>
      </c>
      <c r="B179" s="6" t="s">
        <v>636</v>
      </c>
      <c r="C179" s="8">
        <v>0.0</v>
      </c>
    </row>
    <row r="180">
      <c r="A180" s="43">
        <v>183.0</v>
      </c>
      <c r="B180" s="6" t="s">
        <v>639</v>
      </c>
      <c r="C180" s="8">
        <v>0.0</v>
      </c>
    </row>
    <row r="181">
      <c r="A181" s="43">
        <v>184.0</v>
      </c>
      <c r="B181" s="6" t="s">
        <v>643</v>
      </c>
      <c r="C181" s="8">
        <v>0.0</v>
      </c>
    </row>
    <row r="182">
      <c r="A182" s="43">
        <v>185.0</v>
      </c>
      <c r="B182" s="6" t="s">
        <v>646</v>
      </c>
      <c r="C182" s="8">
        <v>0.0</v>
      </c>
    </row>
    <row r="183">
      <c r="A183" s="43">
        <v>186.0</v>
      </c>
      <c r="B183" s="6" t="s">
        <v>650</v>
      </c>
      <c r="C183" s="8">
        <v>0.0</v>
      </c>
    </row>
    <row r="184">
      <c r="A184" s="43">
        <v>187.0</v>
      </c>
      <c r="B184" s="6" t="s">
        <v>654</v>
      </c>
      <c r="C184" s="8">
        <v>0.0</v>
      </c>
    </row>
    <row r="185">
      <c r="A185" s="43">
        <v>188.0</v>
      </c>
      <c r="B185" s="6" t="s">
        <v>657</v>
      </c>
      <c r="C185" s="8">
        <v>1.0</v>
      </c>
    </row>
    <row r="186">
      <c r="A186" s="43">
        <v>189.0</v>
      </c>
      <c r="B186" s="6" t="s">
        <v>661</v>
      </c>
      <c r="C186" s="8">
        <v>0.0</v>
      </c>
    </row>
    <row r="187">
      <c r="A187" s="43">
        <v>190.0</v>
      </c>
      <c r="B187" s="6" t="s">
        <v>664</v>
      </c>
      <c r="C187" s="8">
        <v>0.0</v>
      </c>
    </row>
    <row r="188">
      <c r="A188" s="43">
        <v>191.0</v>
      </c>
      <c r="B188" s="6" t="s">
        <v>667</v>
      </c>
      <c r="C188" s="8">
        <v>0.0</v>
      </c>
    </row>
    <row r="189">
      <c r="A189" s="43">
        <v>192.0</v>
      </c>
      <c r="B189" s="6" t="s">
        <v>670</v>
      </c>
      <c r="C189" s="8">
        <v>3.0</v>
      </c>
    </row>
    <row r="190">
      <c r="A190" s="43">
        <v>193.0</v>
      </c>
      <c r="B190" s="6" t="s">
        <v>674</v>
      </c>
      <c r="C190" s="8">
        <v>0.0</v>
      </c>
    </row>
    <row r="191">
      <c r="A191" s="43">
        <v>194.0</v>
      </c>
      <c r="B191" s="6" t="s">
        <v>677</v>
      </c>
      <c r="C191" s="20">
        <v>2.0</v>
      </c>
    </row>
    <row r="192">
      <c r="A192" s="43">
        <v>195.0</v>
      </c>
      <c r="B192" s="6" t="s">
        <v>680</v>
      </c>
      <c r="C192" s="20">
        <v>1.0</v>
      </c>
    </row>
    <row r="193">
      <c r="A193" s="43">
        <v>196.0</v>
      </c>
      <c r="B193" s="6" t="s">
        <v>684</v>
      </c>
      <c r="C193" s="8">
        <v>1.0</v>
      </c>
    </row>
    <row r="194">
      <c r="A194" s="43">
        <v>197.0</v>
      </c>
      <c r="B194" s="6" t="s">
        <v>686</v>
      </c>
      <c r="C194" s="8">
        <v>0.0</v>
      </c>
    </row>
    <row r="195">
      <c r="A195" s="43">
        <v>198.0</v>
      </c>
      <c r="B195" s="6" t="s">
        <v>689</v>
      </c>
      <c r="C195" s="8">
        <v>0.0</v>
      </c>
    </row>
    <row r="196">
      <c r="A196" s="43">
        <v>199.0</v>
      </c>
      <c r="B196" s="6" t="s">
        <v>692</v>
      </c>
      <c r="C196" s="20">
        <v>3.0</v>
      </c>
    </row>
    <row r="197">
      <c r="A197" s="43">
        <v>200.0</v>
      </c>
      <c r="B197" s="6" t="s">
        <v>695</v>
      </c>
      <c r="C197" s="20">
        <v>5.0</v>
      </c>
    </row>
    <row r="198">
      <c r="A198" s="43">
        <v>201.0</v>
      </c>
      <c r="B198" s="6" t="s">
        <v>698</v>
      </c>
      <c r="C198" s="20">
        <v>11.0</v>
      </c>
    </row>
    <row r="199">
      <c r="A199" s="43">
        <v>202.0</v>
      </c>
      <c r="B199" s="6" t="s">
        <v>700</v>
      </c>
      <c r="C199" s="20">
        <v>1.0</v>
      </c>
    </row>
    <row r="200">
      <c r="A200" s="43">
        <v>203.0</v>
      </c>
      <c r="B200" s="6" t="s">
        <v>704</v>
      </c>
      <c r="C200" s="8">
        <v>2.0</v>
      </c>
    </row>
    <row r="201">
      <c r="A201" s="43">
        <v>204.0</v>
      </c>
      <c r="B201" s="6" t="s">
        <v>707</v>
      </c>
      <c r="C201" s="8">
        <v>0.0</v>
      </c>
    </row>
    <row r="202">
      <c r="A202" s="43">
        <v>205.0</v>
      </c>
      <c r="B202" s="6" t="s">
        <v>710</v>
      </c>
      <c r="C202" s="8">
        <v>0.0</v>
      </c>
    </row>
    <row r="203">
      <c r="A203" s="43">
        <v>206.0</v>
      </c>
      <c r="B203" s="6" t="s">
        <v>712</v>
      </c>
      <c r="C203" s="8">
        <v>0.0</v>
      </c>
    </row>
    <row r="204">
      <c r="A204" s="43">
        <v>207.0</v>
      </c>
      <c r="B204" s="6" t="s">
        <v>715</v>
      </c>
      <c r="C204" s="8">
        <v>0.0</v>
      </c>
    </row>
    <row r="205">
      <c r="A205" s="43">
        <v>208.0</v>
      </c>
      <c r="B205" s="6" t="s">
        <v>718</v>
      </c>
      <c r="C205" s="8">
        <v>0.0</v>
      </c>
    </row>
    <row r="206">
      <c r="A206" s="43">
        <v>209.0</v>
      </c>
      <c r="B206" s="6" t="s">
        <v>720</v>
      </c>
      <c r="C206" s="8">
        <v>0.0</v>
      </c>
    </row>
    <row r="207">
      <c r="A207" s="43">
        <v>210.0</v>
      </c>
      <c r="B207" s="6" t="s">
        <v>724</v>
      </c>
      <c r="C207" s="8">
        <v>0.0</v>
      </c>
    </row>
    <row r="208">
      <c r="A208" s="43">
        <v>211.0</v>
      </c>
      <c r="B208" s="6" t="s">
        <v>726</v>
      </c>
      <c r="C208" s="8">
        <v>0.0</v>
      </c>
    </row>
    <row r="209">
      <c r="A209" s="43">
        <v>212.0</v>
      </c>
      <c r="B209" s="6" t="s">
        <v>729</v>
      </c>
      <c r="C209" s="8">
        <v>0.0</v>
      </c>
    </row>
    <row r="210">
      <c r="A210" s="43">
        <v>213.0</v>
      </c>
      <c r="B210" s="6" t="s">
        <v>732</v>
      </c>
      <c r="C210" s="8">
        <v>0.0</v>
      </c>
    </row>
    <row r="211">
      <c r="A211" s="43">
        <v>214.0</v>
      </c>
      <c r="B211" s="6" t="s">
        <v>735</v>
      </c>
      <c r="C211" s="8">
        <v>0.0</v>
      </c>
    </row>
    <row r="212">
      <c r="A212" s="43">
        <v>215.0</v>
      </c>
      <c r="B212" s="6" t="s">
        <v>739</v>
      </c>
      <c r="C212" s="8">
        <v>0.0</v>
      </c>
    </row>
    <row r="213">
      <c r="A213" s="43">
        <v>216.0</v>
      </c>
      <c r="B213" s="6" t="s">
        <v>742</v>
      </c>
      <c r="C213" s="8">
        <v>0.0</v>
      </c>
    </row>
    <row r="214">
      <c r="A214" s="43">
        <v>217.0</v>
      </c>
      <c r="B214" s="6" t="s">
        <v>745</v>
      </c>
      <c r="C214" s="8">
        <v>0.0</v>
      </c>
    </row>
    <row r="215">
      <c r="A215" s="43">
        <v>218.0</v>
      </c>
      <c r="B215" s="6" t="s">
        <v>748</v>
      </c>
      <c r="C215" s="8">
        <v>0.0</v>
      </c>
    </row>
    <row r="216">
      <c r="A216" s="43">
        <v>219.0</v>
      </c>
      <c r="B216" s="6" t="s">
        <v>751</v>
      </c>
      <c r="C216" s="8">
        <v>0.0</v>
      </c>
    </row>
    <row r="217">
      <c r="A217" s="43">
        <v>220.0</v>
      </c>
      <c r="B217" s="6" t="s">
        <v>754</v>
      </c>
      <c r="C217" s="8">
        <v>0.0</v>
      </c>
    </row>
    <row r="218">
      <c r="A218" s="43">
        <v>221.0</v>
      </c>
      <c r="B218" s="6" t="s">
        <v>756</v>
      </c>
      <c r="C218" s="20">
        <v>1.0</v>
      </c>
    </row>
    <row r="219">
      <c r="A219" s="43">
        <v>222.0</v>
      </c>
      <c r="B219" s="6" t="s">
        <v>759</v>
      </c>
      <c r="C219" s="20">
        <v>2.0</v>
      </c>
    </row>
    <row r="220">
      <c r="A220" s="43">
        <v>223.0</v>
      </c>
      <c r="B220" s="6" t="s">
        <v>762</v>
      </c>
      <c r="C220" s="8">
        <v>4.0</v>
      </c>
    </row>
    <row r="221">
      <c r="A221" s="43">
        <v>224.0</v>
      </c>
      <c r="B221" s="6" t="s">
        <v>765</v>
      </c>
      <c r="C221" s="8">
        <v>0.0</v>
      </c>
    </row>
    <row r="222">
      <c r="A222" s="43">
        <v>225.0</v>
      </c>
      <c r="B222" s="6" t="s">
        <v>768</v>
      </c>
      <c r="C222" s="8">
        <v>0.0</v>
      </c>
    </row>
    <row r="223">
      <c r="A223" s="43">
        <v>226.0</v>
      </c>
      <c r="B223" s="6" t="s">
        <v>769</v>
      </c>
      <c r="C223" s="20">
        <v>2.0</v>
      </c>
    </row>
    <row r="224">
      <c r="A224" s="43">
        <v>227.0</v>
      </c>
      <c r="B224" s="6" t="s">
        <v>772</v>
      </c>
      <c r="C224" s="8">
        <v>1.0</v>
      </c>
    </row>
    <row r="225">
      <c r="A225" s="43">
        <v>228.0</v>
      </c>
      <c r="B225" s="6" t="s">
        <v>776</v>
      </c>
      <c r="C225" s="8">
        <v>0.0</v>
      </c>
    </row>
    <row r="226">
      <c r="A226" s="43">
        <v>229.0</v>
      </c>
      <c r="B226" s="6" t="s">
        <v>779</v>
      </c>
      <c r="C226" s="8">
        <v>2.0</v>
      </c>
    </row>
    <row r="227">
      <c r="A227" s="43">
        <v>230.0</v>
      </c>
      <c r="B227" s="6" t="s">
        <v>781</v>
      </c>
      <c r="C227" s="8">
        <v>0.0</v>
      </c>
    </row>
    <row r="228">
      <c r="A228" s="43">
        <v>231.0</v>
      </c>
      <c r="B228" s="6" t="s">
        <v>784</v>
      </c>
      <c r="C228" s="8">
        <v>0.0</v>
      </c>
    </row>
    <row r="229">
      <c r="A229" s="43">
        <v>232.0</v>
      </c>
      <c r="B229" s="6" t="s">
        <v>786</v>
      </c>
      <c r="C229" s="8">
        <v>0.0</v>
      </c>
    </row>
    <row r="230">
      <c r="A230" s="43">
        <v>233.0</v>
      </c>
      <c r="B230" s="6" t="s">
        <v>789</v>
      </c>
      <c r="C230" s="8">
        <v>0.0</v>
      </c>
    </row>
    <row r="231">
      <c r="A231" s="43">
        <v>234.0</v>
      </c>
      <c r="B231" s="49" t="s">
        <v>793</v>
      </c>
      <c r="C231" s="8">
        <v>1.0</v>
      </c>
    </row>
    <row r="232">
      <c r="A232" s="43">
        <v>235.0</v>
      </c>
      <c r="B232" s="6" t="s">
        <v>798</v>
      </c>
      <c r="C232" s="8">
        <v>0.0</v>
      </c>
    </row>
    <row r="233">
      <c r="A233" s="43">
        <v>236.0</v>
      </c>
      <c r="B233" s="6" t="s">
        <v>801</v>
      </c>
      <c r="C233" s="8">
        <v>0.0</v>
      </c>
    </row>
    <row r="234">
      <c r="A234" s="43">
        <v>237.0</v>
      </c>
      <c r="B234" s="6" t="s">
        <v>805</v>
      </c>
      <c r="C234" s="20">
        <v>4.0</v>
      </c>
    </row>
    <row r="235">
      <c r="A235" s="43">
        <v>238.0</v>
      </c>
      <c r="B235" s="13" t="s">
        <v>808</v>
      </c>
      <c r="C235" s="8">
        <v>6.0</v>
      </c>
    </row>
    <row r="236">
      <c r="A236" s="43">
        <v>239.0</v>
      </c>
      <c r="B236" s="6" t="s">
        <v>811</v>
      </c>
      <c r="C236" s="8">
        <v>0.0</v>
      </c>
    </row>
    <row r="237">
      <c r="A237" s="43">
        <v>240.0</v>
      </c>
      <c r="B237" s="6" t="s">
        <v>815</v>
      </c>
      <c r="C237" s="20">
        <v>2.0</v>
      </c>
    </row>
    <row r="238">
      <c r="A238" s="43">
        <v>241.0</v>
      </c>
      <c r="B238" s="6" t="s">
        <v>818</v>
      </c>
      <c r="C238" s="20">
        <v>9.0</v>
      </c>
    </row>
    <row r="239">
      <c r="A239" s="43">
        <v>242.0</v>
      </c>
      <c r="B239" s="6" t="s">
        <v>821</v>
      </c>
      <c r="C239" s="20">
        <v>13.0</v>
      </c>
    </row>
    <row r="240">
      <c r="A240" s="43">
        <v>243.0</v>
      </c>
      <c r="B240" s="6" t="s">
        <v>824</v>
      </c>
      <c r="C240" s="20">
        <v>5.0</v>
      </c>
    </row>
    <row r="241">
      <c r="A241" s="43">
        <v>244.0</v>
      </c>
      <c r="B241" s="6" t="s">
        <v>828</v>
      </c>
      <c r="C241" s="20">
        <v>1.0</v>
      </c>
    </row>
    <row r="242">
      <c r="A242" s="43">
        <v>255.0</v>
      </c>
      <c r="B242" s="6" t="s">
        <v>831</v>
      </c>
      <c r="C242" s="20">
        <v>3.0</v>
      </c>
    </row>
    <row r="243">
      <c r="A243" s="43">
        <v>256.0</v>
      </c>
      <c r="B243" s="6" t="s">
        <v>834</v>
      </c>
      <c r="C243" s="8">
        <v>1.0</v>
      </c>
    </row>
    <row r="244">
      <c r="A244" s="43">
        <v>257.0</v>
      </c>
      <c r="B244" s="6" t="s">
        <v>837</v>
      </c>
      <c r="C244" s="8">
        <v>0.0</v>
      </c>
    </row>
    <row r="245">
      <c r="A245" s="43">
        <v>258.0</v>
      </c>
      <c r="B245" s="6" t="s">
        <v>841</v>
      </c>
      <c r="C245" s="20">
        <v>2.0</v>
      </c>
    </row>
    <row r="246">
      <c r="A246" s="43">
        <v>259.0</v>
      </c>
      <c r="B246" s="6" t="s">
        <v>845</v>
      </c>
      <c r="C246" s="8">
        <v>1.0</v>
      </c>
    </row>
    <row r="247">
      <c r="A247" s="43">
        <v>260.0</v>
      </c>
      <c r="B247" s="6" t="s">
        <v>848</v>
      </c>
      <c r="C247" s="8">
        <v>0.0</v>
      </c>
    </row>
    <row r="248">
      <c r="A248" s="43">
        <v>261.0</v>
      </c>
      <c r="B248" s="13" t="s">
        <v>862</v>
      </c>
      <c r="C248" s="8">
        <v>0.0</v>
      </c>
    </row>
    <row r="249">
      <c r="A249" s="43">
        <v>262.0</v>
      </c>
      <c r="B249" s="6" t="s">
        <v>865</v>
      </c>
      <c r="C249" s="8">
        <v>0.0</v>
      </c>
    </row>
    <row r="250">
      <c r="A250" s="43">
        <v>263.0</v>
      </c>
      <c r="B250" s="6" t="s">
        <v>869</v>
      </c>
      <c r="C250" s="20">
        <v>1.0</v>
      </c>
    </row>
    <row r="251">
      <c r="A251" s="43">
        <v>264.0</v>
      </c>
      <c r="B251" s="6" t="s">
        <v>873</v>
      </c>
      <c r="C251" s="20">
        <v>9.0</v>
      </c>
    </row>
    <row r="252">
      <c r="A252" s="43">
        <v>265.0</v>
      </c>
      <c r="B252" s="6" t="s">
        <v>876</v>
      </c>
      <c r="C252" s="8">
        <v>1.0</v>
      </c>
    </row>
    <row r="253">
      <c r="A253" s="43">
        <v>266.0</v>
      </c>
      <c r="B253" s="6" t="s">
        <v>879</v>
      </c>
      <c r="C253" s="8">
        <v>0.0</v>
      </c>
    </row>
    <row r="254">
      <c r="A254" s="43">
        <v>267.0</v>
      </c>
      <c r="B254" s="6" t="s">
        <v>882</v>
      </c>
      <c r="C254" s="20">
        <v>1.0</v>
      </c>
    </row>
    <row r="255">
      <c r="A255" s="43">
        <v>268.0</v>
      </c>
      <c r="B255" s="6" t="s">
        <v>885</v>
      </c>
      <c r="C255" s="8">
        <v>1.0</v>
      </c>
    </row>
    <row r="256">
      <c r="A256" s="43">
        <v>269.0</v>
      </c>
      <c r="B256" s="6" t="s">
        <v>887</v>
      </c>
      <c r="C256" s="8">
        <v>0.0</v>
      </c>
    </row>
    <row r="257">
      <c r="A257" s="43">
        <v>270.0</v>
      </c>
      <c r="B257" s="6" t="s">
        <v>890</v>
      </c>
      <c r="C257" s="8">
        <v>11.0</v>
      </c>
    </row>
    <row r="258">
      <c r="A258" s="43">
        <v>271.0</v>
      </c>
      <c r="B258" s="6" t="s">
        <v>893</v>
      </c>
      <c r="C258" s="8">
        <v>0.0</v>
      </c>
    </row>
    <row r="259">
      <c r="A259" s="43">
        <v>272.0</v>
      </c>
      <c r="B259" s="6" t="s">
        <v>896</v>
      </c>
      <c r="C259" s="20">
        <v>3.0</v>
      </c>
    </row>
    <row r="260">
      <c r="A260" s="43">
        <v>283.0</v>
      </c>
      <c r="B260" s="6" t="s">
        <v>900</v>
      </c>
      <c r="C260" s="20">
        <v>1.0</v>
      </c>
    </row>
    <row r="261">
      <c r="A261" s="43">
        <v>284.0</v>
      </c>
      <c r="B261" s="6" t="s">
        <v>904</v>
      </c>
      <c r="C261" s="20">
        <v>13.0</v>
      </c>
    </row>
    <row r="262">
      <c r="A262" s="43">
        <v>285.0</v>
      </c>
      <c r="B262" s="6" t="s">
        <v>907</v>
      </c>
      <c r="C262" s="8">
        <v>1.0</v>
      </c>
    </row>
    <row r="263">
      <c r="A263" s="43">
        <v>286.0</v>
      </c>
      <c r="B263" s="6" t="s">
        <v>911</v>
      </c>
      <c r="C263" s="8">
        <v>0.0</v>
      </c>
    </row>
    <row r="264">
      <c r="A264" s="43">
        <v>287.0</v>
      </c>
      <c r="B264" s="6" t="s">
        <v>914</v>
      </c>
      <c r="C264" s="8">
        <v>0.0</v>
      </c>
    </row>
    <row r="265">
      <c r="A265" s="43">
        <v>288.0</v>
      </c>
      <c r="B265" s="6" t="s">
        <v>918</v>
      </c>
      <c r="C265" s="20">
        <v>4.0</v>
      </c>
    </row>
    <row r="266">
      <c r="A266" s="43">
        <v>289.0</v>
      </c>
      <c r="B266" s="6" t="s">
        <v>921</v>
      </c>
      <c r="C266" s="8">
        <v>3.0</v>
      </c>
    </row>
    <row r="267">
      <c r="A267" s="43">
        <v>290.0</v>
      </c>
      <c r="B267" s="6" t="s">
        <v>925</v>
      </c>
      <c r="C267" s="8">
        <v>0.0</v>
      </c>
    </row>
    <row r="268">
      <c r="A268" s="43">
        <v>291.0</v>
      </c>
      <c r="B268" s="6" t="s">
        <v>928</v>
      </c>
      <c r="C268" s="20">
        <v>2.0</v>
      </c>
    </row>
    <row r="269">
      <c r="A269" s="43">
        <v>292.0</v>
      </c>
      <c r="B269" s="6" t="s">
        <v>932</v>
      </c>
      <c r="C269" s="20">
        <v>4.0</v>
      </c>
    </row>
    <row r="270">
      <c r="A270" s="43">
        <v>293.0</v>
      </c>
      <c r="B270" s="6" t="s">
        <v>935</v>
      </c>
      <c r="C270" s="20">
        <v>1.0</v>
      </c>
    </row>
    <row r="271">
      <c r="A271" s="43">
        <v>294.0</v>
      </c>
      <c r="B271" s="6" t="s">
        <v>939</v>
      </c>
      <c r="C271" s="20">
        <v>3.0</v>
      </c>
    </row>
    <row r="272">
      <c r="A272" s="43">
        <v>295.0</v>
      </c>
      <c r="B272" s="6" t="s">
        <v>942</v>
      </c>
      <c r="C272" s="8">
        <v>2.0</v>
      </c>
    </row>
    <row r="273">
      <c r="A273" s="43">
        <v>296.0</v>
      </c>
      <c r="B273" s="6" t="s">
        <v>946</v>
      </c>
      <c r="C273" s="8">
        <v>0.0</v>
      </c>
    </row>
    <row r="274">
      <c r="A274" s="43">
        <v>297.0</v>
      </c>
      <c r="B274" s="6" t="s">
        <v>949</v>
      </c>
      <c r="C274" s="8">
        <v>0.0</v>
      </c>
    </row>
    <row r="275">
      <c r="A275" s="43">
        <v>298.0</v>
      </c>
      <c r="B275" s="6" t="s">
        <v>952</v>
      </c>
      <c r="C275" s="20">
        <v>2.0</v>
      </c>
    </row>
    <row r="276">
      <c r="A276" s="43">
        <v>299.0</v>
      </c>
      <c r="B276" s="6" t="s">
        <v>956</v>
      </c>
      <c r="C276" s="20">
        <v>2.0</v>
      </c>
    </row>
    <row r="277">
      <c r="A277" s="43">
        <v>300.0</v>
      </c>
      <c r="B277" s="6" t="s">
        <v>959</v>
      </c>
      <c r="C277" s="8">
        <v>1.0</v>
      </c>
    </row>
    <row r="278">
      <c r="A278" s="43">
        <v>301.0</v>
      </c>
      <c r="B278" s="6" t="s">
        <v>963</v>
      </c>
      <c r="C278" s="8">
        <v>0.0</v>
      </c>
    </row>
    <row r="279">
      <c r="A279" s="43">
        <v>302.0</v>
      </c>
      <c r="B279" s="6" t="s">
        <v>966</v>
      </c>
      <c r="C279" s="8">
        <v>0.0</v>
      </c>
    </row>
    <row r="280">
      <c r="A280" s="43">
        <v>303.0</v>
      </c>
      <c r="B280" s="6" t="s">
        <v>969</v>
      </c>
      <c r="C280" s="8">
        <v>0.0</v>
      </c>
    </row>
    <row r="281">
      <c r="A281" s="43">
        <v>304.0</v>
      </c>
      <c r="B281" s="6" t="s">
        <v>972</v>
      </c>
      <c r="C281" s="8">
        <v>2.0</v>
      </c>
    </row>
    <row r="282">
      <c r="A282" s="43">
        <v>3050.0</v>
      </c>
      <c r="B282" s="13" t="s">
        <v>976</v>
      </c>
      <c r="C282" s="8">
        <v>0.0</v>
      </c>
    </row>
    <row r="283">
      <c r="A283" s="43">
        <v>305.0</v>
      </c>
      <c r="B283" s="6" t="s">
        <v>979</v>
      </c>
      <c r="C283" s="8">
        <v>0.0</v>
      </c>
    </row>
    <row r="284">
      <c r="A284" s="43">
        <v>306.0</v>
      </c>
      <c r="B284" s="13" t="s">
        <v>982</v>
      </c>
      <c r="C284" s="20">
        <v>37.0</v>
      </c>
    </row>
    <row r="285">
      <c r="A285" s="43">
        <v>307.0</v>
      </c>
      <c r="B285" s="13" t="s">
        <v>986</v>
      </c>
      <c r="C285" s="20">
        <v>2.0</v>
      </c>
    </row>
    <row r="286">
      <c r="A286" s="43">
        <v>308.0</v>
      </c>
      <c r="B286" s="13" t="s">
        <v>989</v>
      </c>
      <c r="C286" s="8">
        <v>2.0</v>
      </c>
    </row>
    <row r="287">
      <c r="A287" s="43">
        <v>309.0</v>
      </c>
      <c r="B287" s="13" t="s">
        <v>993</v>
      </c>
      <c r="C287" s="8">
        <v>0.0</v>
      </c>
    </row>
    <row r="288">
      <c r="A288" s="43">
        <v>310.0</v>
      </c>
      <c r="B288" s="6" t="s">
        <v>996</v>
      </c>
      <c r="C288" s="8">
        <v>0.0</v>
      </c>
    </row>
    <row r="289">
      <c r="A289" s="43">
        <v>311.0</v>
      </c>
      <c r="B289" s="6" t="s">
        <v>999</v>
      </c>
      <c r="C289" s="8">
        <v>5.0</v>
      </c>
    </row>
    <row r="290">
      <c r="A290" s="43">
        <v>312.0</v>
      </c>
      <c r="B290" s="6" t="s">
        <v>1002</v>
      </c>
      <c r="C290" s="8">
        <v>0.0</v>
      </c>
    </row>
    <row r="291">
      <c r="A291" s="43">
        <v>313.0</v>
      </c>
      <c r="B291" s="6" t="s">
        <v>1006</v>
      </c>
      <c r="C291" s="8">
        <v>0.0</v>
      </c>
    </row>
    <row r="292">
      <c r="A292" s="43">
        <v>314.0</v>
      </c>
      <c r="B292" s="6" t="s">
        <v>1009</v>
      </c>
      <c r="C292" s="8">
        <v>1.0</v>
      </c>
    </row>
    <row r="293">
      <c r="A293" s="43">
        <v>315.0</v>
      </c>
      <c r="B293" s="6" t="s">
        <v>1013</v>
      </c>
      <c r="C293" s="8">
        <v>0.0</v>
      </c>
    </row>
    <row r="294">
      <c r="A294" s="43">
        <v>316.0</v>
      </c>
      <c r="B294" s="6" t="s">
        <v>1015</v>
      </c>
      <c r="C294" s="8">
        <v>6.0</v>
      </c>
    </row>
    <row r="295">
      <c r="A295" s="43">
        <v>317.0</v>
      </c>
      <c r="B295" s="6" t="s">
        <v>1019</v>
      </c>
      <c r="C295" s="8">
        <v>0.0</v>
      </c>
    </row>
    <row r="296">
      <c r="A296" s="43">
        <v>318.0</v>
      </c>
      <c r="B296" s="6" t="s">
        <v>1022</v>
      </c>
      <c r="C296" s="8">
        <v>0.0</v>
      </c>
    </row>
    <row r="297">
      <c r="A297" s="43">
        <v>319.0</v>
      </c>
      <c r="B297" s="6" t="s">
        <v>1025</v>
      </c>
      <c r="C297" s="8">
        <v>1.0</v>
      </c>
    </row>
    <row r="298">
      <c r="A298" s="43">
        <v>320.0</v>
      </c>
      <c r="B298" s="6" t="s">
        <v>1028</v>
      </c>
      <c r="C298" s="8">
        <v>0.0</v>
      </c>
    </row>
    <row r="299">
      <c r="A299" s="43">
        <v>321.0</v>
      </c>
      <c r="B299" s="6" t="s">
        <v>1031</v>
      </c>
      <c r="C299" s="8">
        <v>0.0</v>
      </c>
    </row>
    <row r="300">
      <c r="A300" s="43">
        <v>322.0</v>
      </c>
      <c r="B300" s="6" t="s">
        <v>1034</v>
      </c>
      <c r="C300" s="8">
        <v>0.0</v>
      </c>
    </row>
    <row r="301">
      <c r="A301" s="43">
        <v>323.0</v>
      </c>
      <c r="B301" s="6" t="s">
        <v>1038</v>
      </c>
      <c r="C301" s="8">
        <v>0.0</v>
      </c>
    </row>
    <row r="302">
      <c r="A302" s="43">
        <v>324.0</v>
      </c>
      <c r="B302" s="6" t="s">
        <v>1041</v>
      </c>
      <c r="C302" s="8">
        <v>0.0</v>
      </c>
    </row>
    <row r="303">
      <c r="A303" s="43">
        <v>325.0</v>
      </c>
      <c r="B303" s="6" t="s">
        <v>1043</v>
      </c>
      <c r="C303" s="8">
        <v>0.0</v>
      </c>
    </row>
    <row r="304">
      <c r="A304" s="43">
        <v>326.0</v>
      </c>
      <c r="B304" s="6" t="s">
        <v>1045</v>
      </c>
      <c r="C304" s="8">
        <v>0.0</v>
      </c>
    </row>
    <row r="305">
      <c r="A305" s="43">
        <v>327.0</v>
      </c>
      <c r="B305" s="6" t="s">
        <v>1048</v>
      </c>
      <c r="C305" s="8">
        <v>0.0</v>
      </c>
    </row>
    <row r="306">
      <c r="A306" s="43">
        <v>328.0</v>
      </c>
      <c r="B306" s="6" t="s">
        <v>1050</v>
      </c>
      <c r="C306" s="8">
        <v>0.0</v>
      </c>
    </row>
    <row r="307">
      <c r="A307" s="43">
        <v>329.0</v>
      </c>
      <c r="B307" s="6" t="s">
        <v>1053</v>
      </c>
      <c r="C307" s="8">
        <v>0.0</v>
      </c>
    </row>
    <row r="308">
      <c r="A308" s="43">
        <v>330.0</v>
      </c>
      <c r="B308" s="6" t="s">
        <v>1055</v>
      </c>
      <c r="C308" s="8">
        <v>0.0</v>
      </c>
    </row>
    <row r="309">
      <c r="A309" s="43">
        <v>331.0</v>
      </c>
      <c r="B309" s="6" t="s">
        <v>1057</v>
      </c>
      <c r="C309" s="8">
        <v>0.0</v>
      </c>
    </row>
    <row r="310">
      <c r="A310" s="43">
        <v>332.0</v>
      </c>
      <c r="B310" s="6" t="s">
        <v>1059</v>
      </c>
      <c r="C310" s="8">
        <v>0.0</v>
      </c>
    </row>
    <row r="311">
      <c r="A311" s="43">
        <v>333.0</v>
      </c>
      <c r="B311" s="6" t="s">
        <v>1061</v>
      </c>
      <c r="C311" s="8">
        <v>0.0</v>
      </c>
    </row>
    <row r="312">
      <c r="A312" s="43">
        <v>334.0</v>
      </c>
      <c r="B312" s="6" t="s">
        <v>415</v>
      </c>
      <c r="C312" s="8">
        <v>1.0</v>
      </c>
    </row>
    <row r="313">
      <c r="A313" s="43">
        <v>335.0</v>
      </c>
      <c r="B313" s="6" t="s">
        <v>1067</v>
      </c>
      <c r="C313" s="8">
        <v>0.0</v>
      </c>
    </row>
    <row r="314">
      <c r="A314" s="43">
        <v>336.0</v>
      </c>
      <c r="B314" s="6" t="s">
        <v>1070</v>
      </c>
      <c r="C314" s="8">
        <v>0.0</v>
      </c>
    </row>
    <row r="315">
      <c r="A315" s="43">
        <v>337.0</v>
      </c>
      <c r="B315" s="6" t="s">
        <v>1072</v>
      </c>
      <c r="C315" s="8">
        <v>0.0</v>
      </c>
    </row>
    <row r="316">
      <c r="A316" s="43">
        <v>338.0</v>
      </c>
      <c r="B316" s="6" t="s">
        <v>1076</v>
      </c>
      <c r="C316" s="20">
        <v>7.0</v>
      </c>
    </row>
    <row r="317">
      <c r="A317" s="43">
        <v>339.0</v>
      </c>
      <c r="B317" s="6" t="s">
        <v>787</v>
      </c>
      <c r="C317" s="8">
        <v>4.0</v>
      </c>
    </row>
    <row r="318">
      <c r="A318" s="43">
        <v>340.0</v>
      </c>
      <c r="B318" s="6" t="s">
        <v>1082</v>
      </c>
      <c r="C318" s="8">
        <v>0.0</v>
      </c>
    </row>
    <row r="319">
      <c r="A319" s="43">
        <v>341.0</v>
      </c>
      <c r="B319" s="6" t="s">
        <v>1085</v>
      </c>
      <c r="C319" s="8">
        <v>5.0</v>
      </c>
    </row>
    <row r="320">
      <c r="A320" s="43">
        <v>342.0</v>
      </c>
      <c r="B320" s="6" t="s">
        <v>1088</v>
      </c>
      <c r="C320" s="8">
        <v>0.0</v>
      </c>
    </row>
    <row r="321">
      <c r="A321" s="43">
        <v>343.0</v>
      </c>
      <c r="B321" s="6" t="s">
        <v>1091</v>
      </c>
      <c r="C321" s="8">
        <v>0.0</v>
      </c>
    </row>
    <row r="322">
      <c r="A322" s="43">
        <v>344.0</v>
      </c>
      <c r="B322" s="6" t="s">
        <v>1094</v>
      </c>
      <c r="C322" s="20">
        <v>2.0</v>
      </c>
    </row>
    <row r="323">
      <c r="A323" s="43">
        <v>345.0</v>
      </c>
      <c r="B323" s="6" t="s">
        <v>1097</v>
      </c>
      <c r="C323" s="20">
        <v>7.0</v>
      </c>
    </row>
    <row r="324">
      <c r="A324" s="43">
        <v>346.0</v>
      </c>
      <c r="B324" s="6" t="s">
        <v>1100</v>
      </c>
      <c r="C324" s="8">
        <v>1.0</v>
      </c>
    </row>
    <row r="325">
      <c r="A325" s="43">
        <v>347.0</v>
      </c>
      <c r="B325" s="6" t="s">
        <v>1103</v>
      </c>
      <c r="C325" s="8">
        <v>0.0</v>
      </c>
    </row>
    <row r="326">
      <c r="A326" s="43">
        <v>348.0</v>
      </c>
      <c r="B326" s="6" t="s">
        <v>1106</v>
      </c>
      <c r="C326" s="20">
        <v>12.0</v>
      </c>
    </row>
    <row r="327">
      <c r="A327" s="43">
        <v>349.0</v>
      </c>
      <c r="B327" s="6" t="s">
        <v>1109</v>
      </c>
      <c r="C327" s="8">
        <v>18.0</v>
      </c>
    </row>
    <row r="328">
      <c r="A328" s="43">
        <v>350.0</v>
      </c>
      <c r="B328" s="6" t="s">
        <v>1112</v>
      </c>
      <c r="C328" s="8">
        <v>0.0</v>
      </c>
    </row>
    <row r="329">
      <c r="A329" s="43">
        <v>351.0</v>
      </c>
      <c r="B329" s="6" t="s">
        <v>1115</v>
      </c>
      <c r="C329" s="8">
        <v>0.0</v>
      </c>
    </row>
    <row r="330">
      <c r="A330" s="43">
        <v>352.0</v>
      </c>
      <c r="B330" s="6" t="s">
        <v>1118</v>
      </c>
      <c r="C330" s="20">
        <v>1.0</v>
      </c>
    </row>
    <row r="331">
      <c r="A331" s="43">
        <v>353.0</v>
      </c>
      <c r="B331" s="6" t="s">
        <v>1121</v>
      </c>
      <c r="C331" s="20">
        <v>1.0</v>
      </c>
    </row>
    <row r="332">
      <c r="A332" s="43">
        <v>354.0</v>
      </c>
      <c r="B332" s="6" t="s">
        <v>1125</v>
      </c>
      <c r="C332" s="20">
        <v>1.0</v>
      </c>
    </row>
    <row r="333">
      <c r="A333" s="43">
        <v>358.0</v>
      </c>
      <c r="B333" s="6" t="s">
        <v>1128</v>
      </c>
      <c r="C333" s="20">
        <v>1.0</v>
      </c>
    </row>
    <row r="334">
      <c r="A334" s="43">
        <v>359.0</v>
      </c>
      <c r="B334" s="6" t="s">
        <v>1131</v>
      </c>
      <c r="C334" s="20">
        <v>2.0</v>
      </c>
    </row>
    <row r="335">
      <c r="A335" s="43">
        <v>360.0</v>
      </c>
      <c r="B335" s="6" t="s">
        <v>1135</v>
      </c>
      <c r="C335" s="8">
        <v>2.0</v>
      </c>
    </row>
    <row r="336">
      <c r="A336" s="43">
        <v>361.0</v>
      </c>
      <c r="B336" s="6" t="s">
        <v>1138</v>
      </c>
      <c r="C336" s="8">
        <v>0.0</v>
      </c>
    </row>
    <row r="337">
      <c r="A337" s="43">
        <v>362.0</v>
      </c>
      <c r="B337" s="6" t="s">
        <v>1141</v>
      </c>
      <c r="C337" s="20">
        <v>1.0</v>
      </c>
    </row>
    <row r="338">
      <c r="A338" s="43">
        <v>363.0</v>
      </c>
      <c r="B338" s="6" t="s">
        <v>1145</v>
      </c>
      <c r="C338" s="8">
        <v>1.0</v>
      </c>
    </row>
    <row r="339">
      <c r="A339" s="43">
        <v>364.0</v>
      </c>
      <c r="B339" s="6" t="s">
        <v>1149</v>
      </c>
      <c r="C339" s="8">
        <v>0.0</v>
      </c>
    </row>
    <row r="340">
      <c r="A340" s="43">
        <v>365.0</v>
      </c>
      <c r="B340" s="6" t="s">
        <v>1153</v>
      </c>
      <c r="C340" s="8">
        <v>0.0</v>
      </c>
    </row>
    <row r="341">
      <c r="A341" s="43">
        <v>366.0</v>
      </c>
      <c r="B341" s="6" t="s">
        <v>1156</v>
      </c>
      <c r="C341" s="8">
        <v>1.0</v>
      </c>
    </row>
    <row r="342">
      <c r="A342" s="43">
        <v>367.0</v>
      </c>
      <c r="B342" s="13" t="s">
        <v>1159</v>
      </c>
      <c r="C342" s="8">
        <v>0.0</v>
      </c>
    </row>
    <row r="343">
      <c r="A343" s="43">
        <v>368.0</v>
      </c>
      <c r="B343" s="6" t="s">
        <v>1162</v>
      </c>
      <c r="C343" s="8">
        <v>0.0</v>
      </c>
    </row>
    <row r="344">
      <c r="A344" s="43">
        <v>369.0</v>
      </c>
      <c r="B344" s="6" t="s">
        <v>850</v>
      </c>
      <c r="C344" s="8">
        <v>1.0</v>
      </c>
    </row>
    <row r="345">
      <c r="A345" s="43">
        <v>370.0</v>
      </c>
      <c r="B345" s="6" t="s">
        <v>1166</v>
      </c>
      <c r="C345" s="8">
        <v>0.0</v>
      </c>
    </row>
    <row r="346">
      <c r="A346" s="43">
        <v>371.0</v>
      </c>
      <c r="B346" s="6" t="s">
        <v>1170</v>
      </c>
      <c r="C346" s="8">
        <v>0.0</v>
      </c>
    </row>
    <row r="347">
      <c r="A347" s="43">
        <v>372.0</v>
      </c>
      <c r="B347" s="6" t="s">
        <v>1173</v>
      </c>
      <c r="C347" s="8">
        <v>0.0</v>
      </c>
    </row>
    <row r="348">
      <c r="A348" s="43">
        <v>373.0</v>
      </c>
      <c r="B348" s="6" t="s">
        <v>1176</v>
      </c>
      <c r="C348" s="20">
        <v>2.0</v>
      </c>
    </row>
    <row r="349">
      <c r="A349" s="43">
        <v>374.0</v>
      </c>
      <c r="B349" s="6" t="s">
        <v>1179</v>
      </c>
      <c r="C349" s="20">
        <v>1.0</v>
      </c>
    </row>
    <row r="350">
      <c r="A350" s="43">
        <v>375.0</v>
      </c>
      <c r="B350" s="6" t="s">
        <v>1182</v>
      </c>
      <c r="C350" s="8">
        <v>1.0</v>
      </c>
    </row>
    <row r="351">
      <c r="A351" s="43">
        <v>376.0</v>
      </c>
      <c r="B351" s="6" t="s">
        <v>1185</v>
      </c>
      <c r="C351" s="8">
        <v>0.0</v>
      </c>
    </row>
    <row r="352">
      <c r="A352" s="43">
        <v>377.0</v>
      </c>
      <c r="B352" s="6" t="s">
        <v>1188</v>
      </c>
      <c r="C352" s="8">
        <v>0.0</v>
      </c>
    </row>
    <row r="353">
      <c r="A353" s="43">
        <v>378.0</v>
      </c>
      <c r="B353" s="6" t="s">
        <v>1190</v>
      </c>
      <c r="C353" s="20">
        <v>1.0</v>
      </c>
    </row>
    <row r="354">
      <c r="A354" s="43">
        <v>379.0</v>
      </c>
      <c r="B354" s="6" t="s">
        <v>1193</v>
      </c>
      <c r="C354" s="20">
        <v>1.0</v>
      </c>
    </row>
    <row r="355">
      <c r="A355" s="43">
        <v>380.0</v>
      </c>
      <c r="B355" s="6" t="s">
        <v>1196</v>
      </c>
      <c r="C355" s="8">
        <v>1.0</v>
      </c>
    </row>
    <row r="356">
      <c r="A356" s="43">
        <v>381.0</v>
      </c>
      <c r="B356" s="6" t="s">
        <v>1199</v>
      </c>
      <c r="C356" s="8">
        <v>0.0</v>
      </c>
    </row>
    <row r="357">
      <c r="A357" s="43">
        <v>382.0</v>
      </c>
      <c r="B357" s="6" t="s">
        <v>1201</v>
      </c>
      <c r="C357" s="20">
        <v>11.0</v>
      </c>
    </row>
    <row r="358">
      <c r="A358" s="43">
        <v>383.0</v>
      </c>
      <c r="B358" s="6" t="s">
        <v>1203</v>
      </c>
      <c r="C358" s="20">
        <v>4.0</v>
      </c>
    </row>
    <row r="359">
      <c r="A359" s="43">
        <v>384.0</v>
      </c>
      <c r="B359" s="6" t="s">
        <v>1205</v>
      </c>
      <c r="C359" s="20">
        <v>42.0</v>
      </c>
    </row>
    <row r="360">
      <c r="A360" s="43">
        <v>385.0</v>
      </c>
      <c r="B360" s="6" t="s">
        <v>1208</v>
      </c>
      <c r="C360" s="8">
        <v>49.0</v>
      </c>
    </row>
    <row r="361">
      <c r="A361" s="43">
        <v>386.0</v>
      </c>
      <c r="B361" s="6" t="s">
        <v>1210</v>
      </c>
      <c r="C361" s="8">
        <v>0.0</v>
      </c>
    </row>
    <row r="362">
      <c r="A362" s="43">
        <v>387.0</v>
      </c>
      <c r="B362" s="6" t="s">
        <v>1212</v>
      </c>
      <c r="C362" s="8">
        <v>0.0</v>
      </c>
    </row>
    <row r="363">
      <c r="A363" s="43">
        <v>388.0</v>
      </c>
      <c r="B363" s="6" t="s">
        <v>1215</v>
      </c>
      <c r="C363" s="8">
        <v>0.0</v>
      </c>
    </row>
    <row r="364">
      <c r="A364" s="43">
        <v>389.0</v>
      </c>
      <c r="B364" s="6" t="s">
        <v>1217</v>
      </c>
      <c r="C364" s="8">
        <v>0.0</v>
      </c>
    </row>
    <row r="365">
      <c r="A365" s="43">
        <v>390.0</v>
      </c>
      <c r="B365" s="6" t="s">
        <v>1220</v>
      </c>
      <c r="C365" s="8">
        <v>0.0</v>
      </c>
    </row>
    <row r="366">
      <c r="A366" s="43">
        <v>391.0</v>
      </c>
      <c r="B366" s="6" t="s">
        <v>1222</v>
      </c>
      <c r="C366" s="8">
        <v>1.0</v>
      </c>
    </row>
    <row r="367">
      <c r="A367" s="43">
        <v>392.0</v>
      </c>
      <c r="B367" s="6" t="s">
        <v>1224</v>
      </c>
      <c r="C367" s="8">
        <v>0.0</v>
      </c>
    </row>
    <row r="368">
      <c r="A368" s="4">
        <v>393.0</v>
      </c>
      <c r="B368" s="13" t="s">
        <v>1227</v>
      </c>
      <c r="C368" s="8">
        <v>0.0</v>
      </c>
    </row>
    <row r="369">
      <c r="A369" s="4">
        <v>394.0</v>
      </c>
      <c r="B369" s="13" t="s">
        <v>1230</v>
      </c>
      <c r="C369" s="8">
        <v>1.0</v>
      </c>
    </row>
    <row r="370">
      <c r="A370" s="4">
        <v>395.0</v>
      </c>
      <c r="B370" s="13" t="s">
        <v>1232</v>
      </c>
      <c r="C370" s="8">
        <v>0.0</v>
      </c>
    </row>
    <row r="371">
      <c r="A371" s="4">
        <v>396.0</v>
      </c>
      <c r="B371" s="13" t="s">
        <v>1235</v>
      </c>
      <c r="C371" s="8">
        <v>0.0</v>
      </c>
    </row>
    <row r="372">
      <c r="A372" s="4">
        <v>397.0</v>
      </c>
      <c r="B372" s="13" t="s">
        <v>1238</v>
      </c>
      <c r="C372" s="8">
        <v>0.0</v>
      </c>
    </row>
    <row r="373">
      <c r="A373" s="4">
        <v>398.0</v>
      </c>
      <c r="B373" s="13" t="s">
        <v>1240</v>
      </c>
      <c r="C373" s="8">
        <v>0.0</v>
      </c>
    </row>
    <row r="374">
      <c r="A374" s="4">
        <v>399.0</v>
      </c>
      <c r="B374" s="13" t="s">
        <v>1243</v>
      </c>
      <c r="C374" s="8">
        <v>1.0</v>
      </c>
    </row>
    <row r="375">
      <c r="A375" s="4">
        <v>400.0</v>
      </c>
      <c r="B375" s="13" t="s">
        <v>1245</v>
      </c>
      <c r="C375" s="8">
        <v>0.0</v>
      </c>
    </row>
    <row r="376">
      <c r="A376" s="4">
        <v>401.0</v>
      </c>
      <c r="B376" s="13" t="s">
        <v>1248</v>
      </c>
      <c r="C376" s="8">
        <v>3.0</v>
      </c>
    </row>
    <row r="377">
      <c r="A377" s="4">
        <v>402.0</v>
      </c>
      <c r="B377" s="13" t="s">
        <v>1251</v>
      </c>
      <c r="C377" s="8">
        <v>0.0</v>
      </c>
    </row>
    <row r="378">
      <c r="A378" s="4">
        <v>403.0</v>
      </c>
      <c r="B378" s="13" t="s">
        <v>1253</v>
      </c>
      <c r="C378" s="8">
        <v>0.0</v>
      </c>
    </row>
    <row r="379">
      <c r="A379" s="4">
        <v>404.0</v>
      </c>
      <c r="B379" s="13" t="s">
        <v>1255</v>
      </c>
      <c r="C379" s="8">
        <v>0.0</v>
      </c>
    </row>
    <row r="380">
      <c r="A380" s="4">
        <v>405.0</v>
      </c>
      <c r="B380" s="13" t="s">
        <v>1258</v>
      </c>
      <c r="C380" s="8">
        <v>0.0</v>
      </c>
    </row>
    <row r="381">
      <c r="A381" s="4">
        <v>406.0</v>
      </c>
      <c r="B381" s="13" t="s">
        <v>1260</v>
      </c>
      <c r="C381" s="20">
        <v>1.0</v>
      </c>
    </row>
    <row r="382">
      <c r="A382" s="4">
        <v>407.0</v>
      </c>
      <c r="B382" s="13" t="s">
        <v>1263</v>
      </c>
      <c r="C382" s="20">
        <v>4.0</v>
      </c>
    </row>
    <row r="383">
      <c r="A383" s="4">
        <v>408.0</v>
      </c>
      <c r="B383" s="13" t="s">
        <v>1266</v>
      </c>
      <c r="C383" s="8">
        <v>2.0</v>
      </c>
    </row>
    <row r="384">
      <c r="A384" s="4">
        <v>409.0</v>
      </c>
      <c r="B384" s="6" t="s">
        <v>1269</v>
      </c>
      <c r="C384" s="8">
        <v>0.0</v>
      </c>
    </row>
    <row r="385">
      <c r="A385" s="4">
        <v>410.0</v>
      </c>
      <c r="B385" s="6" t="s">
        <v>1271</v>
      </c>
      <c r="C385" s="20">
        <v>15.0</v>
      </c>
    </row>
    <row r="386">
      <c r="A386" s="4">
        <v>411.0</v>
      </c>
      <c r="B386" s="6" t="s">
        <v>1273</v>
      </c>
      <c r="C386" s="8">
        <v>20.0</v>
      </c>
    </row>
    <row r="387">
      <c r="A387" s="4">
        <v>412.0</v>
      </c>
      <c r="B387" s="13" t="s">
        <v>1276</v>
      </c>
      <c r="C387" s="8">
        <v>0.0</v>
      </c>
    </row>
    <row r="388">
      <c r="A388" s="4">
        <v>413.0</v>
      </c>
      <c r="B388" s="6" t="s">
        <v>850</v>
      </c>
      <c r="C388" s="8">
        <v>0.0</v>
      </c>
    </row>
    <row r="389">
      <c r="A389" s="4">
        <v>414.0</v>
      </c>
      <c r="B389" s="6" t="s">
        <v>1280</v>
      </c>
      <c r="C389" s="8">
        <v>0.0</v>
      </c>
    </row>
    <row r="390">
      <c r="A390" s="4">
        <v>415.0</v>
      </c>
      <c r="B390" s="6" t="s">
        <v>1283</v>
      </c>
      <c r="C390" s="8">
        <v>1.0</v>
      </c>
    </row>
    <row r="391">
      <c r="A391" s="4">
        <v>416.0</v>
      </c>
      <c r="B391" s="13" t="s">
        <v>1287</v>
      </c>
      <c r="C391" s="8">
        <v>0.0</v>
      </c>
    </row>
    <row r="392">
      <c r="A392" s="4">
        <v>417.0</v>
      </c>
      <c r="B392" s="13" t="s">
        <v>1289</v>
      </c>
      <c r="C392" s="8">
        <v>3.0</v>
      </c>
    </row>
    <row r="393">
      <c r="A393" s="4">
        <v>418.0</v>
      </c>
      <c r="B393" s="13" t="s">
        <v>1291</v>
      </c>
      <c r="C393" s="8">
        <v>0.0</v>
      </c>
    </row>
    <row r="394">
      <c r="A394" s="4">
        <v>419.0</v>
      </c>
      <c r="B394" s="13" t="s">
        <v>1294</v>
      </c>
      <c r="C394" s="8">
        <v>0.0</v>
      </c>
    </row>
    <row r="395">
      <c r="A395" s="4">
        <v>420.0</v>
      </c>
      <c r="B395" s="13" t="s">
        <v>1297</v>
      </c>
      <c r="C395" s="8">
        <v>0.0</v>
      </c>
    </row>
    <row r="396">
      <c r="A396" s="4">
        <v>421.0</v>
      </c>
      <c r="B396" s="6" t="s">
        <v>1299</v>
      </c>
      <c r="C396" s="8">
        <v>0.0</v>
      </c>
    </row>
    <row r="397">
      <c r="A397" s="43">
        <v>424.0</v>
      </c>
      <c r="B397" s="6" t="s">
        <v>1302</v>
      </c>
      <c r="C397" s="8">
        <v>0.0</v>
      </c>
    </row>
    <row r="398">
      <c r="A398" s="43">
        <v>425.0</v>
      </c>
      <c r="B398" s="6" t="s">
        <v>1305</v>
      </c>
      <c r="C398" s="8">
        <v>0.0</v>
      </c>
    </row>
    <row r="399">
      <c r="A399" s="4">
        <v>426.0</v>
      </c>
      <c r="B399" s="13" t="s">
        <v>1308</v>
      </c>
      <c r="C399" s="8">
        <v>0.0</v>
      </c>
    </row>
    <row r="400">
      <c r="A400" s="4">
        <v>427.0</v>
      </c>
      <c r="B400" s="13" t="s">
        <v>1311</v>
      </c>
      <c r="C400" s="8">
        <v>0.0</v>
      </c>
    </row>
    <row r="401">
      <c r="A401" s="4">
        <v>428.0</v>
      </c>
      <c r="B401" s="13" t="s">
        <v>1314</v>
      </c>
      <c r="C401" s="8">
        <v>1.0</v>
      </c>
    </row>
    <row r="402">
      <c r="A402" s="4">
        <v>429.0</v>
      </c>
      <c r="B402" s="13" t="s">
        <v>1317</v>
      </c>
      <c r="C402" s="8">
        <v>0.0</v>
      </c>
    </row>
    <row r="403">
      <c r="A403" s="43">
        <v>430.0</v>
      </c>
      <c r="B403" s="6" t="s">
        <v>1320</v>
      </c>
      <c r="C403" s="8">
        <v>0.0</v>
      </c>
    </row>
    <row r="404">
      <c r="A404" s="4">
        <v>432.0</v>
      </c>
      <c r="B404" s="13" t="s">
        <v>1322</v>
      </c>
      <c r="C404" s="8">
        <v>0.0</v>
      </c>
    </row>
    <row r="405">
      <c r="A405" s="4">
        <v>433.0</v>
      </c>
      <c r="B405" s="13" t="s">
        <v>1325</v>
      </c>
      <c r="C405" s="8">
        <v>0.0</v>
      </c>
    </row>
    <row r="406">
      <c r="A406" s="4">
        <v>434.0</v>
      </c>
      <c r="B406" s="13" t="s">
        <v>1328</v>
      </c>
      <c r="C406" s="51">
        <v>2.0</v>
      </c>
    </row>
    <row r="407">
      <c r="A407" s="4">
        <v>435.0</v>
      </c>
      <c r="B407" s="13" t="s">
        <v>1335</v>
      </c>
      <c r="C407" s="8">
        <v>0.0</v>
      </c>
    </row>
    <row r="408">
      <c r="A408" s="4">
        <v>436.0</v>
      </c>
      <c r="B408" s="13" t="s">
        <v>1338</v>
      </c>
      <c r="C408" s="8">
        <v>0.0</v>
      </c>
    </row>
    <row r="409">
      <c r="A409" s="4">
        <v>437.0</v>
      </c>
      <c r="B409" s="13" t="s">
        <v>1341</v>
      </c>
      <c r="C409" s="8">
        <v>0.0</v>
      </c>
    </row>
    <row r="410">
      <c r="A410" s="4">
        <v>438.0</v>
      </c>
      <c r="B410" s="13" t="s">
        <v>1343</v>
      </c>
      <c r="C410" s="8">
        <v>0.0</v>
      </c>
    </row>
    <row r="411">
      <c r="A411" s="4">
        <v>439.0</v>
      </c>
      <c r="B411" s="13" t="s">
        <v>1346</v>
      </c>
      <c r="C411" s="8">
        <v>0.0</v>
      </c>
    </row>
    <row r="412">
      <c r="A412" s="43">
        <v>440.0</v>
      </c>
      <c r="B412" s="6" t="s">
        <v>1349</v>
      </c>
      <c r="C412" s="51">
        <v>3.0</v>
      </c>
    </row>
    <row r="413">
      <c r="A413" s="43">
        <v>441.0</v>
      </c>
      <c r="B413" s="13" t="s">
        <v>1352</v>
      </c>
      <c r="C413" s="8">
        <v>0.0</v>
      </c>
    </row>
    <row r="414">
      <c r="A414" s="4">
        <v>442.0</v>
      </c>
      <c r="B414" s="6" t="s">
        <v>1355</v>
      </c>
      <c r="C414" s="20">
        <v>1.0</v>
      </c>
    </row>
    <row r="415">
      <c r="A415" s="43">
        <v>443.0</v>
      </c>
      <c r="B415" s="6" t="s">
        <v>1357</v>
      </c>
      <c r="C415" s="20">
        <v>35.0</v>
      </c>
    </row>
    <row r="416">
      <c r="A416" s="43">
        <v>444.0</v>
      </c>
      <c r="B416" s="49" t="s">
        <v>1360</v>
      </c>
      <c r="C416" s="20">
        <v>1.0</v>
      </c>
    </row>
    <row r="417">
      <c r="A417" s="4">
        <v>445.0</v>
      </c>
      <c r="B417" s="13" t="s">
        <v>785</v>
      </c>
      <c r="C417" s="51">
        <v>4.0</v>
      </c>
    </row>
    <row r="418">
      <c r="A418" s="4">
        <v>446.0</v>
      </c>
      <c r="B418" s="6" t="s">
        <v>1365</v>
      </c>
      <c r="C418" s="8">
        <v>0.0</v>
      </c>
    </row>
    <row r="419">
      <c r="A419" s="4">
        <v>447.0</v>
      </c>
      <c r="B419" s="6" t="s">
        <v>1368</v>
      </c>
      <c r="C419" s="51" t="s">
        <v>1370</v>
      </c>
    </row>
    <row r="420">
      <c r="A420" s="4">
        <v>448.0</v>
      </c>
      <c r="B420" s="13" t="s">
        <v>1372</v>
      </c>
      <c r="C420" s="8">
        <v>0.0</v>
      </c>
    </row>
    <row r="421">
      <c r="A421" s="4">
        <v>449.0</v>
      </c>
      <c r="B421" s="6" t="s">
        <v>1376</v>
      </c>
      <c r="C421" s="8">
        <v>0.0</v>
      </c>
    </row>
    <row r="422">
      <c r="A422" s="4">
        <v>450.0</v>
      </c>
      <c r="B422" s="13" t="s">
        <v>1377</v>
      </c>
      <c r="C422" s="8">
        <v>0.0</v>
      </c>
    </row>
    <row r="423">
      <c r="A423" s="4">
        <v>451.0</v>
      </c>
      <c r="B423" s="13" t="s">
        <v>1378</v>
      </c>
      <c r="C423" s="20">
        <v>4.0</v>
      </c>
    </row>
    <row r="424">
      <c r="A424" s="4">
        <v>452.0</v>
      </c>
      <c r="B424" s="13" t="s">
        <v>1379</v>
      </c>
      <c r="C424" s="51">
        <v>4.0</v>
      </c>
    </row>
    <row r="425">
      <c r="A425" s="4">
        <v>453.0</v>
      </c>
      <c r="B425" s="13" t="s">
        <v>1382</v>
      </c>
      <c r="C425" s="8">
        <v>0.0</v>
      </c>
    </row>
    <row r="426">
      <c r="A426" s="4">
        <v>454.0</v>
      </c>
      <c r="B426" s="13" t="s">
        <v>1385</v>
      </c>
      <c r="C426" s="51">
        <v>1.0</v>
      </c>
    </row>
    <row r="427">
      <c r="A427" s="43">
        <v>455.0</v>
      </c>
      <c r="B427" s="6" t="s">
        <v>1388</v>
      </c>
      <c r="C427" s="8">
        <v>0.0</v>
      </c>
    </row>
    <row r="428">
      <c r="A428" s="43">
        <v>456.0</v>
      </c>
      <c r="B428" s="6" t="s">
        <v>1392</v>
      </c>
      <c r="C428" s="8">
        <v>0.0</v>
      </c>
    </row>
    <row r="429">
      <c r="A429" s="43">
        <v>457.0</v>
      </c>
      <c r="B429" s="6" t="s">
        <v>1395</v>
      </c>
      <c r="C429" s="8">
        <v>0.0</v>
      </c>
    </row>
    <row r="430">
      <c r="A430" s="4">
        <v>458.0</v>
      </c>
      <c r="B430" s="6" t="s">
        <v>1398</v>
      </c>
      <c r="C430" s="8">
        <v>0.0</v>
      </c>
    </row>
    <row r="431">
      <c r="A431" s="4">
        <v>459.0</v>
      </c>
      <c r="B431" s="6" t="s">
        <v>1400</v>
      </c>
      <c r="C431" s="8">
        <v>0.0</v>
      </c>
    </row>
    <row r="432">
      <c r="A432" s="4">
        <v>460.0</v>
      </c>
      <c r="B432" s="6" t="s">
        <v>1404</v>
      </c>
      <c r="C432" s="51">
        <v>1.0</v>
      </c>
    </row>
    <row r="433">
      <c r="A433" s="4">
        <v>461.0</v>
      </c>
      <c r="B433" s="13" t="s">
        <v>1407</v>
      </c>
      <c r="C433" s="8">
        <v>0.0</v>
      </c>
    </row>
    <row r="434">
      <c r="A434" s="4">
        <v>462.0</v>
      </c>
      <c r="B434" s="13" t="s">
        <v>1410</v>
      </c>
      <c r="C434" s="8">
        <v>0.0</v>
      </c>
    </row>
    <row r="435">
      <c r="A435" s="4">
        <v>463.0</v>
      </c>
      <c r="B435" s="13" t="s">
        <v>1413</v>
      </c>
      <c r="C435" s="20">
        <v>1.0</v>
      </c>
    </row>
    <row r="436">
      <c r="A436" s="43">
        <v>464.0</v>
      </c>
      <c r="B436" s="6" t="s">
        <v>1416</v>
      </c>
      <c r="C436" s="51">
        <v>3.0</v>
      </c>
    </row>
    <row r="437">
      <c r="A437" s="4">
        <v>465.0</v>
      </c>
      <c r="B437" s="13" t="s">
        <v>1419</v>
      </c>
      <c r="C437" s="8">
        <v>0.0</v>
      </c>
    </row>
    <row r="438">
      <c r="A438" s="4">
        <v>466.0</v>
      </c>
      <c r="B438" s="6" t="s">
        <v>1422</v>
      </c>
      <c r="C438" s="8">
        <v>0.0</v>
      </c>
    </row>
    <row r="439">
      <c r="A439" s="4">
        <v>467.0</v>
      </c>
      <c r="B439" s="13" t="s">
        <v>1425</v>
      </c>
      <c r="C439" s="51">
        <v>13.0</v>
      </c>
    </row>
    <row r="440">
      <c r="A440" s="4">
        <v>468.0</v>
      </c>
      <c r="B440" s="13" t="s">
        <v>1428</v>
      </c>
      <c r="C440" s="8">
        <v>0.0</v>
      </c>
    </row>
    <row r="441">
      <c r="A441" s="4">
        <v>469.0</v>
      </c>
      <c r="B441" s="13" t="s">
        <v>1431</v>
      </c>
      <c r="C441" s="8">
        <v>0.0</v>
      </c>
    </row>
    <row r="442">
      <c r="A442" s="4">
        <v>470.0</v>
      </c>
      <c r="B442" s="6" t="s">
        <v>1435</v>
      </c>
      <c r="C442" s="51">
        <v>1.0</v>
      </c>
    </row>
    <row r="443">
      <c r="A443" s="4">
        <v>471.0</v>
      </c>
      <c r="B443" s="13" t="s">
        <v>1438</v>
      </c>
      <c r="C443" s="8">
        <v>0.0</v>
      </c>
    </row>
    <row r="444">
      <c r="A444" s="4">
        <v>472.0</v>
      </c>
      <c r="B444" s="6" t="s">
        <v>1441</v>
      </c>
      <c r="C444" s="8">
        <v>0.0</v>
      </c>
    </row>
    <row r="445">
      <c r="A445" s="4">
        <v>473.0</v>
      </c>
      <c r="B445" s="6" t="s">
        <v>1443</v>
      </c>
      <c r="C445" s="8">
        <v>0.0</v>
      </c>
    </row>
    <row r="446">
      <c r="A446" s="4">
        <v>474.0</v>
      </c>
      <c r="B446" s="13" t="s">
        <v>407</v>
      </c>
      <c r="C446" s="20">
        <v>3.0</v>
      </c>
    </row>
    <row r="447">
      <c r="A447" s="4">
        <v>475.0</v>
      </c>
      <c r="B447" s="13" t="s">
        <v>1449</v>
      </c>
      <c r="C447" s="20">
        <v>12.0</v>
      </c>
    </row>
    <row r="448">
      <c r="A448" s="4">
        <v>476.0</v>
      </c>
      <c r="B448" s="13" t="s">
        <v>1452</v>
      </c>
      <c r="C448" s="51">
        <v>9.0</v>
      </c>
    </row>
    <row r="449">
      <c r="A449" s="4">
        <v>477.0</v>
      </c>
      <c r="B449" s="13" t="s">
        <v>1455</v>
      </c>
      <c r="C449" s="8">
        <v>0.0</v>
      </c>
    </row>
    <row r="450">
      <c r="A450" s="43">
        <v>478.0</v>
      </c>
      <c r="B450" s="6" t="s">
        <v>1458</v>
      </c>
      <c r="C450" s="51">
        <v>1.0</v>
      </c>
    </row>
    <row r="451">
      <c r="A451" s="4">
        <v>479.0</v>
      </c>
      <c r="B451" s="13" t="s">
        <v>1462</v>
      </c>
      <c r="C451" s="8">
        <v>0.0</v>
      </c>
    </row>
    <row r="452">
      <c r="A452" s="4">
        <v>480.0</v>
      </c>
      <c r="B452" s="13" t="s">
        <v>1465</v>
      </c>
      <c r="C452" s="8">
        <v>0.0</v>
      </c>
    </row>
    <row r="453">
      <c r="A453" s="4">
        <v>481.0</v>
      </c>
      <c r="B453" s="13" t="s">
        <v>1468</v>
      </c>
      <c r="C453" s="20">
        <v>5.0</v>
      </c>
    </row>
    <row r="454">
      <c r="A454" s="4">
        <v>482.0</v>
      </c>
      <c r="B454" s="13" t="s">
        <v>1472</v>
      </c>
      <c r="C454" s="20">
        <v>2.0</v>
      </c>
    </row>
    <row r="455">
      <c r="A455" s="4">
        <v>483.0</v>
      </c>
      <c r="B455" s="13" t="s">
        <v>1475</v>
      </c>
      <c r="C455" s="20">
        <v>3.0</v>
      </c>
    </row>
    <row r="456">
      <c r="A456" s="4">
        <v>484.0</v>
      </c>
      <c r="B456" s="13" t="s">
        <v>1478</v>
      </c>
      <c r="C456" s="51">
        <v>2.0</v>
      </c>
    </row>
    <row r="457">
      <c r="A457" s="4">
        <v>485.0</v>
      </c>
      <c r="B457" s="13" t="s">
        <v>1481</v>
      </c>
      <c r="C457" s="8">
        <v>0.0</v>
      </c>
    </row>
    <row r="458">
      <c r="A458" s="4">
        <v>486.0</v>
      </c>
      <c r="B458" s="13" t="s">
        <v>1485</v>
      </c>
      <c r="C458" s="51">
        <v>1.0</v>
      </c>
    </row>
    <row r="459">
      <c r="A459" s="4">
        <v>487.0</v>
      </c>
      <c r="B459" s="13" t="s">
        <v>1488</v>
      </c>
      <c r="C459" s="8">
        <v>0.0</v>
      </c>
    </row>
    <row r="460">
      <c r="A460" s="4">
        <v>488.0</v>
      </c>
      <c r="B460" s="13" t="s">
        <v>1491</v>
      </c>
      <c r="C460" s="8">
        <v>0.0</v>
      </c>
    </row>
    <row r="461">
      <c r="A461" s="4">
        <v>489.0</v>
      </c>
      <c r="B461" s="13" t="s">
        <v>1494</v>
      </c>
      <c r="C461" s="8">
        <v>0.0</v>
      </c>
    </row>
    <row r="462">
      <c r="A462" s="4">
        <v>490.0</v>
      </c>
      <c r="B462" s="52" t="s">
        <v>1497</v>
      </c>
      <c r="C462" s="51">
        <v>3.0</v>
      </c>
    </row>
    <row r="463">
      <c r="A463" s="4">
        <v>491.0</v>
      </c>
      <c r="B463" s="52" t="s">
        <v>1504</v>
      </c>
      <c r="C463" s="8">
        <v>0.0</v>
      </c>
    </row>
    <row r="464">
      <c r="A464" s="43">
        <v>492.0</v>
      </c>
      <c r="B464" s="52" t="s">
        <v>1508</v>
      </c>
      <c r="C464" s="51">
        <v>1.0</v>
      </c>
    </row>
    <row r="465">
      <c r="A465" s="4">
        <v>493.0</v>
      </c>
      <c r="B465" s="13" t="s">
        <v>1511</v>
      </c>
      <c r="C465" s="8">
        <v>0.0</v>
      </c>
    </row>
    <row r="466">
      <c r="A466" s="4">
        <v>494.0</v>
      </c>
      <c r="B466" s="13" t="s">
        <v>1513</v>
      </c>
      <c r="C466" s="20">
        <v>1.0</v>
      </c>
    </row>
    <row r="467">
      <c r="A467" s="4">
        <v>495.0</v>
      </c>
      <c r="B467" s="13" t="s">
        <v>1517</v>
      </c>
      <c r="C467" s="51">
        <v>1.0</v>
      </c>
    </row>
    <row r="468">
      <c r="A468" s="4">
        <v>496.0</v>
      </c>
      <c r="B468" s="53" t="s">
        <v>1521</v>
      </c>
      <c r="C468" s="8">
        <v>0.0</v>
      </c>
    </row>
    <row r="469">
      <c r="A469" s="4">
        <v>497.0</v>
      </c>
      <c r="B469" s="13" t="s">
        <v>1527</v>
      </c>
      <c r="C469" s="20">
        <v>16.0</v>
      </c>
    </row>
    <row r="470">
      <c r="A470" s="4">
        <v>498.0</v>
      </c>
      <c r="B470" s="13" t="s">
        <v>1531</v>
      </c>
      <c r="C470" s="20">
        <v>2.0</v>
      </c>
    </row>
    <row r="471">
      <c r="A471" s="4">
        <v>499.0</v>
      </c>
      <c r="B471" s="13" t="s">
        <v>1533</v>
      </c>
      <c r="C471" s="20">
        <v>2.0</v>
      </c>
    </row>
    <row r="472">
      <c r="A472" s="4">
        <v>500.0</v>
      </c>
      <c r="B472" s="13" t="s">
        <v>1535</v>
      </c>
      <c r="C472" s="20">
        <v>4.0</v>
      </c>
    </row>
    <row r="473">
      <c r="A473" s="4">
        <v>501.0</v>
      </c>
      <c r="B473" s="13" t="s">
        <v>1539</v>
      </c>
      <c r="C473" s="51">
        <v>3.0</v>
      </c>
    </row>
    <row r="474">
      <c r="A474" s="4">
        <v>502.0</v>
      </c>
      <c r="B474" s="13" t="s">
        <v>1546</v>
      </c>
      <c r="C474" s="8">
        <v>0.0</v>
      </c>
    </row>
    <row r="475">
      <c r="A475" s="4">
        <v>503.0</v>
      </c>
      <c r="B475" s="13" t="s">
        <v>1550</v>
      </c>
      <c r="C475" s="8">
        <v>0.0</v>
      </c>
    </row>
    <row r="476">
      <c r="A476" s="4">
        <v>504.0</v>
      </c>
      <c r="B476" s="52" t="s">
        <v>1553</v>
      </c>
      <c r="C476" s="8">
        <v>0.0</v>
      </c>
    </row>
    <row r="477">
      <c r="A477" s="4">
        <v>505.0</v>
      </c>
      <c r="B477" s="52" t="s">
        <v>1556</v>
      </c>
      <c r="C477" s="8">
        <v>0.0</v>
      </c>
    </row>
    <row r="478">
      <c r="A478" s="54">
        <v>506.0</v>
      </c>
      <c r="B478" s="54" t="s">
        <v>1566</v>
      </c>
      <c r="C478" s="8">
        <v>0.0</v>
      </c>
    </row>
    <row r="479">
      <c r="A479" s="55"/>
      <c r="B479" s="55"/>
      <c r="C479" s="55"/>
    </row>
    <row r="480">
      <c r="A480" s="55"/>
      <c r="B480" s="55"/>
      <c r="C480" s="55"/>
    </row>
    <row r="481">
      <c r="A481" s="55"/>
      <c r="B481" s="55"/>
      <c r="C481" s="55"/>
    </row>
    <row r="482">
      <c r="A482" s="55"/>
      <c r="B482" s="55"/>
      <c r="C482" s="55"/>
    </row>
    <row r="483">
      <c r="A483" s="55"/>
      <c r="B483" s="55"/>
      <c r="C483" s="55"/>
    </row>
    <row r="484">
      <c r="A484" s="55"/>
      <c r="B484" s="55"/>
      <c r="C484" s="55"/>
    </row>
    <row r="485">
      <c r="A485" s="55"/>
      <c r="B485" s="55"/>
      <c r="C485" s="55"/>
    </row>
    <row r="486">
      <c r="A486" s="55"/>
      <c r="B486" s="55"/>
      <c r="C486" s="55"/>
    </row>
    <row r="487">
      <c r="A487" s="55"/>
      <c r="B487" s="55"/>
      <c r="C487" s="55"/>
    </row>
    <row r="488">
      <c r="A488" s="55"/>
      <c r="B488" s="55"/>
      <c r="C488" s="55"/>
    </row>
    <row r="489">
      <c r="A489" s="55"/>
      <c r="B489" s="55"/>
      <c r="C489" s="55"/>
    </row>
    <row r="490">
      <c r="A490" s="55"/>
      <c r="B490" s="55"/>
      <c r="C490" s="55"/>
    </row>
    <row r="491">
      <c r="A491" s="55"/>
      <c r="B491" s="55"/>
      <c r="C491" s="55"/>
    </row>
    <row r="492">
      <c r="A492" s="55"/>
      <c r="B492" s="55"/>
      <c r="C492" s="55"/>
    </row>
    <row r="493">
      <c r="A493" s="55"/>
      <c r="B493" s="55"/>
      <c r="C493" s="55"/>
    </row>
    <row r="494">
      <c r="A494" s="55"/>
      <c r="B494" s="55"/>
      <c r="C494" s="55"/>
    </row>
    <row r="495">
      <c r="A495" s="55"/>
      <c r="B495" s="55"/>
      <c r="C495" s="55"/>
    </row>
    <row r="496">
      <c r="A496" s="55"/>
      <c r="B496" s="55"/>
      <c r="C496" s="55"/>
    </row>
    <row r="497">
      <c r="A497" s="55"/>
      <c r="B497" s="55"/>
      <c r="C497" s="55"/>
    </row>
    <row r="498">
      <c r="A498" s="55"/>
      <c r="B498" s="55"/>
      <c r="C498" s="55"/>
    </row>
    <row r="499">
      <c r="A499" s="55"/>
      <c r="B499" s="55"/>
      <c r="C499" s="55"/>
    </row>
    <row r="500">
      <c r="A500" s="55"/>
      <c r="B500" s="55"/>
      <c r="C500" s="55"/>
    </row>
    <row r="501">
      <c r="A501" s="55"/>
      <c r="B501" s="55"/>
      <c r="C501" s="55"/>
    </row>
    <row r="502">
      <c r="A502" s="55"/>
      <c r="B502" s="55"/>
      <c r="C502" s="55"/>
    </row>
    <row r="503">
      <c r="A503" s="55"/>
      <c r="B503" s="55"/>
      <c r="C503" s="55"/>
    </row>
    <row r="504">
      <c r="A504" s="55"/>
      <c r="B504" s="55"/>
      <c r="C504" s="55"/>
    </row>
    <row r="505">
      <c r="A505" s="55"/>
      <c r="B505" s="55"/>
      <c r="C505" s="55"/>
    </row>
    <row r="506">
      <c r="A506" s="55"/>
      <c r="B506" s="55"/>
      <c r="C506" s="55"/>
    </row>
    <row r="507">
      <c r="A507" s="55"/>
      <c r="B507" s="55"/>
      <c r="C507" s="55"/>
    </row>
    <row r="508">
      <c r="A508" s="55"/>
      <c r="B508" s="55"/>
      <c r="C508" s="55"/>
    </row>
    <row r="509">
      <c r="A509" s="55"/>
      <c r="B509" s="55"/>
      <c r="C509" s="55"/>
    </row>
    <row r="510">
      <c r="A510" s="55"/>
      <c r="B510" s="55"/>
      <c r="C510" s="55"/>
    </row>
    <row r="511">
      <c r="A511" s="55"/>
      <c r="B511" s="55"/>
      <c r="C511" s="55"/>
    </row>
    <row r="512">
      <c r="A512" s="55"/>
      <c r="B512" s="55"/>
      <c r="C512" s="55"/>
    </row>
    <row r="513">
      <c r="A513" s="55"/>
      <c r="B513" s="55"/>
      <c r="C513" s="55"/>
    </row>
    <row r="514">
      <c r="A514" s="55"/>
      <c r="B514" s="55"/>
      <c r="C514" s="55"/>
    </row>
    <row r="515">
      <c r="A515" s="55"/>
      <c r="B515" s="55"/>
      <c r="C515" s="55"/>
    </row>
    <row r="516">
      <c r="A516" s="55"/>
      <c r="B516" s="55"/>
      <c r="C516" s="55"/>
    </row>
    <row r="517">
      <c r="A517" s="55"/>
      <c r="B517" s="55"/>
      <c r="C517" s="55"/>
    </row>
    <row r="518">
      <c r="A518" s="55"/>
      <c r="B518" s="55"/>
      <c r="C518" s="55"/>
    </row>
    <row r="519">
      <c r="A519" s="55"/>
      <c r="B519" s="55"/>
      <c r="C519" s="55"/>
    </row>
    <row r="520">
      <c r="A520" s="55"/>
      <c r="B520" s="55"/>
      <c r="C520" s="55"/>
    </row>
    <row r="521">
      <c r="A521" s="55"/>
      <c r="B521" s="55"/>
      <c r="C521" s="55"/>
    </row>
    <row r="522">
      <c r="A522" s="55"/>
      <c r="B522" s="55"/>
      <c r="C522" s="55"/>
    </row>
    <row r="523">
      <c r="A523" s="55"/>
      <c r="B523" s="55"/>
      <c r="C523" s="55"/>
    </row>
    <row r="524">
      <c r="A524" s="55"/>
      <c r="B524" s="55"/>
      <c r="C524" s="55"/>
    </row>
    <row r="525">
      <c r="A525" s="55"/>
      <c r="B525" s="55"/>
      <c r="C525" s="55"/>
    </row>
    <row r="526">
      <c r="A526" s="55"/>
      <c r="B526" s="55"/>
      <c r="C526" s="55"/>
    </row>
    <row r="527">
      <c r="A527" s="55"/>
      <c r="B527" s="55"/>
      <c r="C527" s="55"/>
    </row>
    <row r="528">
      <c r="A528" s="55"/>
      <c r="B528" s="55"/>
      <c r="C528" s="55"/>
    </row>
    <row r="529">
      <c r="A529" s="55"/>
      <c r="B529" s="55"/>
      <c r="C529" s="55"/>
    </row>
    <row r="530">
      <c r="A530" s="55"/>
      <c r="B530" s="55"/>
      <c r="C530" s="55"/>
    </row>
    <row r="531">
      <c r="A531" s="55"/>
      <c r="B531" s="55"/>
      <c r="C531" s="55"/>
    </row>
    <row r="532">
      <c r="A532" s="55"/>
      <c r="B532" s="55"/>
      <c r="C532" s="55"/>
    </row>
    <row r="533">
      <c r="A533" s="55"/>
      <c r="B533" s="55"/>
      <c r="C533" s="55"/>
    </row>
    <row r="534">
      <c r="A534" s="55"/>
      <c r="B534" s="55"/>
      <c r="C534" s="55"/>
    </row>
    <row r="535">
      <c r="A535" s="55"/>
      <c r="B535" s="55"/>
      <c r="C535" s="55"/>
    </row>
    <row r="536">
      <c r="A536" s="55"/>
      <c r="B536" s="55"/>
      <c r="C536" s="55"/>
    </row>
    <row r="537">
      <c r="A537" s="55"/>
      <c r="B537" s="55"/>
      <c r="C537" s="55"/>
    </row>
    <row r="538">
      <c r="A538" s="55"/>
      <c r="B538" s="55"/>
      <c r="C538" s="55"/>
    </row>
    <row r="539">
      <c r="A539" s="55"/>
      <c r="B539" s="55"/>
      <c r="C539" s="55"/>
    </row>
    <row r="540">
      <c r="A540" s="55"/>
      <c r="B540" s="55"/>
      <c r="C540" s="55"/>
    </row>
    <row r="541">
      <c r="A541" s="55"/>
      <c r="B541" s="55"/>
      <c r="C541" s="55"/>
    </row>
    <row r="542">
      <c r="A542" s="55"/>
      <c r="B542" s="55"/>
      <c r="C542" s="55"/>
    </row>
    <row r="543">
      <c r="A543" s="55"/>
      <c r="B543" s="55"/>
      <c r="C543" s="55"/>
    </row>
    <row r="544">
      <c r="A544" s="55"/>
      <c r="B544" s="55"/>
      <c r="C544" s="55"/>
    </row>
    <row r="545">
      <c r="A545" s="55"/>
      <c r="B545" s="55"/>
      <c r="C545" s="55"/>
    </row>
    <row r="546">
      <c r="A546" s="55"/>
      <c r="B546" s="55"/>
      <c r="C546" s="55"/>
    </row>
    <row r="547">
      <c r="A547" s="55"/>
      <c r="B547" s="55"/>
      <c r="C547" s="55"/>
    </row>
    <row r="548">
      <c r="A548" s="55"/>
      <c r="B548" s="55"/>
      <c r="C548" s="55"/>
    </row>
    <row r="549">
      <c r="A549" s="55"/>
      <c r="B549" s="55"/>
      <c r="C549" s="55"/>
    </row>
    <row r="550">
      <c r="A550" s="55"/>
      <c r="B550" s="55"/>
      <c r="C550" s="55"/>
    </row>
    <row r="551">
      <c r="A551" s="55"/>
      <c r="B551" s="55"/>
      <c r="C551" s="55"/>
    </row>
    <row r="552">
      <c r="A552" s="55"/>
      <c r="B552" s="55"/>
      <c r="C552" s="55"/>
    </row>
    <row r="553">
      <c r="A553" s="55"/>
      <c r="B553" s="55"/>
      <c r="C553" s="55"/>
    </row>
    <row r="554">
      <c r="A554" s="55"/>
      <c r="B554" s="55"/>
      <c r="C554" s="55"/>
    </row>
    <row r="555">
      <c r="A555" s="55"/>
      <c r="B555" s="55"/>
      <c r="C555" s="55"/>
    </row>
    <row r="556">
      <c r="A556" s="55"/>
      <c r="B556" s="55"/>
      <c r="C556" s="55"/>
    </row>
    <row r="557">
      <c r="A557" s="55"/>
      <c r="B557" s="55"/>
      <c r="C557" s="55"/>
    </row>
    <row r="558">
      <c r="A558" s="55"/>
      <c r="B558" s="55"/>
      <c r="C558" s="55"/>
    </row>
    <row r="559">
      <c r="A559" s="55"/>
      <c r="B559" s="55"/>
      <c r="C559" s="55"/>
    </row>
    <row r="560">
      <c r="A560" s="55"/>
      <c r="B560" s="55"/>
      <c r="C560" s="55"/>
    </row>
    <row r="561">
      <c r="A561" s="55"/>
      <c r="B561" s="55"/>
      <c r="C561" s="55"/>
    </row>
    <row r="562">
      <c r="A562" s="55"/>
      <c r="B562" s="55"/>
      <c r="C562" s="55"/>
    </row>
    <row r="563">
      <c r="A563" s="55"/>
      <c r="B563" s="55"/>
      <c r="C563" s="55"/>
    </row>
    <row r="564">
      <c r="A564" s="55"/>
      <c r="B564" s="55"/>
      <c r="C564" s="55"/>
    </row>
    <row r="565">
      <c r="A565" s="55"/>
      <c r="B565" s="55"/>
      <c r="C565" s="55"/>
    </row>
    <row r="566">
      <c r="A566" s="55"/>
      <c r="B566" s="55"/>
      <c r="C566" s="55"/>
    </row>
    <row r="567">
      <c r="A567" s="55"/>
      <c r="B567" s="55"/>
      <c r="C567" s="55"/>
    </row>
    <row r="568">
      <c r="A568" s="55"/>
      <c r="B568" s="55"/>
      <c r="C568" s="55"/>
    </row>
    <row r="569">
      <c r="A569" s="55"/>
      <c r="B569" s="55"/>
      <c r="C569" s="55"/>
    </row>
    <row r="570">
      <c r="A570" s="55"/>
      <c r="B570" s="55"/>
      <c r="C570" s="55"/>
    </row>
    <row r="571">
      <c r="A571" s="55"/>
      <c r="B571" s="55"/>
      <c r="C571" s="55"/>
    </row>
    <row r="572">
      <c r="A572" s="55"/>
      <c r="B572" s="55"/>
      <c r="C572" s="55"/>
    </row>
    <row r="573">
      <c r="A573" s="55"/>
      <c r="B573" s="55"/>
      <c r="C573" s="55"/>
    </row>
    <row r="574">
      <c r="A574" s="55"/>
      <c r="B574" s="55"/>
      <c r="C574" s="55"/>
    </row>
    <row r="575">
      <c r="A575" s="55"/>
      <c r="B575" s="55"/>
      <c r="C575" s="55"/>
    </row>
    <row r="576">
      <c r="A576" s="55"/>
      <c r="B576" s="55"/>
      <c r="C576" s="55"/>
    </row>
    <row r="577">
      <c r="A577" s="55"/>
      <c r="B577" s="55"/>
      <c r="C577" s="55"/>
    </row>
    <row r="578">
      <c r="A578" s="55"/>
      <c r="B578" s="55"/>
      <c r="C578" s="55"/>
    </row>
    <row r="579">
      <c r="A579" s="55"/>
      <c r="B579" s="55"/>
      <c r="C579" s="55"/>
    </row>
    <row r="580">
      <c r="A580" s="55"/>
      <c r="B580" s="55"/>
      <c r="C580" s="55"/>
    </row>
    <row r="581">
      <c r="A581" s="55"/>
      <c r="B581" s="55"/>
      <c r="C581" s="55"/>
    </row>
    <row r="582">
      <c r="A582" s="55"/>
      <c r="B582" s="55"/>
      <c r="C582" s="55"/>
    </row>
    <row r="583">
      <c r="A583" s="55"/>
      <c r="B583" s="55"/>
      <c r="C583" s="55"/>
    </row>
    <row r="584">
      <c r="A584" s="55"/>
      <c r="B584" s="55"/>
      <c r="C584" s="55"/>
    </row>
    <row r="585">
      <c r="A585" s="55"/>
      <c r="B585" s="55"/>
      <c r="C585" s="55"/>
    </row>
    <row r="586">
      <c r="A586" s="55"/>
      <c r="B586" s="55"/>
      <c r="C586" s="55"/>
    </row>
    <row r="587">
      <c r="A587" s="55"/>
      <c r="B587" s="55"/>
      <c r="C587" s="55"/>
    </row>
    <row r="588">
      <c r="A588" s="55"/>
      <c r="B588" s="55"/>
      <c r="C588" s="55"/>
    </row>
    <row r="589">
      <c r="A589" s="55"/>
      <c r="B589" s="55"/>
      <c r="C589" s="55"/>
    </row>
    <row r="590">
      <c r="A590" s="55"/>
      <c r="B590" s="55"/>
      <c r="C590" s="55"/>
    </row>
    <row r="591">
      <c r="A591" s="55"/>
      <c r="B591" s="55"/>
      <c r="C591" s="55"/>
    </row>
    <row r="592">
      <c r="A592" s="55"/>
      <c r="B592" s="55"/>
      <c r="C592" s="55"/>
    </row>
    <row r="593">
      <c r="A593" s="55"/>
      <c r="B593" s="55"/>
      <c r="C593" s="55"/>
    </row>
    <row r="594">
      <c r="A594" s="55"/>
      <c r="B594" s="55"/>
      <c r="C594" s="55"/>
    </row>
    <row r="595">
      <c r="A595" s="55"/>
      <c r="B595" s="55"/>
      <c r="C595" s="55"/>
    </row>
    <row r="596">
      <c r="A596" s="55"/>
      <c r="B596" s="55"/>
      <c r="C596" s="55"/>
    </row>
    <row r="597">
      <c r="A597" s="55"/>
      <c r="B597" s="55"/>
      <c r="C597" s="55"/>
    </row>
    <row r="598">
      <c r="A598" s="55"/>
      <c r="B598" s="55"/>
      <c r="C598" s="55"/>
    </row>
    <row r="599">
      <c r="A599" s="55"/>
      <c r="B599" s="55"/>
      <c r="C599" s="55"/>
    </row>
    <row r="600">
      <c r="A600" s="55"/>
      <c r="B600" s="55"/>
      <c r="C600" s="55"/>
    </row>
    <row r="601">
      <c r="A601" s="55"/>
      <c r="B601" s="55"/>
      <c r="C601" s="55"/>
    </row>
    <row r="602">
      <c r="A602" s="55"/>
      <c r="B602" s="55"/>
      <c r="C602" s="55"/>
    </row>
    <row r="603">
      <c r="A603" s="55"/>
      <c r="B603" s="55"/>
      <c r="C603" s="55"/>
    </row>
    <row r="604">
      <c r="A604" s="55"/>
      <c r="B604" s="55"/>
      <c r="C604" s="55"/>
    </row>
    <row r="605">
      <c r="A605" s="55"/>
      <c r="B605" s="55"/>
      <c r="C605" s="55"/>
    </row>
    <row r="606">
      <c r="A606" s="55"/>
      <c r="B606" s="55"/>
      <c r="C606" s="55"/>
    </row>
    <row r="607">
      <c r="A607" s="55"/>
      <c r="B607" s="55"/>
      <c r="C607" s="55"/>
    </row>
    <row r="608">
      <c r="A608" s="55"/>
      <c r="B608" s="55"/>
      <c r="C608" s="55"/>
    </row>
    <row r="609">
      <c r="A609" s="55"/>
      <c r="B609" s="55"/>
      <c r="C609" s="55"/>
    </row>
    <row r="610">
      <c r="A610" s="55"/>
      <c r="B610" s="55"/>
      <c r="C610" s="55"/>
    </row>
    <row r="611">
      <c r="A611" s="55"/>
      <c r="B611" s="55"/>
      <c r="C611" s="55"/>
    </row>
    <row r="612">
      <c r="A612" s="55"/>
      <c r="B612" s="55"/>
      <c r="C612" s="55"/>
    </row>
    <row r="613">
      <c r="A613" s="55"/>
      <c r="B613" s="55"/>
      <c r="C613" s="55"/>
    </row>
    <row r="614">
      <c r="A614" s="55"/>
      <c r="B614" s="55"/>
      <c r="C614" s="55"/>
    </row>
    <row r="615">
      <c r="A615" s="55"/>
      <c r="B615" s="55"/>
      <c r="C615" s="55"/>
    </row>
    <row r="616">
      <c r="A616" s="55"/>
      <c r="B616" s="55"/>
      <c r="C616" s="55"/>
    </row>
    <row r="617">
      <c r="A617" s="55"/>
      <c r="B617" s="55"/>
      <c r="C617" s="55"/>
    </row>
    <row r="618">
      <c r="A618" s="55"/>
      <c r="B618" s="55"/>
      <c r="C618" s="55"/>
    </row>
    <row r="619">
      <c r="A619" s="55"/>
      <c r="B619" s="55"/>
      <c r="C619" s="55"/>
    </row>
    <row r="620">
      <c r="A620" s="55"/>
      <c r="B620" s="55"/>
      <c r="C620" s="55"/>
    </row>
    <row r="621">
      <c r="A621" s="55"/>
      <c r="B621" s="55"/>
      <c r="C621" s="55"/>
    </row>
    <row r="622">
      <c r="A622" s="55"/>
      <c r="B622" s="55"/>
      <c r="C622" s="55"/>
    </row>
    <row r="623">
      <c r="A623" s="55"/>
      <c r="B623" s="55"/>
      <c r="C623" s="55"/>
    </row>
    <row r="624">
      <c r="A624" s="55"/>
      <c r="B624" s="55"/>
      <c r="C624" s="55"/>
    </row>
    <row r="625">
      <c r="A625" s="55"/>
      <c r="B625" s="55"/>
      <c r="C625" s="55"/>
    </row>
    <row r="626">
      <c r="A626" s="55"/>
      <c r="B626" s="55"/>
      <c r="C626" s="55"/>
    </row>
    <row r="627">
      <c r="A627" s="55"/>
      <c r="B627" s="55"/>
      <c r="C627" s="55"/>
    </row>
    <row r="628">
      <c r="A628" s="55"/>
      <c r="B628" s="55"/>
      <c r="C628" s="55"/>
    </row>
    <row r="629">
      <c r="A629" s="55"/>
      <c r="B629" s="55"/>
      <c r="C629" s="55"/>
    </row>
    <row r="630">
      <c r="A630" s="55"/>
      <c r="B630" s="55"/>
      <c r="C630" s="55"/>
    </row>
    <row r="631">
      <c r="A631" s="55"/>
      <c r="B631" s="55"/>
      <c r="C631" s="55"/>
    </row>
    <row r="632">
      <c r="A632" s="55"/>
      <c r="B632" s="55"/>
      <c r="C632" s="55"/>
    </row>
    <row r="633">
      <c r="A633" s="55"/>
      <c r="B633" s="55"/>
      <c r="C633" s="55"/>
    </row>
    <row r="634">
      <c r="A634" s="55"/>
      <c r="B634" s="55"/>
      <c r="C634" s="55"/>
    </row>
    <row r="635">
      <c r="A635" s="55"/>
      <c r="B635" s="55"/>
      <c r="C635" s="55"/>
    </row>
    <row r="636">
      <c r="A636" s="55"/>
      <c r="B636" s="55"/>
      <c r="C636" s="55"/>
    </row>
    <row r="637">
      <c r="A637" s="55"/>
      <c r="B637" s="55"/>
      <c r="C637" s="55"/>
    </row>
    <row r="638">
      <c r="A638" s="55"/>
      <c r="B638" s="55"/>
      <c r="C638" s="55"/>
    </row>
    <row r="639">
      <c r="A639" s="55"/>
      <c r="B639" s="55"/>
      <c r="C639" s="55"/>
    </row>
    <row r="640">
      <c r="A640" s="55"/>
      <c r="B640" s="55"/>
      <c r="C640" s="55"/>
    </row>
    <row r="641">
      <c r="A641" s="55"/>
      <c r="B641" s="55"/>
      <c r="C641" s="55"/>
    </row>
    <row r="642">
      <c r="A642" s="55"/>
      <c r="B642" s="55"/>
      <c r="C642" s="55"/>
    </row>
    <row r="643">
      <c r="A643" s="55"/>
      <c r="B643" s="55"/>
      <c r="C643" s="55"/>
    </row>
    <row r="644">
      <c r="A644" s="55"/>
      <c r="B644" s="55"/>
      <c r="C644" s="55"/>
    </row>
    <row r="645">
      <c r="A645" s="55"/>
      <c r="B645" s="55"/>
      <c r="C645" s="55"/>
    </row>
    <row r="646">
      <c r="A646" s="55"/>
      <c r="B646" s="55"/>
      <c r="C646" s="55"/>
    </row>
    <row r="647">
      <c r="A647" s="55"/>
      <c r="B647" s="55"/>
      <c r="C647" s="55"/>
    </row>
    <row r="648">
      <c r="A648" s="55"/>
      <c r="B648" s="55"/>
      <c r="C648" s="55"/>
    </row>
    <row r="649">
      <c r="A649" s="55"/>
      <c r="B649" s="55"/>
      <c r="C649" s="55"/>
    </row>
    <row r="650">
      <c r="A650" s="55"/>
      <c r="B650" s="55"/>
      <c r="C650" s="55"/>
    </row>
    <row r="651">
      <c r="A651" s="55"/>
      <c r="B651" s="55"/>
      <c r="C651" s="55"/>
    </row>
    <row r="652">
      <c r="A652" s="55"/>
      <c r="B652" s="55"/>
      <c r="C652" s="55"/>
    </row>
    <row r="653">
      <c r="A653" s="55"/>
      <c r="B653" s="55"/>
      <c r="C653" s="55"/>
    </row>
    <row r="654">
      <c r="A654" s="55"/>
      <c r="B654" s="55"/>
      <c r="C654" s="55"/>
    </row>
    <row r="655">
      <c r="A655" s="55"/>
      <c r="B655" s="55"/>
      <c r="C655" s="55"/>
    </row>
    <row r="656">
      <c r="A656" s="55"/>
      <c r="B656" s="55"/>
      <c r="C656" s="55"/>
    </row>
    <row r="657">
      <c r="A657" s="55"/>
      <c r="B657" s="55"/>
      <c r="C657" s="55"/>
    </row>
    <row r="658">
      <c r="A658" s="55"/>
      <c r="B658" s="55"/>
      <c r="C658" s="55"/>
    </row>
    <row r="659">
      <c r="A659" s="55"/>
      <c r="B659" s="55"/>
      <c r="C659" s="55"/>
    </row>
    <row r="660">
      <c r="A660" s="55"/>
      <c r="B660" s="55"/>
      <c r="C660" s="55"/>
    </row>
    <row r="661">
      <c r="A661" s="55"/>
      <c r="B661" s="55"/>
      <c r="C661" s="55"/>
    </row>
    <row r="662">
      <c r="A662" s="55"/>
      <c r="B662" s="55"/>
      <c r="C662" s="55"/>
    </row>
    <row r="663">
      <c r="A663" s="55"/>
      <c r="B663" s="55"/>
      <c r="C663" s="55"/>
    </row>
    <row r="664">
      <c r="A664" s="55"/>
      <c r="B664" s="55"/>
      <c r="C664" s="55"/>
    </row>
    <row r="665">
      <c r="A665" s="55"/>
      <c r="B665" s="55"/>
      <c r="C665" s="55"/>
    </row>
    <row r="666">
      <c r="A666" s="55"/>
      <c r="B666" s="55"/>
      <c r="C666" s="55"/>
    </row>
    <row r="667">
      <c r="A667" s="55"/>
      <c r="B667" s="55"/>
      <c r="C667" s="55"/>
    </row>
    <row r="668">
      <c r="A668" s="55"/>
      <c r="B668" s="55"/>
      <c r="C668" s="55"/>
    </row>
    <row r="669">
      <c r="A669" s="55"/>
      <c r="B669" s="55"/>
      <c r="C669" s="55"/>
    </row>
    <row r="670">
      <c r="A670" s="55"/>
      <c r="B670" s="55"/>
      <c r="C670" s="55"/>
    </row>
    <row r="671">
      <c r="A671" s="55"/>
      <c r="B671" s="55"/>
      <c r="C671" s="55"/>
    </row>
    <row r="672">
      <c r="A672" s="55"/>
      <c r="B672" s="55"/>
      <c r="C672" s="55"/>
    </row>
    <row r="673">
      <c r="A673" s="55"/>
      <c r="B673" s="55"/>
      <c r="C673" s="55"/>
    </row>
    <row r="674">
      <c r="A674" s="55"/>
      <c r="B674" s="55"/>
      <c r="C674" s="55"/>
    </row>
    <row r="675">
      <c r="A675" s="55"/>
      <c r="B675" s="55"/>
      <c r="C675" s="55"/>
    </row>
    <row r="676">
      <c r="A676" s="55"/>
      <c r="B676" s="55"/>
      <c r="C676" s="55"/>
    </row>
    <row r="677">
      <c r="A677" s="55"/>
      <c r="B677" s="55"/>
      <c r="C677" s="55"/>
    </row>
    <row r="678">
      <c r="A678" s="55"/>
      <c r="B678" s="55"/>
      <c r="C678" s="55"/>
    </row>
    <row r="679">
      <c r="A679" s="55"/>
      <c r="B679" s="55"/>
      <c r="C679" s="55"/>
    </row>
    <row r="680">
      <c r="A680" s="55"/>
      <c r="B680" s="55"/>
      <c r="C680" s="55"/>
    </row>
    <row r="681">
      <c r="A681" s="55"/>
      <c r="B681" s="55"/>
      <c r="C681" s="55"/>
    </row>
    <row r="682">
      <c r="A682" s="55"/>
      <c r="B682" s="55"/>
      <c r="C682" s="55"/>
    </row>
    <row r="683">
      <c r="A683" s="55"/>
      <c r="B683" s="55"/>
      <c r="C683" s="55"/>
    </row>
    <row r="684">
      <c r="A684" s="55"/>
      <c r="B684" s="55"/>
      <c r="C684" s="55"/>
    </row>
    <row r="685">
      <c r="A685" s="55"/>
      <c r="B685" s="55"/>
      <c r="C685" s="55"/>
    </row>
    <row r="686">
      <c r="A686" s="55"/>
      <c r="B686" s="55"/>
      <c r="C686" s="55"/>
    </row>
    <row r="687">
      <c r="A687" s="55"/>
      <c r="B687" s="55"/>
      <c r="C687" s="55"/>
    </row>
    <row r="688">
      <c r="A688" s="55"/>
      <c r="B688" s="55"/>
      <c r="C688" s="55"/>
    </row>
    <row r="689">
      <c r="A689" s="55"/>
      <c r="B689" s="55"/>
      <c r="C689" s="55"/>
    </row>
    <row r="690">
      <c r="A690" s="55"/>
      <c r="B690" s="55"/>
      <c r="C690" s="55"/>
    </row>
    <row r="691">
      <c r="A691" s="55"/>
      <c r="B691" s="55"/>
      <c r="C691" s="55"/>
    </row>
    <row r="692">
      <c r="A692" s="55"/>
      <c r="B692" s="55"/>
      <c r="C692" s="55"/>
    </row>
    <row r="693">
      <c r="A693" s="55"/>
      <c r="B693" s="55"/>
      <c r="C693" s="55"/>
    </row>
    <row r="694">
      <c r="A694" s="55"/>
      <c r="B694" s="55"/>
      <c r="C694" s="55"/>
    </row>
    <row r="695">
      <c r="A695" s="55"/>
      <c r="B695" s="55"/>
      <c r="C695" s="55"/>
    </row>
    <row r="696">
      <c r="A696" s="55"/>
      <c r="B696" s="55"/>
      <c r="C696" s="55"/>
    </row>
    <row r="697">
      <c r="A697" s="55"/>
      <c r="B697" s="55"/>
      <c r="C697" s="55"/>
    </row>
    <row r="698">
      <c r="A698" s="55"/>
      <c r="B698" s="55"/>
      <c r="C698" s="55"/>
    </row>
    <row r="699">
      <c r="A699" s="55"/>
      <c r="B699" s="55"/>
      <c r="C699" s="55"/>
    </row>
    <row r="700">
      <c r="A700" s="55"/>
      <c r="B700" s="55"/>
      <c r="C700" s="55"/>
    </row>
    <row r="701">
      <c r="A701" s="55"/>
      <c r="B701" s="55"/>
      <c r="C701" s="55"/>
    </row>
    <row r="702">
      <c r="A702" s="55"/>
      <c r="B702" s="55"/>
      <c r="C702" s="55"/>
    </row>
    <row r="703">
      <c r="A703" s="55"/>
      <c r="B703" s="55"/>
      <c r="C703" s="55"/>
    </row>
    <row r="704">
      <c r="A704" s="55"/>
      <c r="B704" s="55"/>
      <c r="C704" s="55"/>
    </row>
    <row r="705">
      <c r="A705" s="55"/>
      <c r="B705" s="55"/>
      <c r="C705" s="55"/>
    </row>
    <row r="706">
      <c r="A706" s="55"/>
      <c r="B706" s="55"/>
      <c r="C706" s="55"/>
    </row>
    <row r="707">
      <c r="A707" s="55"/>
      <c r="B707" s="55"/>
      <c r="C707" s="55"/>
    </row>
    <row r="708">
      <c r="A708" s="55"/>
      <c r="B708" s="55"/>
      <c r="C708" s="55"/>
    </row>
    <row r="709">
      <c r="A709" s="55"/>
      <c r="B709" s="55"/>
      <c r="C709" s="55"/>
    </row>
    <row r="710">
      <c r="A710" s="55"/>
      <c r="B710" s="55"/>
      <c r="C710" s="55"/>
    </row>
    <row r="711">
      <c r="A711" s="55"/>
      <c r="B711" s="55"/>
      <c r="C711" s="55"/>
    </row>
    <row r="712">
      <c r="A712" s="55"/>
      <c r="B712" s="55"/>
      <c r="C712" s="55"/>
    </row>
    <row r="713">
      <c r="A713" s="55"/>
      <c r="B713" s="55"/>
      <c r="C713" s="55"/>
    </row>
    <row r="714">
      <c r="A714" s="55"/>
      <c r="B714" s="55"/>
      <c r="C714" s="55"/>
    </row>
    <row r="715">
      <c r="A715" s="55"/>
      <c r="B715" s="55"/>
      <c r="C715" s="55"/>
    </row>
    <row r="716">
      <c r="A716" s="55"/>
      <c r="B716" s="55"/>
      <c r="C716" s="55"/>
    </row>
    <row r="717">
      <c r="A717" s="55"/>
      <c r="B717" s="55"/>
      <c r="C717" s="55"/>
    </row>
    <row r="718">
      <c r="A718" s="55"/>
      <c r="B718" s="55"/>
      <c r="C718" s="55"/>
    </row>
    <row r="719">
      <c r="A719" s="55"/>
      <c r="B719" s="55"/>
      <c r="C719" s="55"/>
    </row>
    <row r="720">
      <c r="A720" s="55"/>
      <c r="B720" s="55"/>
      <c r="C720" s="55"/>
    </row>
    <row r="721">
      <c r="A721" s="55"/>
      <c r="B721" s="55"/>
      <c r="C721" s="55"/>
    </row>
    <row r="722">
      <c r="A722" s="55"/>
      <c r="B722" s="55"/>
      <c r="C722" s="55"/>
    </row>
    <row r="723">
      <c r="A723" s="55"/>
      <c r="B723" s="55"/>
      <c r="C723" s="55"/>
    </row>
    <row r="724">
      <c r="A724" s="55"/>
      <c r="B724" s="55"/>
      <c r="C724" s="55"/>
    </row>
    <row r="725">
      <c r="A725" s="55"/>
      <c r="B725" s="55"/>
      <c r="C725" s="55"/>
    </row>
    <row r="726">
      <c r="A726" s="55"/>
      <c r="B726" s="55"/>
      <c r="C726" s="55"/>
    </row>
    <row r="727">
      <c r="A727" s="55"/>
      <c r="B727" s="55"/>
      <c r="C727" s="55"/>
    </row>
    <row r="728">
      <c r="A728" s="55"/>
      <c r="B728" s="55"/>
      <c r="C728" s="55"/>
    </row>
    <row r="729">
      <c r="A729" s="55"/>
      <c r="B729" s="55"/>
      <c r="C729" s="55"/>
    </row>
    <row r="730">
      <c r="A730" s="55"/>
      <c r="B730" s="55"/>
      <c r="C730" s="55"/>
    </row>
    <row r="731">
      <c r="A731" s="55"/>
      <c r="B731" s="55"/>
      <c r="C731" s="55"/>
    </row>
    <row r="732">
      <c r="A732" s="55"/>
      <c r="B732" s="55"/>
      <c r="C732" s="55"/>
    </row>
    <row r="733">
      <c r="A733" s="55"/>
      <c r="B733" s="55"/>
      <c r="C733" s="55"/>
    </row>
    <row r="734">
      <c r="A734" s="55"/>
      <c r="B734" s="55"/>
      <c r="C734" s="55"/>
    </row>
    <row r="735">
      <c r="A735" s="55"/>
      <c r="B735" s="55"/>
      <c r="C735" s="55"/>
    </row>
    <row r="736">
      <c r="A736" s="55"/>
      <c r="B736" s="55"/>
      <c r="C736" s="55"/>
    </row>
    <row r="737">
      <c r="A737" s="55"/>
      <c r="B737" s="55"/>
      <c r="C737" s="55"/>
    </row>
    <row r="738">
      <c r="A738" s="55"/>
      <c r="B738" s="55"/>
      <c r="C738" s="55"/>
    </row>
    <row r="739">
      <c r="A739" s="55"/>
      <c r="B739" s="55"/>
      <c r="C739" s="55"/>
    </row>
    <row r="740">
      <c r="A740" s="55"/>
      <c r="B740" s="55"/>
      <c r="C740" s="55"/>
    </row>
    <row r="741">
      <c r="A741" s="55"/>
      <c r="B741" s="55"/>
      <c r="C741" s="55"/>
    </row>
    <row r="742">
      <c r="A742" s="55"/>
      <c r="B742" s="55"/>
      <c r="C742" s="55"/>
    </row>
    <row r="743">
      <c r="A743" s="55"/>
      <c r="B743" s="55"/>
      <c r="C743" s="55"/>
    </row>
    <row r="744">
      <c r="A744" s="55"/>
      <c r="B744" s="55"/>
      <c r="C744" s="55"/>
    </row>
    <row r="745">
      <c r="A745" s="55"/>
      <c r="B745" s="55"/>
      <c r="C745" s="55"/>
    </row>
    <row r="746">
      <c r="A746" s="55"/>
      <c r="B746" s="55"/>
      <c r="C746" s="55"/>
    </row>
    <row r="747">
      <c r="A747" s="55"/>
      <c r="B747" s="55"/>
      <c r="C747" s="55"/>
    </row>
    <row r="748">
      <c r="A748" s="55"/>
      <c r="B748" s="55"/>
      <c r="C748" s="55"/>
    </row>
    <row r="749">
      <c r="A749" s="55"/>
      <c r="B749" s="55"/>
      <c r="C749" s="55"/>
    </row>
    <row r="750">
      <c r="A750" s="55"/>
      <c r="B750" s="55"/>
      <c r="C750" s="55"/>
    </row>
    <row r="751">
      <c r="A751" s="55"/>
      <c r="B751" s="55"/>
      <c r="C751" s="55"/>
    </row>
    <row r="752">
      <c r="A752" s="55"/>
      <c r="B752" s="55"/>
      <c r="C752" s="55"/>
    </row>
    <row r="753">
      <c r="A753" s="55"/>
      <c r="B753" s="55"/>
      <c r="C753" s="55"/>
    </row>
    <row r="754">
      <c r="A754" s="55"/>
      <c r="B754" s="55"/>
      <c r="C754" s="55"/>
    </row>
    <row r="755">
      <c r="A755" s="55"/>
      <c r="B755" s="55"/>
      <c r="C755" s="55"/>
    </row>
    <row r="756">
      <c r="A756" s="55"/>
      <c r="B756" s="55"/>
      <c r="C756" s="55"/>
    </row>
    <row r="757">
      <c r="A757" s="55"/>
      <c r="B757" s="55"/>
      <c r="C757" s="55"/>
    </row>
    <row r="758">
      <c r="A758" s="55"/>
      <c r="B758" s="55"/>
      <c r="C758" s="55"/>
    </row>
    <row r="759">
      <c r="A759" s="55"/>
      <c r="B759" s="55"/>
      <c r="C759" s="55"/>
    </row>
    <row r="760">
      <c r="A760" s="55"/>
      <c r="B760" s="55"/>
      <c r="C760" s="55"/>
    </row>
    <row r="761">
      <c r="A761" s="55"/>
      <c r="B761" s="55"/>
      <c r="C761" s="55"/>
    </row>
    <row r="762">
      <c r="A762" s="55"/>
      <c r="B762" s="55"/>
      <c r="C762" s="55"/>
    </row>
    <row r="763">
      <c r="A763" s="55"/>
      <c r="B763" s="55"/>
      <c r="C763" s="55"/>
    </row>
    <row r="764">
      <c r="A764" s="55"/>
      <c r="B764" s="55"/>
      <c r="C764" s="55"/>
    </row>
    <row r="765">
      <c r="A765" s="55"/>
      <c r="B765" s="55"/>
      <c r="C765" s="55"/>
    </row>
    <row r="766">
      <c r="A766" s="55"/>
      <c r="B766" s="55"/>
      <c r="C766" s="55"/>
    </row>
    <row r="767">
      <c r="A767" s="55"/>
      <c r="B767" s="55"/>
      <c r="C767" s="55"/>
    </row>
    <row r="768">
      <c r="A768" s="55"/>
      <c r="B768" s="55"/>
      <c r="C768" s="55"/>
    </row>
    <row r="769">
      <c r="A769" s="55"/>
      <c r="B769" s="55"/>
      <c r="C769" s="55"/>
    </row>
    <row r="770">
      <c r="A770" s="55"/>
      <c r="B770" s="55"/>
      <c r="C770" s="55"/>
    </row>
    <row r="771">
      <c r="A771" s="55"/>
      <c r="B771" s="55"/>
      <c r="C771" s="55"/>
    </row>
    <row r="772">
      <c r="A772" s="55"/>
      <c r="B772" s="55"/>
      <c r="C772" s="55"/>
    </row>
    <row r="773">
      <c r="A773" s="55"/>
      <c r="B773" s="55"/>
      <c r="C773" s="55"/>
    </row>
    <row r="774">
      <c r="A774" s="55"/>
      <c r="B774" s="55"/>
      <c r="C774" s="55"/>
    </row>
    <row r="775">
      <c r="A775" s="55"/>
      <c r="B775" s="55"/>
      <c r="C775" s="55"/>
    </row>
    <row r="776">
      <c r="A776" s="55"/>
      <c r="B776" s="55"/>
      <c r="C776" s="55"/>
    </row>
    <row r="777">
      <c r="A777" s="55"/>
      <c r="B777" s="55"/>
      <c r="C777" s="55"/>
    </row>
    <row r="778">
      <c r="A778" s="55"/>
      <c r="B778" s="55"/>
      <c r="C778" s="55"/>
    </row>
    <row r="779">
      <c r="A779" s="55"/>
      <c r="B779" s="55"/>
      <c r="C779" s="55"/>
    </row>
    <row r="780">
      <c r="A780" s="55"/>
      <c r="B780" s="55"/>
      <c r="C780" s="55"/>
    </row>
    <row r="781">
      <c r="A781" s="55"/>
      <c r="B781" s="55"/>
      <c r="C781" s="55"/>
    </row>
    <row r="782">
      <c r="A782" s="55"/>
      <c r="B782" s="55"/>
      <c r="C782" s="55"/>
    </row>
    <row r="783">
      <c r="A783" s="55"/>
      <c r="B783" s="55"/>
      <c r="C783" s="55"/>
    </row>
    <row r="784">
      <c r="A784" s="55"/>
      <c r="B784" s="55"/>
      <c r="C784" s="55"/>
    </row>
    <row r="785">
      <c r="A785" s="55"/>
      <c r="B785" s="55"/>
      <c r="C785" s="55"/>
    </row>
    <row r="786">
      <c r="A786" s="55"/>
      <c r="B786" s="55"/>
      <c r="C786" s="55"/>
    </row>
    <row r="787">
      <c r="A787" s="55"/>
      <c r="B787" s="55"/>
      <c r="C787" s="55"/>
    </row>
    <row r="788">
      <c r="A788" s="55"/>
      <c r="B788" s="55"/>
      <c r="C788" s="55"/>
    </row>
    <row r="789">
      <c r="A789" s="55"/>
      <c r="B789" s="55"/>
      <c r="C789" s="55"/>
    </row>
    <row r="790">
      <c r="A790" s="55"/>
      <c r="B790" s="55"/>
      <c r="C790" s="55"/>
    </row>
    <row r="791">
      <c r="A791" s="55"/>
      <c r="B791" s="55"/>
      <c r="C791" s="55"/>
    </row>
    <row r="792">
      <c r="A792" s="55"/>
      <c r="B792" s="55"/>
      <c r="C792" s="55"/>
    </row>
    <row r="793">
      <c r="A793" s="55"/>
      <c r="B793" s="55"/>
      <c r="C793" s="55"/>
    </row>
    <row r="794">
      <c r="A794" s="55"/>
      <c r="B794" s="55"/>
      <c r="C794" s="55"/>
    </row>
    <row r="795">
      <c r="A795" s="55"/>
      <c r="B795" s="55"/>
      <c r="C795" s="55"/>
    </row>
    <row r="796">
      <c r="A796" s="55"/>
      <c r="B796" s="55"/>
      <c r="C796" s="55"/>
    </row>
    <row r="797">
      <c r="A797" s="55"/>
      <c r="B797" s="55"/>
      <c r="C797" s="55"/>
    </row>
    <row r="798">
      <c r="A798" s="55"/>
      <c r="B798" s="55"/>
      <c r="C798" s="55"/>
    </row>
    <row r="799">
      <c r="A799" s="55"/>
      <c r="B799" s="55"/>
      <c r="C799" s="55"/>
    </row>
    <row r="800">
      <c r="A800" s="55"/>
      <c r="B800" s="55"/>
      <c r="C800" s="55"/>
    </row>
    <row r="801">
      <c r="A801" s="55"/>
      <c r="B801" s="55"/>
      <c r="C801" s="55"/>
    </row>
    <row r="802">
      <c r="A802" s="55"/>
      <c r="B802" s="55"/>
      <c r="C802" s="55"/>
    </row>
    <row r="803">
      <c r="A803" s="55"/>
      <c r="B803" s="55"/>
      <c r="C803" s="55"/>
    </row>
    <row r="804">
      <c r="A804" s="55"/>
      <c r="B804" s="55"/>
      <c r="C804" s="55"/>
    </row>
    <row r="805">
      <c r="A805" s="55"/>
      <c r="B805" s="55"/>
      <c r="C805" s="55"/>
    </row>
    <row r="806">
      <c r="A806" s="55"/>
      <c r="B806" s="55"/>
      <c r="C806" s="55"/>
    </row>
    <row r="807">
      <c r="A807" s="55"/>
      <c r="B807" s="55"/>
      <c r="C807" s="55"/>
    </row>
    <row r="808">
      <c r="A808" s="55"/>
      <c r="B808" s="55"/>
      <c r="C808" s="55"/>
    </row>
    <row r="809">
      <c r="A809" s="55"/>
      <c r="B809" s="55"/>
      <c r="C809" s="55"/>
    </row>
    <row r="810">
      <c r="A810" s="55"/>
      <c r="B810" s="55"/>
      <c r="C810" s="55"/>
    </row>
    <row r="811">
      <c r="A811" s="55"/>
      <c r="B811" s="55"/>
      <c r="C811" s="55"/>
    </row>
    <row r="812">
      <c r="A812" s="55"/>
      <c r="B812" s="55"/>
      <c r="C812" s="55"/>
    </row>
    <row r="813">
      <c r="A813" s="55"/>
      <c r="B813" s="55"/>
      <c r="C813" s="55"/>
    </row>
    <row r="814">
      <c r="A814" s="55"/>
      <c r="B814" s="55"/>
      <c r="C814" s="55"/>
    </row>
    <row r="815">
      <c r="A815" s="55"/>
      <c r="B815" s="55"/>
      <c r="C815" s="55"/>
    </row>
    <row r="816">
      <c r="A816" s="55"/>
      <c r="B816" s="55"/>
      <c r="C816" s="55"/>
    </row>
    <row r="817">
      <c r="A817" s="55"/>
      <c r="B817" s="55"/>
      <c r="C817" s="55"/>
    </row>
    <row r="818">
      <c r="A818" s="55"/>
      <c r="B818" s="55"/>
      <c r="C818" s="55"/>
    </row>
    <row r="819">
      <c r="A819" s="55"/>
      <c r="B819" s="55"/>
      <c r="C819" s="55"/>
    </row>
    <row r="820">
      <c r="A820" s="55"/>
      <c r="B820" s="55"/>
      <c r="C820" s="55"/>
    </row>
    <row r="821">
      <c r="A821" s="55"/>
      <c r="B821" s="55"/>
      <c r="C821" s="55"/>
    </row>
    <row r="822">
      <c r="A822" s="55"/>
      <c r="B822" s="55"/>
      <c r="C822" s="55"/>
    </row>
    <row r="823">
      <c r="A823" s="55"/>
      <c r="B823" s="55"/>
      <c r="C823" s="55"/>
    </row>
    <row r="824">
      <c r="A824" s="55"/>
      <c r="B824" s="55"/>
      <c r="C824" s="55"/>
    </row>
    <row r="825">
      <c r="A825" s="55"/>
      <c r="B825" s="55"/>
      <c r="C825" s="55"/>
    </row>
    <row r="826">
      <c r="A826" s="55"/>
      <c r="B826" s="55"/>
      <c r="C826" s="55"/>
    </row>
    <row r="827">
      <c r="A827" s="55"/>
      <c r="B827" s="55"/>
      <c r="C827" s="55"/>
    </row>
    <row r="828">
      <c r="A828" s="55"/>
      <c r="B828" s="55"/>
      <c r="C828" s="55"/>
    </row>
    <row r="829">
      <c r="A829" s="55"/>
      <c r="B829" s="55"/>
      <c r="C829" s="55"/>
    </row>
    <row r="830">
      <c r="A830" s="55"/>
      <c r="B830" s="55"/>
      <c r="C830" s="55"/>
    </row>
    <row r="831">
      <c r="A831" s="55"/>
      <c r="B831" s="55"/>
      <c r="C831" s="55"/>
    </row>
    <row r="832">
      <c r="A832" s="55"/>
      <c r="B832" s="55"/>
      <c r="C832" s="55"/>
    </row>
    <row r="833">
      <c r="A833" s="55"/>
      <c r="B833" s="55"/>
      <c r="C833" s="55"/>
    </row>
    <row r="834">
      <c r="A834" s="55"/>
      <c r="B834" s="55"/>
      <c r="C834" s="55"/>
    </row>
    <row r="835">
      <c r="A835" s="55"/>
      <c r="B835" s="55"/>
      <c r="C835" s="55"/>
    </row>
    <row r="836">
      <c r="A836" s="55"/>
      <c r="B836" s="55"/>
      <c r="C836" s="55"/>
    </row>
    <row r="837">
      <c r="A837" s="55"/>
      <c r="B837" s="55"/>
      <c r="C837" s="55"/>
    </row>
    <row r="838">
      <c r="A838" s="55"/>
      <c r="B838" s="55"/>
      <c r="C838" s="55"/>
    </row>
    <row r="839">
      <c r="A839" s="55"/>
      <c r="B839" s="55"/>
      <c r="C839" s="55"/>
    </row>
    <row r="840">
      <c r="A840" s="55"/>
      <c r="B840" s="55"/>
      <c r="C840" s="55"/>
    </row>
    <row r="841">
      <c r="A841" s="55"/>
      <c r="B841" s="55"/>
      <c r="C841" s="55"/>
    </row>
    <row r="842">
      <c r="A842" s="55"/>
      <c r="B842" s="55"/>
      <c r="C842" s="55"/>
    </row>
    <row r="843">
      <c r="A843" s="55"/>
      <c r="B843" s="55"/>
      <c r="C843" s="55"/>
    </row>
    <row r="844">
      <c r="A844" s="55"/>
      <c r="B844" s="55"/>
      <c r="C844" s="55"/>
    </row>
    <row r="845">
      <c r="A845" s="55"/>
      <c r="B845" s="55"/>
      <c r="C845" s="55"/>
    </row>
    <row r="846">
      <c r="A846" s="55"/>
      <c r="B846" s="55"/>
      <c r="C846" s="55"/>
    </row>
    <row r="847">
      <c r="A847" s="55"/>
      <c r="B847" s="55"/>
      <c r="C847" s="55"/>
    </row>
    <row r="848">
      <c r="A848" s="55"/>
      <c r="B848" s="55"/>
      <c r="C848" s="55"/>
    </row>
    <row r="849">
      <c r="A849" s="55"/>
      <c r="B849" s="55"/>
      <c r="C849" s="55"/>
    </row>
    <row r="850">
      <c r="A850" s="55"/>
      <c r="B850" s="55"/>
      <c r="C850" s="55"/>
    </row>
    <row r="851">
      <c r="A851" s="55"/>
      <c r="B851" s="55"/>
      <c r="C851" s="55"/>
    </row>
    <row r="852">
      <c r="A852" s="55"/>
      <c r="B852" s="55"/>
      <c r="C852" s="55"/>
    </row>
    <row r="853">
      <c r="A853" s="55"/>
      <c r="B853" s="55"/>
      <c r="C853" s="55"/>
    </row>
    <row r="854">
      <c r="A854" s="55"/>
      <c r="B854" s="55"/>
      <c r="C854" s="55"/>
    </row>
    <row r="855">
      <c r="A855" s="55"/>
      <c r="B855" s="55"/>
      <c r="C855" s="55"/>
    </row>
    <row r="856">
      <c r="A856" s="55"/>
      <c r="B856" s="55"/>
      <c r="C856" s="55"/>
    </row>
    <row r="857">
      <c r="A857" s="55"/>
      <c r="B857" s="55"/>
      <c r="C857" s="55"/>
    </row>
    <row r="858">
      <c r="A858" s="55"/>
      <c r="B858" s="55"/>
      <c r="C858" s="55"/>
    </row>
    <row r="859">
      <c r="A859" s="55"/>
      <c r="B859" s="55"/>
      <c r="C859" s="55"/>
    </row>
    <row r="860">
      <c r="A860" s="55"/>
      <c r="B860" s="55"/>
      <c r="C860" s="55"/>
    </row>
    <row r="861">
      <c r="A861" s="55"/>
      <c r="B861" s="55"/>
      <c r="C861" s="55"/>
    </row>
    <row r="862">
      <c r="A862" s="55"/>
      <c r="B862" s="55"/>
      <c r="C862" s="55"/>
    </row>
    <row r="863">
      <c r="A863" s="55"/>
      <c r="B863" s="55"/>
      <c r="C863" s="55"/>
    </row>
    <row r="864">
      <c r="A864" s="55"/>
      <c r="B864" s="55"/>
      <c r="C864" s="55"/>
    </row>
    <row r="865">
      <c r="A865" s="55"/>
      <c r="B865" s="55"/>
      <c r="C865" s="55"/>
    </row>
    <row r="866">
      <c r="A866" s="55"/>
      <c r="B866" s="55"/>
      <c r="C866" s="55"/>
    </row>
    <row r="867">
      <c r="A867" s="55"/>
      <c r="B867" s="55"/>
      <c r="C867" s="55"/>
    </row>
    <row r="868">
      <c r="A868" s="55"/>
      <c r="B868" s="55"/>
      <c r="C868" s="55"/>
    </row>
    <row r="869">
      <c r="A869" s="55"/>
      <c r="B869" s="55"/>
      <c r="C869" s="55"/>
    </row>
    <row r="870">
      <c r="A870" s="55"/>
      <c r="B870" s="55"/>
      <c r="C870" s="55"/>
    </row>
    <row r="871">
      <c r="A871" s="55"/>
      <c r="B871" s="55"/>
      <c r="C871" s="55"/>
    </row>
    <row r="872">
      <c r="A872" s="55"/>
      <c r="B872" s="55"/>
      <c r="C872" s="55"/>
    </row>
    <row r="873">
      <c r="A873" s="55"/>
      <c r="B873" s="55"/>
      <c r="C873" s="55"/>
    </row>
    <row r="874">
      <c r="A874" s="55"/>
      <c r="B874" s="55"/>
      <c r="C874" s="55"/>
    </row>
    <row r="875">
      <c r="A875" s="55"/>
      <c r="B875" s="55"/>
      <c r="C875" s="55"/>
    </row>
    <row r="876">
      <c r="A876" s="55"/>
      <c r="B876" s="55"/>
      <c r="C876" s="55"/>
    </row>
    <row r="877">
      <c r="A877" s="55"/>
      <c r="B877" s="55"/>
      <c r="C877" s="55"/>
    </row>
    <row r="878">
      <c r="A878" s="55"/>
      <c r="B878" s="55"/>
      <c r="C878" s="55"/>
    </row>
    <row r="879">
      <c r="A879" s="55"/>
      <c r="B879" s="55"/>
      <c r="C879" s="55"/>
    </row>
    <row r="880">
      <c r="A880" s="55"/>
      <c r="B880" s="55"/>
      <c r="C880" s="55"/>
    </row>
    <row r="881">
      <c r="A881" s="55"/>
      <c r="B881" s="55"/>
      <c r="C881" s="55"/>
    </row>
    <row r="882">
      <c r="A882" s="55"/>
      <c r="B882" s="55"/>
      <c r="C882" s="55"/>
    </row>
    <row r="883">
      <c r="A883" s="55"/>
      <c r="B883" s="55"/>
      <c r="C883" s="55"/>
    </row>
    <row r="884">
      <c r="A884" s="55"/>
      <c r="B884" s="55"/>
      <c r="C884" s="55"/>
    </row>
    <row r="885">
      <c r="A885" s="55"/>
      <c r="B885" s="55"/>
      <c r="C885" s="55"/>
    </row>
    <row r="886">
      <c r="A886" s="55"/>
      <c r="B886" s="55"/>
      <c r="C886" s="55"/>
    </row>
    <row r="887">
      <c r="A887" s="55"/>
      <c r="B887" s="55"/>
      <c r="C887" s="55"/>
    </row>
    <row r="888">
      <c r="A888" s="55"/>
      <c r="B888" s="55"/>
      <c r="C888" s="55"/>
    </row>
    <row r="889">
      <c r="A889" s="55"/>
      <c r="B889" s="55"/>
      <c r="C889" s="55"/>
    </row>
    <row r="890">
      <c r="A890" s="55"/>
      <c r="B890" s="55"/>
      <c r="C890" s="55"/>
    </row>
    <row r="891">
      <c r="A891" s="55"/>
      <c r="B891" s="55"/>
      <c r="C891" s="55"/>
    </row>
    <row r="892">
      <c r="A892" s="55"/>
      <c r="B892" s="55"/>
      <c r="C892" s="55"/>
    </row>
    <row r="893">
      <c r="A893" s="55"/>
      <c r="B893" s="55"/>
      <c r="C893" s="55"/>
    </row>
    <row r="894">
      <c r="A894" s="55"/>
      <c r="B894" s="55"/>
      <c r="C894" s="55"/>
    </row>
    <row r="895">
      <c r="A895" s="55"/>
      <c r="B895" s="55"/>
      <c r="C895" s="55"/>
    </row>
    <row r="896">
      <c r="A896" s="55"/>
      <c r="B896" s="55"/>
      <c r="C896" s="55"/>
    </row>
    <row r="897">
      <c r="A897" s="55"/>
      <c r="B897" s="55"/>
      <c r="C897" s="55"/>
    </row>
    <row r="898">
      <c r="A898" s="55"/>
      <c r="B898" s="55"/>
      <c r="C898" s="55"/>
    </row>
    <row r="899">
      <c r="A899" s="55"/>
      <c r="B899" s="55"/>
      <c r="C899" s="55"/>
    </row>
    <row r="900">
      <c r="A900" s="55"/>
      <c r="B900" s="55"/>
      <c r="C900" s="55"/>
    </row>
    <row r="901">
      <c r="A901" s="55"/>
      <c r="B901" s="55"/>
      <c r="C901" s="55"/>
    </row>
    <row r="902">
      <c r="A902" s="55"/>
      <c r="B902" s="55"/>
      <c r="C902" s="55"/>
    </row>
    <row r="903">
      <c r="A903" s="55"/>
      <c r="B903" s="55"/>
      <c r="C903" s="55"/>
    </row>
    <row r="904">
      <c r="A904" s="55"/>
      <c r="B904" s="55"/>
      <c r="C904" s="55"/>
    </row>
    <row r="905">
      <c r="A905" s="55"/>
      <c r="B905" s="55"/>
      <c r="C905" s="55"/>
    </row>
    <row r="906">
      <c r="A906" s="55"/>
      <c r="B906" s="55"/>
      <c r="C906" s="55"/>
    </row>
    <row r="907">
      <c r="A907" s="55"/>
      <c r="B907" s="55"/>
      <c r="C907" s="55"/>
    </row>
    <row r="908">
      <c r="A908" s="55"/>
      <c r="B908" s="55"/>
      <c r="C908" s="55"/>
    </row>
    <row r="909">
      <c r="A909" s="55"/>
      <c r="B909" s="55"/>
      <c r="C909" s="55"/>
    </row>
    <row r="910">
      <c r="A910" s="55"/>
      <c r="B910" s="55"/>
      <c r="C910" s="55"/>
    </row>
    <row r="911">
      <c r="A911" s="55"/>
      <c r="B911" s="55"/>
      <c r="C911" s="55"/>
    </row>
    <row r="912">
      <c r="A912" s="55"/>
      <c r="B912" s="55"/>
      <c r="C912" s="55"/>
    </row>
    <row r="913">
      <c r="A913" s="55"/>
      <c r="B913" s="55"/>
      <c r="C913" s="55"/>
    </row>
    <row r="914">
      <c r="A914" s="55"/>
      <c r="B914" s="55"/>
      <c r="C914" s="55"/>
    </row>
    <row r="915">
      <c r="A915" s="55"/>
      <c r="B915" s="55"/>
      <c r="C915" s="55"/>
    </row>
    <row r="916">
      <c r="A916" s="55"/>
      <c r="B916" s="55"/>
      <c r="C916" s="55"/>
    </row>
    <row r="917">
      <c r="A917" s="55"/>
      <c r="B917" s="55"/>
      <c r="C917" s="55"/>
    </row>
    <row r="918">
      <c r="A918" s="55"/>
      <c r="B918" s="55"/>
      <c r="C918" s="55"/>
    </row>
    <row r="919">
      <c r="A919" s="55"/>
      <c r="B919" s="55"/>
      <c r="C919" s="55"/>
    </row>
    <row r="920">
      <c r="A920" s="55"/>
      <c r="B920" s="55"/>
      <c r="C920" s="55"/>
    </row>
    <row r="921">
      <c r="A921" s="55"/>
      <c r="B921" s="55"/>
      <c r="C921" s="55"/>
    </row>
    <row r="922">
      <c r="A922" s="55"/>
      <c r="B922" s="55"/>
      <c r="C922" s="55"/>
    </row>
    <row r="923">
      <c r="A923" s="55"/>
      <c r="B923" s="55"/>
      <c r="C923" s="55"/>
    </row>
    <row r="924">
      <c r="A924" s="55"/>
      <c r="B924" s="55"/>
      <c r="C924" s="55"/>
    </row>
    <row r="925">
      <c r="A925" s="55"/>
      <c r="B925" s="55"/>
      <c r="C925" s="55"/>
    </row>
    <row r="926">
      <c r="A926" s="55"/>
      <c r="B926" s="55"/>
      <c r="C926" s="55"/>
    </row>
    <row r="927">
      <c r="A927" s="55"/>
      <c r="B927" s="55"/>
      <c r="C927" s="55"/>
    </row>
    <row r="928">
      <c r="A928" s="55"/>
      <c r="B928" s="55"/>
      <c r="C928" s="55"/>
    </row>
    <row r="929">
      <c r="A929" s="55"/>
      <c r="B929" s="55"/>
      <c r="C929" s="55"/>
    </row>
    <row r="930">
      <c r="A930" s="55"/>
      <c r="B930" s="55"/>
      <c r="C930" s="55"/>
    </row>
    <row r="931">
      <c r="A931" s="55"/>
      <c r="B931" s="55"/>
      <c r="C931" s="55"/>
    </row>
    <row r="932">
      <c r="A932" s="55"/>
      <c r="B932" s="55"/>
      <c r="C932" s="55"/>
    </row>
    <row r="933">
      <c r="A933" s="55"/>
      <c r="B933" s="55"/>
      <c r="C933" s="55"/>
    </row>
    <row r="934">
      <c r="A934" s="55"/>
      <c r="B934" s="55"/>
      <c r="C934" s="55"/>
    </row>
    <row r="935">
      <c r="A935" s="55"/>
      <c r="B935" s="55"/>
      <c r="C935" s="55"/>
    </row>
    <row r="936">
      <c r="A936" s="55"/>
      <c r="B936" s="55"/>
      <c r="C936" s="55"/>
    </row>
    <row r="937">
      <c r="A937" s="55"/>
      <c r="B937" s="55"/>
      <c r="C937" s="55"/>
    </row>
    <row r="938">
      <c r="A938" s="55"/>
      <c r="B938" s="55"/>
      <c r="C938" s="55"/>
    </row>
    <row r="939">
      <c r="A939" s="55"/>
      <c r="B939" s="55"/>
      <c r="C939" s="55"/>
    </row>
    <row r="940">
      <c r="A940" s="55"/>
      <c r="B940" s="55"/>
      <c r="C940" s="55"/>
    </row>
    <row r="941">
      <c r="A941" s="55"/>
      <c r="B941" s="55"/>
      <c r="C941" s="55"/>
    </row>
    <row r="942">
      <c r="A942" s="55"/>
      <c r="B942" s="55"/>
      <c r="C942" s="55"/>
    </row>
    <row r="943">
      <c r="A943" s="55"/>
      <c r="B943" s="55"/>
      <c r="C943" s="55"/>
    </row>
    <row r="944">
      <c r="A944" s="55"/>
      <c r="B944" s="55"/>
      <c r="C944" s="55"/>
    </row>
    <row r="945">
      <c r="A945" s="55"/>
      <c r="B945" s="55"/>
      <c r="C945" s="55"/>
    </row>
    <row r="946">
      <c r="A946" s="55"/>
      <c r="B946" s="55"/>
      <c r="C946" s="55"/>
    </row>
    <row r="947">
      <c r="A947" s="55"/>
      <c r="B947" s="55"/>
      <c r="C947" s="55"/>
    </row>
    <row r="948">
      <c r="A948" s="55"/>
      <c r="B948" s="55"/>
      <c r="C948" s="55"/>
    </row>
    <row r="949">
      <c r="A949" s="55"/>
      <c r="B949" s="55"/>
      <c r="C949" s="55"/>
    </row>
    <row r="950">
      <c r="A950" s="55"/>
      <c r="B950" s="55"/>
      <c r="C950" s="55"/>
    </row>
    <row r="951">
      <c r="A951" s="55"/>
      <c r="B951" s="55"/>
      <c r="C951" s="55"/>
    </row>
    <row r="952">
      <c r="A952" s="55"/>
      <c r="B952" s="55"/>
      <c r="C952" s="55"/>
    </row>
    <row r="953">
      <c r="A953" s="55"/>
      <c r="B953" s="55"/>
      <c r="C953" s="55"/>
    </row>
    <row r="954">
      <c r="A954" s="55"/>
      <c r="B954" s="55"/>
      <c r="C954" s="55"/>
    </row>
    <row r="955">
      <c r="A955" s="55"/>
      <c r="B955" s="55"/>
      <c r="C955" s="55"/>
    </row>
    <row r="956">
      <c r="A956" s="55"/>
      <c r="B956" s="55"/>
      <c r="C956" s="55"/>
    </row>
    <row r="957">
      <c r="A957" s="55"/>
      <c r="B957" s="55"/>
      <c r="C957" s="55"/>
    </row>
    <row r="958">
      <c r="A958" s="55"/>
      <c r="B958" s="55"/>
      <c r="C958" s="55"/>
    </row>
    <row r="959">
      <c r="A959" s="55"/>
      <c r="B959" s="55"/>
      <c r="C959" s="55"/>
    </row>
    <row r="960">
      <c r="A960" s="55"/>
      <c r="B960" s="55"/>
      <c r="C960" s="55"/>
    </row>
    <row r="961">
      <c r="A961" s="55"/>
      <c r="B961" s="55"/>
      <c r="C961" s="55"/>
    </row>
    <row r="962">
      <c r="A962" s="55"/>
      <c r="B962" s="55"/>
      <c r="C962" s="55"/>
    </row>
    <row r="963">
      <c r="A963" s="55"/>
      <c r="B963" s="55"/>
      <c r="C963" s="55"/>
    </row>
    <row r="964">
      <c r="A964" s="55"/>
      <c r="B964" s="55"/>
      <c r="C964" s="55"/>
    </row>
    <row r="965">
      <c r="A965" s="55"/>
      <c r="B965" s="55"/>
      <c r="C965" s="55"/>
    </row>
    <row r="966">
      <c r="A966" s="55"/>
      <c r="B966" s="55"/>
      <c r="C966" s="55"/>
    </row>
    <row r="967">
      <c r="A967" s="55"/>
      <c r="B967" s="55"/>
      <c r="C967" s="55"/>
    </row>
    <row r="968">
      <c r="A968" s="55"/>
      <c r="B968" s="55"/>
      <c r="C968" s="55"/>
    </row>
    <row r="969">
      <c r="A969" s="55"/>
      <c r="B969" s="55"/>
      <c r="C969" s="55"/>
    </row>
    <row r="970">
      <c r="A970" s="55"/>
      <c r="B970" s="55"/>
      <c r="C970" s="55"/>
    </row>
    <row r="971">
      <c r="A971" s="55"/>
      <c r="B971" s="55"/>
      <c r="C971" s="55"/>
    </row>
    <row r="972">
      <c r="A972" s="55"/>
      <c r="B972" s="55"/>
      <c r="C972" s="55"/>
    </row>
    <row r="973">
      <c r="A973" s="55"/>
      <c r="B973" s="55"/>
      <c r="C973" s="55"/>
    </row>
    <row r="974">
      <c r="A974" s="55"/>
      <c r="B974" s="55"/>
      <c r="C974" s="55"/>
    </row>
    <row r="975">
      <c r="A975" s="55"/>
      <c r="B975" s="55"/>
      <c r="C975" s="55"/>
    </row>
    <row r="976">
      <c r="A976" s="55"/>
      <c r="B976" s="55"/>
      <c r="C976" s="55"/>
    </row>
    <row r="977">
      <c r="A977" s="55"/>
      <c r="B977" s="55"/>
      <c r="C977" s="55"/>
    </row>
    <row r="978">
      <c r="A978" s="55"/>
      <c r="B978" s="55"/>
      <c r="C978" s="55"/>
    </row>
    <row r="979">
      <c r="A979" s="55"/>
      <c r="B979" s="55"/>
      <c r="C979" s="55"/>
    </row>
    <row r="980">
      <c r="A980" s="55"/>
      <c r="B980" s="55"/>
      <c r="C980" s="55"/>
    </row>
    <row r="981">
      <c r="A981" s="55"/>
      <c r="B981" s="55"/>
      <c r="C981" s="55"/>
    </row>
    <row r="982">
      <c r="A982" s="55"/>
      <c r="B982" s="55"/>
      <c r="C982" s="55"/>
    </row>
    <row r="983">
      <c r="A983" s="55"/>
      <c r="B983" s="55"/>
      <c r="C983" s="55"/>
    </row>
    <row r="984">
      <c r="A984" s="55"/>
      <c r="B984" s="55"/>
      <c r="C984" s="55"/>
    </row>
    <row r="985">
      <c r="A985" s="55"/>
      <c r="B985" s="55"/>
      <c r="C985" s="55"/>
    </row>
    <row r="986">
      <c r="A986" s="55"/>
      <c r="B986" s="55"/>
      <c r="C986" s="55"/>
    </row>
    <row r="987">
      <c r="A987" s="55"/>
      <c r="B987" s="55"/>
      <c r="C987" s="55"/>
    </row>
    <row r="988">
      <c r="A988" s="55"/>
      <c r="B988" s="55"/>
      <c r="C988" s="55"/>
    </row>
    <row r="989">
      <c r="A989" s="55"/>
      <c r="B989" s="55"/>
      <c r="C989" s="55"/>
    </row>
    <row r="990">
      <c r="A990" s="55"/>
      <c r="B990" s="55"/>
      <c r="C990" s="55"/>
    </row>
    <row r="991">
      <c r="A991" s="55"/>
      <c r="B991" s="55"/>
      <c r="C991" s="55"/>
    </row>
    <row r="992">
      <c r="A992" s="55"/>
      <c r="B992" s="55"/>
      <c r="C992" s="55"/>
    </row>
    <row r="993">
      <c r="A993" s="55"/>
      <c r="B993" s="55"/>
      <c r="C993" s="55"/>
    </row>
    <row r="994">
      <c r="A994" s="55"/>
      <c r="B994" s="55"/>
      <c r="C994" s="55"/>
    </row>
    <row r="995">
      <c r="A995" s="55"/>
      <c r="B995" s="55"/>
      <c r="C995" s="55"/>
    </row>
    <row r="996">
      <c r="A996" s="55"/>
      <c r="B996" s="55"/>
      <c r="C996" s="55"/>
    </row>
    <row r="997">
      <c r="A997" s="55"/>
      <c r="B997" s="55"/>
      <c r="C997" s="55"/>
    </row>
    <row r="998">
      <c r="A998" s="55"/>
      <c r="B998" s="55"/>
      <c r="C998" s="55"/>
    </row>
    <row r="999">
      <c r="A999" s="55"/>
      <c r="B999" s="55"/>
      <c r="C999" s="55"/>
    </row>
    <row r="1000">
      <c r="A1000" s="55"/>
      <c r="B1000" s="55"/>
      <c r="C1000" s="55"/>
    </row>
  </sheetData>
  <autoFilter ref="$A$1:$C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3.25"/>
    <col customWidth="1" min="3" max="3" width="31.5"/>
  </cols>
  <sheetData>
    <row r="1">
      <c r="A1" s="67" t="s">
        <v>2297</v>
      </c>
      <c r="B1" s="67" t="s">
        <v>12</v>
      </c>
      <c r="C1" s="68" t="s">
        <v>2303</v>
      </c>
      <c r="D1" s="69" t="s">
        <v>15</v>
      </c>
    </row>
    <row r="2">
      <c r="A2" s="70" t="s">
        <v>2308</v>
      </c>
      <c r="B2" s="70" t="s">
        <v>3</v>
      </c>
      <c r="C2" s="71" t="s">
        <v>2316</v>
      </c>
    </row>
    <row r="3">
      <c r="A3" s="70" t="s">
        <v>1795</v>
      </c>
      <c r="B3" s="70" t="s">
        <v>182</v>
      </c>
      <c r="C3" s="71" t="s">
        <v>2321</v>
      </c>
    </row>
    <row r="4">
      <c r="A4" s="70" t="s">
        <v>2323</v>
      </c>
      <c r="B4" s="70"/>
      <c r="C4" s="71" t="s">
        <v>2325</v>
      </c>
    </row>
    <row r="5">
      <c r="A5" s="72" t="s">
        <v>204</v>
      </c>
      <c r="B5" s="70"/>
      <c r="C5" s="71" t="s">
        <v>2329</v>
      </c>
    </row>
    <row r="6">
      <c r="A6" s="72" t="s">
        <v>2332</v>
      </c>
      <c r="B6" s="70"/>
      <c r="C6" s="71" t="s">
        <v>2333</v>
      </c>
    </row>
    <row r="7">
      <c r="A7" s="72" t="s">
        <v>1982</v>
      </c>
      <c r="B7" s="70"/>
      <c r="C7" s="71" t="s">
        <v>2336</v>
      </c>
    </row>
    <row r="8">
      <c r="A8" s="72" t="s">
        <v>2338</v>
      </c>
      <c r="B8" s="70"/>
      <c r="C8" s="71" t="s">
        <v>2339</v>
      </c>
    </row>
    <row r="9">
      <c r="A9" s="70"/>
      <c r="B9" s="70"/>
      <c r="C9" s="71" t="s">
        <v>2341</v>
      </c>
    </row>
    <row r="10">
      <c r="A10" s="70"/>
      <c r="B10" s="70"/>
      <c r="C10" s="71" t="s">
        <v>2344</v>
      </c>
    </row>
    <row r="11">
      <c r="A11" s="70"/>
      <c r="B11" s="70"/>
      <c r="C11" s="71" t="s">
        <v>2346</v>
      </c>
    </row>
    <row r="12">
      <c r="A12" s="70"/>
      <c r="B12" s="70"/>
      <c r="C12" s="71" t="s">
        <v>2348</v>
      </c>
    </row>
    <row r="13">
      <c r="A13" s="70"/>
      <c r="B13" s="70"/>
      <c r="C13" s="71" t="s">
        <v>2350</v>
      </c>
    </row>
    <row r="14">
      <c r="A14" s="70"/>
      <c r="B14" s="70"/>
      <c r="C14" s="71" t="s">
        <v>2351</v>
      </c>
    </row>
    <row r="15">
      <c r="A15" s="70"/>
      <c r="B15" s="70"/>
      <c r="C15" s="71" t="s">
        <v>2353</v>
      </c>
    </row>
    <row r="16">
      <c r="A16" s="70"/>
      <c r="B16" s="70"/>
      <c r="C16" s="71" t="s">
        <v>2356</v>
      </c>
    </row>
    <row r="17">
      <c r="A17" s="70"/>
      <c r="B17" s="70"/>
      <c r="C17" s="71" t="s">
        <v>2358</v>
      </c>
    </row>
    <row r="18">
      <c r="A18" s="70"/>
      <c r="B18" s="70"/>
      <c r="C18" s="71" t="s">
        <v>2360</v>
      </c>
    </row>
    <row r="19">
      <c r="A19" s="70"/>
      <c r="B19" s="70"/>
      <c r="C19" s="71" t="s">
        <v>2363</v>
      </c>
    </row>
    <row r="20">
      <c r="A20" s="70"/>
      <c r="B20" s="70"/>
      <c r="C20" s="71" t="s">
        <v>2365</v>
      </c>
    </row>
    <row r="21">
      <c r="A21" s="70"/>
      <c r="B21" s="70"/>
      <c r="C21" s="71" t="s">
        <v>2367</v>
      </c>
    </row>
    <row r="22">
      <c r="A22" s="70"/>
      <c r="B22" s="70"/>
      <c r="C22" s="71" t="s">
        <v>2369</v>
      </c>
    </row>
    <row r="23">
      <c r="A23" s="70"/>
      <c r="B23" s="70"/>
      <c r="C23" s="71" t="s">
        <v>2371</v>
      </c>
    </row>
    <row r="24">
      <c r="A24" s="70"/>
      <c r="B24" s="70"/>
      <c r="C24" s="72" t="s">
        <v>2373</v>
      </c>
    </row>
    <row r="25">
      <c r="A25" s="70"/>
      <c r="B25" s="70"/>
      <c r="C25" s="72" t="s">
        <v>2375</v>
      </c>
    </row>
    <row r="26">
      <c r="A26" s="70"/>
      <c r="B26" s="70"/>
      <c r="C26" s="72" t="s">
        <v>2378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</cols>
  <sheetData>
    <row r="1">
      <c r="A1" s="74" t="s">
        <v>0</v>
      </c>
      <c r="B1" s="75" t="s">
        <v>2577</v>
      </c>
    </row>
    <row r="2">
      <c r="A2" s="74">
        <v>1.0</v>
      </c>
      <c r="B2" s="75" t="s">
        <v>2308</v>
      </c>
    </row>
    <row r="3">
      <c r="A3" s="74">
        <v>2.0</v>
      </c>
      <c r="B3" s="75" t="s">
        <v>1795</v>
      </c>
    </row>
    <row r="4">
      <c r="A4" s="74">
        <v>3.0</v>
      </c>
      <c r="B4" s="75" t="s">
        <v>2323</v>
      </c>
    </row>
    <row r="5">
      <c r="A5" s="74">
        <v>4.0</v>
      </c>
      <c r="B5" s="72" t="s">
        <v>204</v>
      </c>
    </row>
    <row r="6">
      <c r="A6" s="74">
        <v>5.0</v>
      </c>
      <c r="B6" s="72" t="s">
        <v>2332</v>
      </c>
    </row>
    <row r="7">
      <c r="A7" s="74">
        <v>6.0</v>
      </c>
      <c r="B7" s="72" t="s">
        <v>1982</v>
      </c>
    </row>
    <row r="8">
      <c r="A8" s="74">
        <v>7.0</v>
      </c>
      <c r="B8" s="72" t="s">
        <v>2338</v>
      </c>
    </row>
    <row r="9">
      <c r="A9" s="74">
        <v>8.0</v>
      </c>
      <c r="B9" s="74" t="s">
        <v>2592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B1" s="74"/>
      <c r="D1" s="74"/>
      <c r="E1" s="74" t="s">
        <v>2798</v>
      </c>
      <c r="F1" s="74" t="s">
        <v>2799</v>
      </c>
    </row>
    <row r="2">
      <c r="B2" s="78" t="s">
        <v>2802</v>
      </c>
      <c r="D2" s="74" t="s">
        <v>2808</v>
      </c>
      <c r="F2" s="74" t="s">
        <v>2809</v>
      </c>
    </row>
    <row r="3">
      <c r="B3" s="78" t="s">
        <v>2812</v>
      </c>
      <c r="D3" s="74" t="s">
        <v>2813</v>
      </c>
      <c r="E3" s="74" t="s">
        <v>2809</v>
      </c>
    </row>
    <row r="4">
      <c r="B4" s="78" t="s">
        <v>2816</v>
      </c>
      <c r="D4" s="74" t="s">
        <v>2818</v>
      </c>
      <c r="E4" s="74" t="s">
        <v>2809</v>
      </c>
    </row>
    <row r="5">
      <c r="B5" s="78" t="s">
        <v>2819</v>
      </c>
      <c r="D5" s="74" t="s">
        <v>2821</v>
      </c>
      <c r="E5" s="74" t="s">
        <v>2809</v>
      </c>
    </row>
    <row r="6">
      <c r="B6" s="78" t="s">
        <v>2823</v>
      </c>
      <c r="D6" s="74" t="s">
        <v>2824</v>
      </c>
      <c r="E6" s="74" t="s">
        <v>2809</v>
      </c>
    </row>
    <row r="7">
      <c r="B7" s="78" t="s">
        <v>2826</v>
      </c>
      <c r="D7" s="74" t="s">
        <v>2828</v>
      </c>
      <c r="E7" s="74" t="s">
        <v>2809</v>
      </c>
      <c r="F7" s="74" t="s">
        <v>2809</v>
      </c>
    </row>
    <row r="8">
      <c r="B8" s="78" t="s">
        <v>2830</v>
      </c>
      <c r="D8" s="74" t="s">
        <v>2831</v>
      </c>
      <c r="E8" s="74" t="s">
        <v>2809</v>
      </c>
    </row>
    <row r="9">
      <c r="B9" s="78" t="s">
        <v>2833</v>
      </c>
    </row>
    <row r="10">
      <c r="B10" s="78" t="s">
        <v>2835</v>
      </c>
    </row>
    <row r="11">
      <c r="B11" s="78" t="s">
        <v>2837</v>
      </c>
    </row>
    <row r="12">
      <c r="B12" s="78" t="s">
        <v>2839</v>
      </c>
    </row>
    <row r="13">
      <c r="B13" s="78" t="s">
        <v>2841</v>
      </c>
    </row>
    <row r="14">
      <c r="B14" s="78" t="s">
        <v>2844</v>
      </c>
      <c r="G14" s="79">
        <f>30-7</f>
        <v>23</v>
      </c>
    </row>
    <row r="15">
      <c r="B15" s="78" t="s">
        <v>2860</v>
      </c>
      <c r="G15" s="79">
        <f>60-7</f>
        <v>53</v>
      </c>
    </row>
    <row r="16">
      <c r="B16" s="74" t="s">
        <v>2867</v>
      </c>
    </row>
    <row r="17">
      <c r="B17" s="74" t="s">
        <v>2870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 t="s">
        <v>3073</v>
      </c>
      <c r="B1" s="74" t="s">
        <v>3075</v>
      </c>
    </row>
    <row r="2">
      <c r="A2" s="74">
        <v>1.0</v>
      </c>
      <c r="B2" s="81">
        <v>0.02</v>
      </c>
    </row>
  </sheetData>
  <drawing r:id="rId1"/>
</worksheet>
</file>